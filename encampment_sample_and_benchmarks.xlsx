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Places and districts" sheetId="2" state="visible" r:id="rId4"/>
    <sheet name="Before the war" sheetId="3" state="visible" r:id="rId5"/>
    <sheet name="Findings" sheetId="4" state="visible" r:id="rId6"/>
    <sheet name="Calculations" sheetId="5" state="visible" r:id="rId7"/>
    <sheet name="Sources" sheetId="6" state="visible" r:id="rId8"/>
    <sheet name="How it was done" sheetId="7" state="visible" r:id="rId9"/>
  </sheets>
  <definedNames>
    <definedName function="false" hidden="true" localSheetId="0" name="_xlnm._FilterDatabase" vbProcedure="false">Comparison!$A$1:$P$55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<sst xmlns="http://schemas.openxmlformats.org/spreadsheetml/2006/main" count="852" uniqueCount="523">
  <si>
    <t xml:space="preserve">No.</t>
  </si>
  <si>
    <t xml:space="preserve">Group</t>
  </si>
  <si>
    <t xml:space="preserve">Topic</t>
  </si>
  <si>
    <t xml:space="preserve">Indicator</t>
  </si>
  <si>
    <t xml:space="preserve">Survey: households meeting the condition</t>
  </si>
  <si>
    <t xml:space="preserve">Survey: households answering</t>
  </si>
  <si>
    <t xml:space="preserve">Survey: value</t>
  </si>
  <si>
    <t xml:space="preserve">Unit (JD = Jordanian dinars, per month)</t>
  </si>
  <si>
    <t xml:space="preserve">Published figure</t>
  </si>
  <si>
    <t xml:space="preserve">Whom the published figure covers and when</t>
  </si>
  <si>
    <t xml:space="preserve">Source</t>
  </si>
  <si>
    <t xml:space="preserve">Same measure?</t>
  </si>
  <si>
    <t xml:space="preserve">Difference (points or units)</t>
  </si>
  <si>
    <t xml:space="preserve">Survey margin (points)</t>
  </si>
  <si>
    <t xml:space="preserve">Reading</t>
  </si>
  <si>
    <t xml:space="preserve">Note</t>
  </si>
  <si>
    <t xml:space="preserve">Zaatari camp</t>
  </si>
  <si>
    <t xml:space="preserve">Where and who</t>
  </si>
  <si>
    <t xml:space="preserve">Origin in Daraa governorate</t>
  </si>
  <si>
    <t xml:space="preserve">%</t>
  </si>
  <si>
    <t xml:space="preserve">All households in the camp, January 2015</t>
  </si>
  <si>
    <t xml:space="preserve">REACH 2015</t>
  </si>
  <si>
    <t xml:space="preserve">Yes</t>
  </si>
  <si>
    <t xml:space="preserve">The UNHCR factsheet of April 2015 gives another figure (53.4% from Daraa) without saying which population it refers to; the household-by-household count is used.</t>
  </si>
  <si>
    <t xml:space="preserve">Origin in Damascus or Rif Dimashq</t>
  </si>
  <si>
    <t xml:space="preserve">All households in the camp, January 2015: Rif Dimashq (14.3%) plus Damascus (1.0%)</t>
  </si>
  <si>
    <t xml:space="preserve">Distribution across the twelve districts</t>
  </si>
  <si>
    <t xml:space="preserve">see sheet</t>
  </si>
  <si>
    <t xml:space="preserve">Largest difference in a district: 3.0 points</t>
  </si>
  <si>
    <t xml:space="preserve">text</t>
  </si>
  <si>
    <t xml:space="preserve">Households by district, January 2015</t>
  </si>
  <si>
    <t xml:space="preserve">All households in the camp</t>
  </si>
  <si>
    <t xml:space="preserve">Close</t>
  </si>
  <si>
    <t xml:space="preserve">Chi-square of 10.8 with 11 degrees of freedom, p = 0.46: the two distributions cannot be told apart. The calculation is in the Places and districts sheet.</t>
  </si>
  <si>
    <t xml:space="preserve">People per household (mean)</t>
  </si>
  <si>
    <t xml:space="preserve">people</t>
  </si>
  <si>
    <t xml:space="preserve">All households in the camp, January 2015: 78,086 people in 13,927 households (the report prints the two totals; the mean is their ratio)</t>
  </si>
  <si>
    <t xml:space="preserve">Fafo gives 4.9 people per household in the camps in 2017 and 2018.</t>
  </si>
  <si>
    <t xml:space="preserve">Arrival</t>
  </si>
  <si>
    <t xml:space="preserve">Arrived in 2012 or earlier</t>
  </si>
  <si>
    <t xml:space="preserve">Arrival in the camp between July and December 2012 (the camp was opened in July 2012)</t>
  </si>
  <si>
    <t xml:space="preserve">With care</t>
  </si>
  <si>
    <t xml:space="preserve">The survey asks the year of arrival in Jordan; the count, arrival in the camp. The year is missing for 23 camp households.</t>
  </si>
  <si>
    <t xml:space="preserve">Arrived in 2013</t>
  </si>
  <si>
    <t xml:space="preserve">Arrival in the camp in 2013 (sum of the two half-years the report prints)</t>
  </si>
  <si>
    <t xml:space="preserve">Arrived in 2014 or later</t>
  </si>
  <si>
    <t xml:space="preserve">Arrival in the camp in 2014 (sum of the two half-years the report prints)</t>
  </si>
  <si>
    <t xml:space="preserve">Lived outside the camp and returned</t>
  </si>
  <si>
    <t xml:space="preserve">Households that did not come to the camp straight from Syria, May 2014; the profile reads them as arrivals through other entry points or a neighbouring country</t>
  </si>
  <si>
    <t xml:space="preserve">REACH 2014</t>
  </si>
  <si>
    <t xml:space="preserve">No</t>
  </si>
  <si>
    <t xml:space="preserve">Not the same thing: the survey counts camp households that lived outside the camp and came back. No published figure on returns to the camp was found.</t>
  </si>
  <si>
    <t xml:space="preserve">Housing</t>
  </si>
  <si>
    <t xml:space="preserve">Lives in a caravan</t>
  </si>
  <si>
    <t xml:space="preserve">no data</t>
  </si>
  <si>
    <t xml:space="preserve">Only 16 camp households answered the type of dwelling</t>
  </si>
  <si>
    <t xml:space="preserve">Random sample of 388 households, August 2016; the other 4% live in a caravan with a tent</t>
  </si>
  <si>
    <t xml:space="preserve">REACH 2016</t>
  </si>
  <si>
    <t xml:space="preserve">No data in the survey</t>
  </si>
  <si>
    <t xml:space="preserve">Reports owning its dwelling</t>
  </si>
  <si>
    <t xml:space="preserve">No published figure</t>
  </si>
  <si>
    <t xml:space="preserve">Caravans were bought and sold inside the camp although sale was not permitted</t>
  </si>
  <si>
    <t xml:space="preserve">IRIN 2013; Syria Direct 2025</t>
  </si>
  <si>
    <t xml:space="preserve">In 2013 a caravan cost up to JD 450 inside the camp (IRIN). Most of the other camp households report a dwelling provided to them.</t>
  </si>
  <si>
    <t xml:space="preserve">Who answered</t>
  </si>
  <si>
    <t xml:space="preserve">A woman answered</t>
  </si>
  <si>
    <t xml:space="preserve">Households headed by a woman in Zaatari ("1 in 5"), April 2015 and February 2018</t>
  </si>
  <si>
    <t xml:space="preserve">UNHCR Zaatari 2015</t>
  </si>
  <si>
    <t xml:space="preserve">The respondent is not necessarily the person who heads the household. In the camp, 41 of the 55 women who answered are married.</t>
  </si>
  <si>
    <t xml:space="preserve">Work</t>
  </si>
  <si>
    <t xml:space="preserve">Men in employment</t>
  </si>
  <si>
    <t xml:space="preserve">Men aged 15 to 64 in all official camps, 2016</t>
  </si>
  <si>
    <t xml:space="preserve">JLMPS 2016</t>
  </si>
  <si>
    <t xml:space="preserve">In the survey these are the men who answered (196 with an answer), not all men in the household.</t>
  </si>
  <si>
    <t xml:space="preserve">Work income among the household's sources</t>
  </si>
  <si>
    <t xml:space="preserve">Households in camps with wage income in the previous 12 months, November 2017 to January 2018</t>
  </si>
  <si>
    <t xml:space="preserve">Fafo 2017-2018</t>
  </si>
  <si>
    <t xml:space="preserve">A year and a half separates the two measurements. The survey records up to three income sources.</t>
  </si>
  <si>
    <t xml:space="preserve">Own business</t>
  </si>
  <si>
    <t xml:space="preserve">fewer than 10</t>
  </si>
  <si>
    <t xml:space="preserve">Fewer than ten households</t>
  </si>
  <si>
    <t xml:space="preserve">About 3,000 informal shops and businesses in the camp</t>
  </si>
  <si>
    <t xml:space="preserve">Zaatari, February 2018 (PBS NewsHour reported 3,000 businesses in June 2016)</t>
  </si>
  <si>
    <t xml:space="preserve">UNHCR Zaatari 2018; PBS 2016</t>
  </si>
  <si>
    <t xml:space="preserve">The question captured little of the commercial activity in the camp; a count of businesses and a share of households are not the same measure.</t>
  </si>
  <si>
    <t xml:space="preserve">Assistance</t>
  </si>
  <si>
    <t xml:space="preserve">Names the food voucher among its sources</t>
  </si>
  <si>
    <t xml:space="preserve">No published share</t>
  </si>
  <si>
    <t xml:space="preserve">WFP reports that all eligible refugees receive the monthly transfer; in camps and transit centres it reached 94,035 people with JD 20 per person in February 2016</t>
  </si>
  <si>
    <t xml:space="preserve">WFP 2016; WFP 2016b</t>
  </si>
  <si>
    <t xml:space="preserve">The 18 camp households that do not name the voucher may have left it out: the question asks for income sources.</t>
  </si>
  <si>
    <t xml:space="preserve">Reports exactly JD 20 per person, among those naming the voucher</t>
  </si>
  <si>
    <t xml:space="preserve">JD 20 per person per month</t>
  </si>
  <si>
    <t xml:space="preserve">Value of the transfer in camps and transit centres, February 2016 (WFP calls it a cash-based transfer, redeemable for food in partner shops)</t>
  </si>
  <si>
    <t xml:space="preserve">WFP 2016</t>
  </si>
  <si>
    <t xml:space="preserve">The amount reported matches the official value in 206 of the 230 camp households that name the voucher.</t>
  </si>
  <si>
    <t xml:space="preserve">Spending</t>
  </si>
  <si>
    <t xml:space="preserve">Households with income below JD 28 per person</t>
  </si>
  <si>
    <t xml:space="preserve">Camp households (Zaatari and Azraq) at risk of abject poverty, 2015: about 62% in the text of the paper and 0.64 in its table 1; national line of JD 336 per person per year, listed under income</t>
  </si>
  <si>
    <t xml:space="preserve">Obi 2021</t>
  </si>
  <si>
    <t xml:space="preserve">With reported spending instead of income: 127 of 239 households (53.1%); counting people, 61.1% of 1,174. Reported income and spending add only what was written down.</t>
  </si>
  <si>
    <t xml:space="preserve">Debt and savings</t>
  </si>
  <si>
    <t xml:space="preserve">Has debts</t>
  </si>
  <si>
    <t xml:space="preserve">No published figure for the camps</t>
  </si>
  <si>
    <t xml:space="preserve">CFSME 2016 publishes debt only for host communities</t>
  </si>
  <si>
    <t xml:space="preserve">CFSME 2016</t>
  </si>
  <si>
    <t xml:space="preserve">Basic living conditions</t>
  </si>
  <si>
    <t xml:space="preserve">Has a refrigerator</t>
  </si>
  <si>
    <t xml:space="preserve">Fafo: 89% of all households; access to durable goods is lower in the camps</t>
  </si>
  <si>
    <t xml:space="preserve">In August 2016, 95% of Zaatari families were connected to the electricity network (REACH 2016).</t>
  </si>
  <si>
    <t xml:space="preserve">Health</t>
  </si>
  <si>
    <t xml:space="preserve">A member with a medical condition</t>
  </si>
  <si>
    <t xml:space="preserve">No published figure for Zaatari</t>
  </si>
  <si>
    <t xml:space="preserve">Only as a share of the group.</t>
  </si>
  <si>
    <t xml:space="preserve">Northern towns</t>
  </si>
  <si>
    <t xml:space="preserve">Lives in Irbid governorate (Irbid and Ramtha)</t>
  </si>
  <si>
    <t xml:space="preserve">Registered Syrians outside the camps, end of 2016: 136,496 registered in the governorate over about 518,000 registered outside camps (79% of 655,344). The paper prints 21% of all registered Syrians, camps included</t>
  </si>
  <si>
    <t xml:space="preserve">Krafft et al. 2019</t>
  </si>
  <si>
    <t xml:space="preserve">In the 2015 census, 27% of all Syrians, registered or not, lived in Irbid governorate.</t>
  </si>
  <si>
    <t xml:space="preserve">Lives in Jerash governorate</t>
  </si>
  <si>
    <t xml:space="preserve">Registered Syrians outside the camps, end of 2016, computed as for Irbid (the paper prints 1% of all registered Syrians)</t>
  </si>
  <si>
    <t xml:space="preserve">In the 2015 census, 1%.</t>
  </si>
  <si>
    <t xml:space="preserve">Lives in Amman governorate</t>
  </si>
  <si>
    <t xml:space="preserve">Registered Syrians outside the camps, end of 2016, computed as for Irbid (the paper prints 28% of all registered Syrians)</t>
  </si>
  <si>
    <t xml:space="preserve">Differs</t>
  </si>
  <si>
    <t xml:space="preserve">In the 2015 census, 34%.</t>
  </si>
  <si>
    <t xml:space="preserve">All Syrian refugees, inside and outside camps, 2017 and 2018 (table 3 of the report; 48% in its summary)</t>
  </si>
  <si>
    <t xml:space="preserve">Within the survey: 68 of 90 households in Irbid governorate and 18 of 44 in the other places. No published origin by governorate was found.</t>
  </si>
  <si>
    <t xml:space="preserve">All Syrian refugees, 2017 and 2018</t>
  </si>
  <si>
    <t xml:space="preserve">Origin in Aleppo</t>
  </si>
  <si>
    <t xml:space="preserve">All Syrian refugees, 2017 and 2018 (table 3 of the report)</t>
  </si>
  <si>
    <t xml:space="preserve">Syrian refugee households, 2016</t>
  </si>
  <si>
    <t xml:space="preserve">Fafo gives 5.8 in Irbid and 5.3 overall, and says its mean equals that of Syrians in the 2015 census; CFSME 2016 gives 6.4 in host communities.</t>
  </si>
  <si>
    <t xml:space="preserve">Reports being registered as a refugee</t>
  </si>
  <si>
    <t xml:space="preserve">Syrians aged 15 to 59 in refugee households, 2016</t>
  </si>
  <si>
    <t xml:space="preserve">JLMPS 2016; Krafft et al. 2019</t>
  </si>
  <si>
    <t xml:space="preserve">In the 2015 census, 80% of Syrians reported being registered with UNHCR or the Ministry of Interior (Krafft et al. 2019, table 1). The other 12 households in the survey reported being asylum seekers; none, unregistered.</t>
  </si>
  <si>
    <t xml:space="preserve">Syrian refugees aged 6 or more, 2016 (9% arrived in 2011 and 28% in 2012)</t>
  </si>
  <si>
    <t xml:space="preserve">Within the survey, early arrivals are concentrated in Irbid governorate: fewer than ten of the 44 households in the other places arrived in 2012 or earlier.</t>
  </si>
  <si>
    <t xml:space="preserve">Syrian refugees aged 6 or more, 2016</t>
  </si>
  <si>
    <t xml:space="preserve">Passed through a camp before living outside</t>
  </si>
  <si>
    <t xml:space="preserve">About 430,000 people passed through Zaatari; about 160,000 left informally for urban areas and about 60,000 left with a sponsor</t>
  </si>
  <si>
    <t xml:space="preserve">UNHCR estimate, April 2015</t>
  </si>
  <si>
    <t xml:space="preserve">In the survey, 71 households lived in Zaatari and 13 in Azraq. The published figures count people who passed through one camp; the survey, households that passed through any camp.</t>
  </si>
  <si>
    <t xml:space="preserve">Left the camp with a sponsor (among households that passed through a camp)</t>
  </si>
  <si>
    <t xml:space="preserve">People who left Zaatari: about 60,000 formally with a Jordanian sponsor and about 160,000 informally for urban areas; the share is computed from the two</t>
  </si>
  <si>
    <t xml:space="preserve">The published figure is a round UNHCR estimate that counts only the two routes; in the survey the other routes have fewer than ten households, so the share among the two routes is a few points higher than the one shown. Households that left with a sponsor weigh more in the survey.</t>
  </si>
  <si>
    <t xml:space="preserve">Rents its dwelling</t>
  </si>
  <si>
    <t xml:space="preserve">Syrian refugees outside camps renting in the private market, 2017 and 2018</t>
  </si>
  <si>
    <t xml:space="preserve">The other 18 households in the survey report a dwelling provided to them.</t>
  </si>
  <si>
    <t xml:space="preserve">Monthly rent of those who rent (median, JD)</t>
  </si>
  <si>
    <t xml:space="preserve">JD</t>
  </si>
  <si>
    <t xml:space="preserve">Median monthly household spending on rent in the Fafo survey (executive summary); rents of JD 120 to 150 are reported as common, except in the group of other governorates (about JD 80)</t>
  </si>
  <si>
    <t xml:space="preserve">Survey quartiles: JD 85 and JD 165.</t>
  </si>
  <si>
    <t xml:space="preserve">Mean rent per household, with zero for those who do not rent (JD)</t>
  </si>
  <si>
    <t xml:space="preserve">Mean household spending on rent, host communities, 2016</t>
  </si>
  <si>
    <t xml:space="preserve">Eleven households that rent did not give the amount and are left out. CFSME does not say whether households that pay no rent enter its mean.</t>
  </si>
  <si>
    <t xml:space="preserve">Households in host communities, April and May 2016</t>
  </si>
  <si>
    <t xml:space="preserve">Fafo gives two thirds of all households in 2017 and 2018, and about 80% of indebted households owe to relatives and friends in Jordan.</t>
  </si>
  <si>
    <t xml:space="preserve">Has savings</t>
  </si>
  <si>
    <t xml:space="preserve">Households in host communities, 2016</t>
  </si>
  <si>
    <t xml:space="preserve">Fafo gives 2% in 2017 and 2018.</t>
  </si>
  <si>
    <t xml:space="preserve">nearly all</t>
  </si>
  <si>
    <t xml:space="preserve">Nearly all</t>
  </si>
  <si>
    <t xml:space="preserve">All Syrian refugee households, 2017 and 2018</t>
  </si>
  <si>
    <t xml:space="preserve">Fewer than ten households in the towns lack one.</t>
  </si>
  <si>
    <t xml:space="preserve">Monthly spending per person, mean across people (JD)</t>
  </si>
  <si>
    <t xml:space="preserve">Monthly spending per household member, host communities, 2016</t>
  </si>
  <si>
    <t xml:space="preserve">Survey: 600 people in 121 households with reported spending. The mean across households is JD 69.7 and the median JD 56.2.</t>
  </si>
  <si>
    <t xml:space="preserve">Households with spending below JD 68 per person</t>
  </si>
  <si>
    <t xml:space="preserve">Registered cases (families) outside camps below the poverty line, 2015</t>
  </si>
  <si>
    <t xml:space="preserve">VAF 2015</t>
  </si>
  <si>
    <t xml:space="preserve">People in households with spending below JD 68 per person</t>
  </si>
  <si>
    <t xml:space="preserve">Registered people outside camps below the poverty line, 2015</t>
  </si>
  <si>
    <t xml:space="preserve">Survey: 75.0% of the 600 people in the 121 households with reported spending.</t>
  </si>
  <si>
    <t xml:space="preserve">Households outside camps at risk of abject poverty, 2015 (same line and source as for the camps)</t>
  </si>
  <si>
    <t xml:space="preserve">With reported spending instead of income: 17 of 121 households (14.0%).</t>
  </si>
  <si>
    <t xml:space="preserve">Men aged 15 to 64 in host communities, 2016</t>
  </si>
  <si>
    <t xml:space="preserve">In the survey these are only 49 men who answered.</t>
  </si>
  <si>
    <t xml:space="preserve">Households in Irbid with wage income in the previous 12 months, 2017 and 2018 (60% outside camps)</t>
  </si>
  <si>
    <t xml:space="preserve">People assisted in communities (210,880 plus 220,171, in all 431,051) over registered refugees living in communities (81% of nearly 640,000), February 2016; computed, the report prints no share</t>
  </si>
  <si>
    <t xml:space="preserve">Voucher above JD 12 per person, among those naming the voucher (the JD 20 tier of the programme)</t>
  </si>
  <si>
    <t xml:space="preserve">People in the JD 20 tier among those assisted in communities, February 2016 (210,880 of 431,051; computed)</t>
  </si>
  <si>
    <t xml:space="preserve">The survey counts households and WFP counts people. The tier is defined as in step 3: more than JD 12 per person. Of the 113 households, 35 report exactly JD 20 per person and 43 exactly JD 10; the rest report other amounts. The JD 20 tier received JD 15 in February 2016, 75% of the planned amount, and was due to receive the planned JD 20 from March.</t>
  </si>
  <si>
    <t xml:space="preserve">Names UNHCR cash among its sources</t>
  </si>
  <si>
    <t xml:space="preserve">People with monthly cash (135,783) over registered refugees outside camps (79% of 655,344), February 2017; computed, the study prints no share</t>
  </si>
  <si>
    <t xml:space="preserve">Reach Project 2017</t>
  </si>
  <si>
    <t xml:space="preserve">The survey counts households and UNHCR counts people. Fafo gives 47% of households outside camps with UNHCR cash in 2017 and 2018 (54% in Irbid; its table 20).</t>
  </si>
  <si>
    <t xml:space="preserve">Names some assistance among its sources</t>
  </si>
  <si>
    <t xml:space="preserve">withheld (protects another cell)</t>
  </si>
  <si>
    <t xml:space="preserve">Withheld (protects another cell)</t>
  </si>
  <si>
    <t xml:space="preserve">Households in Irbid with transfers from institutions in the previous 12 months, 2017 and 2018</t>
  </si>
  <si>
    <t xml:space="preserve">Not compared</t>
  </si>
  <si>
    <t xml:space="preserve">Withheld in the fourth edition: every household that names the voucher names some assistance, so with No. 46 the count gave the households that name assistance without the voucher, fewer than ten.</t>
  </si>
  <si>
    <t xml:space="preserve">Names help from relatives among its sources</t>
  </si>
  <si>
    <t xml:space="preserve">Households in Irbid with private transfers in the previous 12 months, 2017 and 2018</t>
  </si>
  <si>
    <t xml:space="preserve">The survey records up to three income sources; help from relatives may have been left out.</t>
  </si>
  <si>
    <t xml:space="preserve">Households outside camps with a member diagnosed with at least one of five chronic diseases, June 2014</t>
  </si>
  <si>
    <t xml:space="preserve">Doocy et al. 2016</t>
  </si>
  <si>
    <t xml:space="preserve">The survey asks a single yes or no question; the reference asks disease by disease.</t>
  </si>
  <si>
    <t xml:space="preserve">Syrian refugee households headed by a woman, 2016 (Fafo: 22%, the same inside and outside camps)</t>
  </si>
  <si>
    <t xml:space="preserve">In the northern towns, 65 of the 84 women who answered are married.</t>
  </si>
  <si>
    <t xml:space="preserve">A woman who is not married answered</t>
  </si>
  <si>
    <t xml:space="preserve">Syrian refugee households headed by a woman, 2016</t>
  </si>
  <si>
    <t xml:space="preserve">It is a lower bound on households headed by women: the survey does not ask who heads the household.</t>
  </si>
  <si>
    <t xml:space="preserve">Responses</t>
  </si>
  <si>
    <t xml:space="preserve">Asked for a loan</t>
  </si>
  <si>
    <t xml:space="preserve">Households that borrowed money or bought food on credit, host communities, 2016</t>
  </si>
  <si>
    <t xml:space="preserve">The survey asks about the whole time since arrival and whether the household asked for a loan; CFSME, about a recent period and also about food on credit.</t>
  </si>
  <si>
    <t xml:space="preserve">Northern towns: where the sample lives and where Syrians live in Jordan</t>
  </si>
  <si>
    <t xml:space="preserve">UNHCR registration includes camp residents, and the census is described as an enumeration of all persons in Jordan: Zaatari is in Mafraq; Azraq and the Emirati camp, in Zarqa.</t>
  </si>
  <si>
    <t xml:space="preserve">Governorate</t>
  </si>
  <si>
    <t xml:space="preserve">Survey: households</t>
  </si>
  <si>
    <t xml:space="preserve">Survey: %</t>
  </si>
  <si>
    <t xml:space="preserve">UNHCR: registered at 31 Dec 2016</t>
  </si>
  <si>
    <t xml:space="preserve">UNHCR: %</t>
  </si>
  <si>
    <t xml:space="preserve">2015 census: all Syrians</t>
  </si>
  <si>
    <t xml:space="preserve">Census: %</t>
  </si>
  <si>
    <t xml:space="preserve">Irbid (towns of Irbid and Ramtha)</t>
  </si>
  <si>
    <t xml:space="preserve">Jerash</t>
  </si>
  <si>
    <t xml:space="preserve">Zarqa</t>
  </si>
  <si>
    <t xml:space="preserve">Amman, Balqa and Mafraq (fewer than ten households in each)</t>
  </si>
  <si>
    <t xml:space="preserve">Six other governorates</t>
  </si>
  <si>
    <t xml:space="preserve">Total</t>
  </si>
  <si>
    <t xml:space="preserve">Within Irbid: 52 households in the city of Irbid and 38 in Ramtha. Source of the published figures: Krafft et al. 2019, tables 6 and 9.</t>
  </si>
  <si>
    <t xml:space="preserve">Camp: distribution of the sample across the twelve districts and households counted by REACH (January 2015)</t>
  </si>
  <si>
    <t xml:space="preserve">District</t>
  </si>
  <si>
    <t xml:space="preserve">REACH: households counted</t>
  </si>
  <si>
    <t xml:space="preserve">REACH: %</t>
  </si>
  <si>
    <t xml:space="preserve">Households expected in the survey</t>
  </si>
  <si>
    <t xml:space="preserve">Contribution to the chi-square</t>
  </si>
  <si>
    <t xml:space="preserve">Difference (points)</t>
  </si>
  <si>
    <t xml:space="preserve">Chi-square (sum of the contributions)</t>
  </si>
  <si>
    <t xml:space="preserve">Degrees of freedom</t>
  </si>
  <si>
    <t xml:space="preserve">p-value</t>
  </si>
  <si>
    <t xml:space="preserve">Reading: with a p-value of 0.46 the distribution of the sample cannot be told apart from that of the households counted. Fewer than ten camp households have no district recorded.</t>
  </si>
  <si>
    <t xml:space="preserve">What the two groups were like before the war (and one feature of the interview)</t>
  </si>
  <si>
    <t xml:space="preserve">Standardized difference: the difference between the groups divided by the average spread. Above 0.25 is regarded as a large imbalance.</t>
  </si>
  <si>
    <t xml:space="preserve">Trait</t>
  </si>
  <si>
    <t xml:space="preserve">Camp: households meeting the condition</t>
  </si>
  <si>
    <t xml:space="preserve">Camp: answering</t>
  </si>
  <si>
    <t xml:space="preserve">Camp: %</t>
  </si>
  <si>
    <t xml:space="preserve">Towns: households meeting the condition</t>
  </si>
  <si>
    <t xml:space="preserve">Towns: answering</t>
  </si>
  <si>
    <t xml:space="preserve">Towns: %</t>
  </si>
  <si>
    <t xml:space="preserve">Standardized difference</t>
  </si>
  <si>
    <t xml:space="preserve">A woman answered (feature of the interview)</t>
  </si>
  <si>
    <t xml:space="preserve">Urban origin</t>
  </si>
  <si>
    <t xml:space="preserve">Had savings in Syria</t>
  </si>
  <si>
    <t xml:space="preserve">Had its own business in Syria</t>
  </si>
  <si>
    <t xml:space="preserve">Respondent has upper secondary schooling or more</t>
  </si>
  <si>
    <t xml:space="preserve">Had a car in Syria</t>
  </si>
  <si>
    <t xml:space="preserve">Went on outings in Syria</t>
  </si>
  <si>
    <t xml:space="preserve">Informal work in Syria</t>
  </si>
  <si>
    <t xml:space="preserve">Took vacations in Syria</t>
  </si>
  <si>
    <t xml:space="preserve">Had debts in Syria</t>
  </si>
  <si>
    <t xml:space="preserve">Arrived in Jordan in 2012 or earlier</t>
  </si>
  <si>
    <t xml:space="preserve">Owned its home in Syria</t>
  </si>
  <si>
    <t xml:space="preserve">not computed: one cell is masked</t>
  </si>
  <si>
    <t xml:space="preserve">Had a retirement pension in Syria: fewer than ten camp households; 28 of 129 in the towns (21.7%).</t>
  </si>
  <si>
    <t xml:space="preserve">Refrigerator, television and stove in Syria: more than nine in ten households in each group had each of them.</t>
  </si>
  <si>
    <t xml:space="preserve">Measures with mean and spread</t>
  </si>
  <si>
    <t xml:space="preserve">Camp: households</t>
  </si>
  <si>
    <t xml:space="preserve">Camp: mean</t>
  </si>
  <si>
    <t xml:space="preserve">Camp: standard deviation</t>
  </si>
  <si>
    <t xml:space="preserve">Camp: median</t>
  </si>
  <si>
    <t xml:space="preserve">Towns: households</t>
  </si>
  <si>
    <t xml:space="preserve">Towns: mean</t>
  </si>
  <si>
    <t xml:space="preserve">Towns: standard deviation</t>
  </si>
  <si>
    <t xml:space="preserve">Towns: median</t>
  </si>
  <si>
    <t xml:space="preserve">Monthly income in Syria (thousand Syrian pounds)</t>
  </si>
  <si>
    <t xml:space="preserve">Monthly income per person in Syria (thousand Syrian pounds)</t>
  </si>
  <si>
    <t xml:space="preserve">People in the household</t>
  </si>
  <si>
    <t xml:space="preserve">Age of the respondent</t>
  </si>
  <si>
    <t xml:space="preserve">Income in Syria is missing for 19 households in the towns and fewer than ten in the camp; with blanks treated as missing, those households do not enter.</t>
  </si>
  <si>
    <t xml:space="preserve">Step 2: whom the sample represents</t>
  </si>
  <si>
    <t xml:space="preserve">Finding</t>
  </si>
  <si>
    <t xml:space="preserve">Where it comes from</t>
  </si>
  <si>
    <t xml:space="preserve">The camp group is spread across the twelve districts almost exactly like the households counted by REACH in January 2015. The largest difference in a district is 3.0 points, and the chi-square does not tell the two distributions apart (10.8 with 11 degrees of freedom, p = 0.46).</t>
  </si>
  <si>
    <t xml:space="preserve">Places and districts sheet; REACH 2015</t>
  </si>
  <si>
    <t xml:space="preserve">In the camp, origin matches the household-by-household count: 85.8% from Daraa in the survey and 81.7% in the count.</t>
  </si>
  <si>
    <t xml:space="preserve">Comparison sheet, No. 1</t>
  </si>
  <si>
    <t xml:space="preserve">The average camp household has 5.0 people in the survey; the count gives 5.6 and Fafo 4.9 in 2017 and 2018.</t>
  </si>
  <si>
    <t xml:space="preserve">Comparison sheet, No. 4</t>
  </si>
  <si>
    <t xml:space="preserve">The food voucher matches the programme record: 230 of the 248 camp households with some reported source name it and 206 report exactly JD 20 per person, the official value in the camps.</t>
  </si>
  <si>
    <t xml:space="preserve">Comparison sheet, No. 15 and 16; WFP 2016</t>
  </si>
  <si>
    <t xml:space="preserve">The survey has more early arrivals. In the camp, 44% arrived in Jordan in 2012 or earlier and the count records 23% arriving in the camp in 2012 (the survey asks about arrival in Jordan and the count about arrival in the camp). In the towns the difference is smaller: 46% against 37% in JLMPS. The year is missing for 23 camp households.</t>
  </si>
  <si>
    <t xml:space="preserve">Comparison sheet, No. 5 and 29</t>
  </si>
  <si>
    <t xml:space="preserve">The towns sample is from the north: 90 of the 134 households live in Irbid governorate (52 in Irbid and 38 in Ramtha) and 24 in Jerash. About 26% of registered Syrians outside the camps live in Irbid governorate and about 2% in Jerash. In Amman, where a third live, the survey has fewer than ten households.</t>
  </si>
  <si>
    <t xml:space="preserve">Places and districts sheet; Krafft et al. 2019</t>
  </si>
  <si>
    <t xml:space="preserve">Origin follows geography: 64% of households in the towns come from Daraa, against 48% of all Syrian refugees (Fafo). In Irbid governorate they are 68 of 90 households; in the other places, 18 of 44.</t>
  </si>
  <si>
    <t xml:space="preserve">Comparison sheet, No. 24; b3_quien_respondio.py</t>
  </si>
  <si>
    <t xml:space="preserve">In economic terms the towns group resembles the national figures: spending of JD 57 per person (CFSME 2016: JD 58), 67% of households below JD 68 per person (VAF 2015: 68% of cases), median rent of JD 130 (Fafo: JD 135), mean rent per household of JD 110 (CFSME: JD 99) and 5.1 people per household (JLMPS: 5.2; Fafo and the 2015 census: 5.3).</t>
  </si>
  <si>
    <t xml:space="preserve">Comparison sheet, No. 27, 35, 36, 40 and 41</t>
  </si>
  <si>
    <t xml:space="preserve">The assistance reported by households in the towns matches the programme records: 86% name the voucher (WFP: about 83% of registered refugees in communities), 46% of them report more than JD 12 per person, the JD 20 tier of the programme (WFP: 49% of people), and 30% name UNHCR cash (about 26% of people in early 2017). The shares of people assisted are computed here from the published totals; Fafo counts households and gives 47% with UNHCR cash outside the camps in 2017 and 2018.</t>
  </si>
  <si>
    <t xml:space="preserve">Comparison sheet, No. 46 to 48; Calculations sheet</t>
  </si>
  <si>
    <t xml:space="preserve">Several figures for households in the towns fall below the published ones: debt (69% against 87% in CFSME 2016; Fafo gives two thirds in 2017 and 2018), arrival in 2013 (40% against 51% in JLMPS), renting (87% against 98% in Fafo), people in households with spending below JD 68 per person (75% against 86% in the VAF), income below JD 28 per person (15% against 28% in Obi 2021), help from relatives among the income sources (fewer than ten households against 27% in Fafo) and households with a member with a medical condition (38% against 50% with a diagnosed chronic disease). The survey asks a single yes or no question on health, so its figure reads as a minimum, and it records up to three income sources. Employment of men is also lower (29% against 40%); with 49 men who answered, that difference sits at the edge of the survey margin.</t>
  </si>
  <si>
    <t xml:space="preserve">Comparison sheet, No. 30, 34, 37, 42, 43, 44, 50 and 51</t>
  </si>
  <si>
    <t xml:space="preserve">In the camp the largest gap is in work: 36% of households name work income among their sources, against 65% of camp households with wage income in the previous twelve months in Fafo's survey of 2017 and 2018. A year and a half separates the two surveys and the questions differ. The camp also has more early arrivals than the count of January 2015 (see finding 5).</t>
  </si>
  <si>
    <t xml:space="preserve">Comparison sheet, No. 5, 6 and 13</t>
  </si>
  <si>
    <t xml:space="preserve">Who answered: a woman in 21% of camp households and in 63% of those in the towns. The sources give about 22% of households headed by women, inside and outside the camps. In the towns, 65 of the 84 women who answered are married; the difference is consistent with interviews done by day and at home, where whoever was in answered.</t>
  </si>
  <si>
    <t xml:space="preserve">Comparison sheet, No. 11, 52 and 53</t>
  </si>
  <si>
    <t xml:space="preserve">Households where a woman answered resemble the rest in their pre-war traits. In the northern towns they report lower spending per person (median of JD 51 against JD 67) and more debt (62 of 83 against 30 of 50); with 84 and 50 households those differences cannot be asserted. In the camp they are smaller households (4.2 people against 5.2).</t>
  </si>
  <si>
    <t xml:space="preserve">b3_quien_respondio.py</t>
  </si>
  <si>
    <t xml:space="preserve">Leaving the camp: 84 of the 134 households in the towns passed through a camp, and half of them (42) report leaving with a sponsor; most of the rest left informally. Among the exits UNHCR counted for Zaatari, 27% were with a sponsor (60,000 of 220,000 people; the rest informal). Households that left with a sponsor weigh more in the survey.</t>
  </si>
  <si>
    <t xml:space="preserve">Comparison sheet, No. 32 and 33</t>
  </si>
  <si>
    <t xml:space="preserve">Owned dwelling in the camp: 55 households report it. Caravans were bought and sold inside the camp although sale was not permitted. In August 2016, 96% of Zaatari families lived in caravans.</t>
  </si>
  <si>
    <t xml:space="preserve">Comparison sheet, No. 9 and 10; IRIN 2013; Syria Direct 2025; REACH 2016</t>
  </si>
  <si>
    <t xml:space="preserve">Before the war the two groups already differed: urban origin (22% and 60%), savings (18% and 50%), own business (37% and 65%), upper secondary schooling or more (19% and 38%) and car (32% and 50%). Recalled income in Syria hardly separates them: a median of 20 thousand pounds a month in the camp and 24 thousand in the towns, and the same median per person (5 thousand).</t>
  </si>
  <si>
    <t xml:space="preserve">Before the war sheet</t>
  </si>
  <si>
    <t xml:space="preserve">The reference surveys start from different sampling frames, the lists from which households are drawn. VAF and CFSME work with UNHCR registration cases; JLMPS and Fafo, with the 2015 census, which includes those not registered. In the survey, 12 households in the towns reported being asylum seekers and none unregistered.</t>
  </si>
  <si>
    <t xml:space="preserve">Sources sheet</t>
  </si>
  <si>
    <t xml:space="preserve">For several camp figures no published reference was found: debt, refrigerator and households with a member with a medical condition. CFSME 2016 publishes debt only for host communities.</t>
  </si>
  <si>
    <t xml:space="preserve">Comparison sheet, No. 18 to 20</t>
  </si>
  <si>
    <t xml:space="preserve">Measured as Obi (2021) does, with income per person against the national line of JD 28 a month, 65% of camp households fall below it (Obi: about 62% in Zaatari and Azraq) and 15% of households in the towns (Obi: 28% outside camps). The camp figure matches. In the towns sample fewer households fall below that line than outside camps nationwide.</t>
  </si>
  <si>
    <t xml:space="preserve">Comparison sheet, No. 17 and 43; b5_ingreso_bajo_la_linea.py</t>
  </si>
  <si>
    <t xml:space="preserve">Independent review (9 October 2026). Two separate instances of the AI assistant that prepared this review, which had produced none of the files, reviewed this workbook and its chart as a reader receives them: no table cell or formula was found wrong. They found that two readings had been typed by hand against the stated rule, that the voucher tier was defined differently from step 3, that the findings named two of the figures below the published ones where the Comparison sheet has more, and that a few notes gave a count below ten by placing two figures side by side. The edition of 13 October 2026 corrected each point and added the third reading, at the edge of the margin.</t>
  </si>
  <si>
    <t xml:space="preserve">How it was done sheet</t>
  </si>
  <si>
    <t xml:space="preserve">Published figures that enter a calculation</t>
  </si>
  <si>
    <t xml:space="preserve">Rows marked Calculation are formulas over the figures above; the Comparison sheet takes them from here.</t>
  </si>
  <si>
    <t xml:space="preserve">Key</t>
  </si>
  <si>
    <t xml:space="preserve">What it is</t>
  </si>
  <si>
    <t xml:space="preserve">Value</t>
  </si>
  <si>
    <t xml:space="preserve">reg</t>
  </si>
  <si>
    <t xml:space="preserve">Syrians registered with UNHCR at 31 December 2016</t>
  </si>
  <si>
    <t xml:space="preserve">com16</t>
  </si>
  <si>
    <t xml:space="preserve">Share of registered refugees living in communities (March 2016)</t>
  </si>
  <si>
    <t xml:space="preserve">com17</t>
  </si>
  <si>
    <t xml:space="preserve">Share of registered refugees living outside the camps (March 2017)</t>
  </si>
  <si>
    <t xml:space="preserve">wfp_high</t>
  </si>
  <si>
    <t xml:space="preserve">WFP, people in communities in the JD 20 tier (February 2016)</t>
  </si>
  <si>
    <t xml:space="preserve">wfp_low</t>
  </si>
  <si>
    <t xml:space="preserve">WFP, people in communities in the JD 10 tier (February 2016)</t>
  </si>
  <si>
    <t xml:space="preserve">wfp_comm</t>
  </si>
  <si>
    <t xml:space="preserve">WFP, people assisted in communities</t>
  </si>
  <si>
    <t xml:space="preserve">Calculation</t>
  </si>
  <si>
    <t xml:space="preserve">wfp_cover</t>
  </si>
  <si>
    <t xml:space="preserve">Food voucher: people assisted among registered refugees living in communities (February 2016)</t>
  </si>
  <si>
    <t xml:space="preserve">wfp_tier</t>
  </si>
  <si>
    <t xml:space="preserve">JD 20 tier among those assisted in communities</t>
  </si>
  <si>
    <t xml:space="preserve">unhcr_cash</t>
  </si>
  <si>
    <t xml:space="preserve">UNHCR, people with monthly cash (February 2017)</t>
  </si>
  <si>
    <t xml:space="preserve">unhcr_cover</t>
  </si>
  <si>
    <t xml:space="preserve">UNHCR cash: people assisted among registered refugees outside the camps</t>
  </si>
  <si>
    <t xml:space="preserve">irbid</t>
  </si>
  <si>
    <t xml:space="preserve">Registered in Irbid governorate (end of 2016)</t>
  </si>
  <si>
    <t xml:space="preserve">irbid_p</t>
  </si>
  <si>
    <t xml:space="preserve">Irbid among registered refugees outside the camps</t>
  </si>
  <si>
    <t xml:space="preserve">jerash</t>
  </si>
  <si>
    <t xml:space="preserve">Registered in Jerash governorate (end of 2016)</t>
  </si>
  <si>
    <t xml:space="preserve">jerash_p</t>
  </si>
  <si>
    <t xml:space="preserve">Jerash among registered refugees outside the camps</t>
  </si>
  <si>
    <t xml:space="preserve">amman</t>
  </si>
  <si>
    <t xml:space="preserve">Registered in Amman governorate (end of 2016)</t>
  </si>
  <si>
    <t xml:space="preserve">amman_p</t>
  </si>
  <si>
    <t xml:space="preserve">Amman among registered refugees outside the camps</t>
  </si>
  <si>
    <t xml:space="preserve">z_people</t>
  </si>
  <si>
    <t xml:space="preserve">Zaatari, people counted (January 2015)</t>
  </si>
  <si>
    <t xml:space="preserve">z_hh</t>
  </si>
  <si>
    <t xml:space="preserve">Zaatari, households counted (January 2015)</t>
  </si>
  <si>
    <t xml:space="preserve">z_size</t>
  </si>
  <si>
    <t xml:space="preserve">Zaatari, people per household</t>
  </si>
  <si>
    <t xml:space="preserve">z_12</t>
  </si>
  <si>
    <t xml:space="preserve">Zaatari, arrived in the camp between July and December 2012</t>
  </si>
  <si>
    <t xml:space="preserve">z_13a</t>
  </si>
  <si>
    <t xml:space="preserve">Zaatari, arrived in the camp between January and June 2013</t>
  </si>
  <si>
    <t xml:space="preserve">z_13b</t>
  </si>
  <si>
    <t xml:space="preserve">Zaatari, arrived in the camp between July and December 2013</t>
  </si>
  <si>
    <t xml:space="preserve">z_13</t>
  </si>
  <si>
    <t xml:space="preserve">Zaatari, arrived in the camp in 2013</t>
  </si>
  <si>
    <t xml:space="preserve">z_14a</t>
  </si>
  <si>
    <t xml:space="preserve">Zaatari, arrived in the camp between January and June 2014</t>
  </si>
  <si>
    <t xml:space="preserve">z_14b</t>
  </si>
  <si>
    <t xml:space="preserve">Zaatari, arrived in the camp between July and December 2014</t>
  </si>
  <si>
    <t xml:space="preserve">z_14</t>
  </si>
  <si>
    <t xml:space="preserve">Zaatari, arrived in the camp in 2014</t>
  </si>
  <si>
    <t xml:space="preserve">j_11</t>
  </si>
  <si>
    <t xml:space="preserve">JLMPS, refugees aged 6 or more who arrived in 2011</t>
  </si>
  <si>
    <t xml:space="preserve">j_12</t>
  </si>
  <si>
    <t xml:space="preserve">JLMPS, arrived in 2012</t>
  </si>
  <si>
    <t xml:space="preserve">j_12a</t>
  </si>
  <si>
    <t xml:space="preserve">JLMPS, arrived in 2012 or earlier</t>
  </si>
  <si>
    <t xml:space="preserve">sponsor</t>
  </si>
  <si>
    <t xml:space="preserve">Zaatari, people who left with a sponsor (UNHCR estimate)</t>
  </si>
  <si>
    <t xml:space="preserve">informal</t>
  </si>
  <si>
    <t xml:space="preserve">Zaatari, people who left for urban areas informally (UNHCR estimate)</t>
  </si>
  <si>
    <t xml:space="preserve">sponsor_p</t>
  </si>
  <si>
    <t xml:space="preserve">Exits with a sponsor among the two routes</t>
  </si>
  <si>
    <t xml:space="preserve">f_rif</t>
  </si>
  <si>
    <t xml:space="preserve">Fafo, Syrian refugees originating from Rif Dimashq (table 3)</t>
  </si>
  <si>
    <t xml:space="preserve">f_dam</t>
  </si>
  <si>
    <t xml:space="preserve">Fafo, Syrian refugees originating from Damascus (table 3)</t>
  </si>
  <si>
    <t xml:space="preserve">f_damrif</t>
  </si>
  <si>
    <t xml:space="preserve">Fafo, originating from Damascus or Rif Dimashq</t>
  </si>
  <si>
    <t xml:space="preserve">z_rif</t>
  </si>
  <si>
    <t xml:space="preserve">Zaatari, households originating from Rif Dimashq (January 2015)</t>
  </si>
  <si>
    <t xml:space="preserve">z_dam</t>
  </si>
  <si>
    <t xml:space="preserve">Zaatari, households originating from Damascus (January 2015)</t>
  </si>
  <si>
    <t xml:space="preserve">z_damrif</t>
  </si>
  <si>
    <t xml:space="preserve">Zaatari, originating from Damascus or Rif Dimashq</t>
  </si>
  <si>
    <t xml:space="preserve">reg16</t>
  </si>
  <si>
    <t xml:space="preserve">Syrians registered with UNHCR by February 2016 ("nearly 640,000")</t>
  </si>
  <si>
    <t xml:space="preserve">Sources of the published figures</t>
  </si>
  <si>
    <t xml:space="preserve">Citation</t>
  </si>
  <si>
    <t xml:space="preserve">Whom it covers</t>
  </si>
  <si>
    <t xml:space="preserve">When it was measured</t>
  </si>
  <si>
    <t xml:space="preserve">What was taken</t>
  </si>
  <si>
    <t xml:space="preserve">Link</t>
  </si>
  <si>
    <t xml:space="preserve">REACH (2015). Za'atari Camp Population Count, Mafraq, Jordan: Summary of Findings, February 2015.</t>
  </si>
  <si>
    <t xml:space="preserve">All households in the camp, visited one by one</t>
  </si>
  <si>
    <t xml:space="preserve">30 December 2014 to 18 January 2015</t>
  </si>
  <si>
    <t xml:space="preserve">People and households by district, governorate of origin, period of arrival in the camp, type of shelter</t>
  </si>
  <si>
    <t xml:space="preserve">https://repository.impact-initiatives.org/document/impact/5949aa0e/reach_jor_report_zaatari_camp_population_count_february2015_1.pdf</t>
  </si>
  <si>
    <t xml:space="preserve">REACH and UNHCR (2016). Zaatari camp winterization rapid assessment: shelter and NFIs. Factsheet, August 2016.</t>
  </si>
  <si>
    <t xml:space="preserve">Random sample of 388 Zaatari households, representative of the camp</t>
  </si>
  <si>
    <t xml:space="preserve">15 to 22 August 2016</t>
  </si>
  <si>
    <t xml:space="preserve">Families living in caravans and connection to the electricity network</t>
  </si>
  <si>
    <t xml:space="preserve">https://repository.impact-initiatives.org/document/impact/1578312c/reach_jor_factsheet_zaataricamp_winterizationassessment_shelternfis_aug2016_1.pdf</t>
  </si>
  <si>
    <t xml:space="preserve">UNHCR (2015). Zaatari Refugee Camp Factsheet, April 2015.</t>
  </si>
  <si>
    <t xml:space="preserve">UNHCR registration in Zaatari</t>
  </si>
  <si>
    <t xml:space="preserve">April 2015</t>
  </si>
  <si>
    <t xml:space="preserve">One in five households headed by a woman; people who passed through the camp and how they left (formally with a Jordanian sponsor, or informally)</t>
  </si>
  <si>
    <t xml:space="preserve">https://m.reliefweb.int/report/956161</t>
  </si>
  <si>
    <t xml:space="preserve">UNHCR Zaatari 2018</t>
  </si>
  <si>
    <t xml:space="preserve">UNHCR (2018). Zaatari Refugee Camp Factsheet, February 2018.</t>
  </si>
  <si>
    <t xml:space="preserve">February 2018</t>
  </si>
  <si>
    <t xml:space="preserve">About 3,000 informal shops and businesses; one in five households headed by a woman</t>
  </si>
  <si>
    <t xml:space="preserve">https://m.reliefweb.int/report/2465204</t>
  </si>
  <si>
    <t xml:space="preserve">Krafft, C., Sieverding, M., Salemi, C. and Keo, C. (2018). Syrian Refugees in Jordan: Demographics, Livelihoods, Education, and Health. ERF Working Paper 1184.</t>
  </si>
  <si>
    <t xml:space="preserve">Jordan Labor Market Panel Survey 2016; 2015 census frame, includes unregistered Syrians, in camps and outside</t>
  </si>
  <si>
    <t xml:space="preserve">2016</t>
  </si>
  <si>
    <t xml:space="preserve">Year of arrival, household size, households headed by women, UNHCR registration, employment of men in camps and outside</t>
  </si>
  <si>
    <t xml:space="preserve">https://erf.org.eg/app/uploads/2018/04/1184_Final.pdf</t>
  </si>
  <si>
    <t xml:space="preserve">Krafft, C., Razzaz, S., Keo, C. and Assaad, R. (2019). The Number and Characteristics of Syrians in Jordan: A Multi-Source Analysis. ERF Working Paper 1288.</t>
  </si>
  <si>
    <t xml:space="preserve">2015 census (all Syrians) and UNHCR registration at 31 December 2016. Registration includes camp residents; the census is described as an enumeration of all persons in Jordan</t>
  </si>
  <si>
    <t xml:space="preserve">2015 and 2016</t>
  </si>
  <si>
    <t xml:space="preserve">Syrians by governorate in each source; total registered; share registered according to the census</t>
  </si>
  <si>
    <t xml:space="preserve">https://erf.org.eg/app/uploads/2019/02/12881.pdf</t>
  </si>
  <si>
    <t xml:space="preserve">Tiltnes, Å., Zhang, H. and Pedersen, J. (2019). The living conditions of Syrian refugees in Jordan: Results from the 2017-2018 survey of Syrian refugees inside and outside camps. Fafo-report 2019:04.</t>
  </si>
  <si>
    <t xml:space="preserve">7,632 Syrian refugee households inside and outside the camps; 2015 census frame</t>
  </si>
  <si>
    <t xml:space="preserve">November 2017 to January 2018</t>
  </si>
  <si>
    <t xml:space="preserve">Origin, household size by place, households headed by women, debt, savings, rent, assets, income sources by place</t>
  </si>
  <si>
    <t xml:space="preserve">https://fafo.no/images/pub/2019/20701.pdf</t>
  </si>
  <si>
    <t xml:space="preserve">WFP and REACH (2016). Comprehensive Food Security Monitoring Exercise (CFSME) 2016. Final presentation and summary.</t>
  </si>
  <si>
    <t xml:space="preserve">3,253 Syrian refugee households (5,252 registration cases); the figures used are for host communities</t>
  </si>
  <si>
    <t xml:space="preserve">April and May 2016</t>
  </si>
  <si>
    <t xml:space="preserve">Debt, savings, spending per household member, rent, household size, income sources</t>
  </si>
  <si>
    <t xml:space="preserve">https://repository.impact-initiatives.org/document/reach/45b5fee0/reach_jor_wfp_cfsme2016_final_presentation.pdf</t>
  </si>
  <si>
    <t xml:space="preserve">UNHCR (2015). Vulnerability Assessment Framework: Baseline Survey, May 2015.</t>
  </si>
  <si>
    <t xml:space="preserve">Registered Syrian refugees outside the camps</t>
  </si>
  <si>
    <t xml:space="preserve">2015</t>
  </si>
  <si>
    <t xml:space="preserve">People and cases below the poverty line of JD 68 per person per month</t>
  </si>
  <si>
    <t xml:space="preserve">https://haqqi.info/en/haqqi/research/vulnerability-assessment-framework-baseline-survey-may-2015</t>
  </si>
  <si>
    <t xml:space="preserve">WFP (2016). WFP Jordan Situation Report #8, 15 March 2016.</t>
  </si>
  <si>
    <t xml:space="preserve">People reached with food assistance in February 2016, in camps and in communities</t>
  </si>
  <si>
    <t xml:space="preserve">February 2016</t>
  </si>
  <si>
    <t xml:space="preserve">People assisted in camps and in communities, value of the transfer by tier, registered refugees and the share living in communities</t>
  </si>
  <si>
    <t xml:space="preserve">https://docs.wfp.org/api/documents/80497a979b1b449984087a3216fdd98f/download/</t>
  </si>
  <si>
    <t xml:space="preserve">Reach Project (2017). UNHCR Jordan's Biometric Cash Assistance Program for Syrian Refugees. University of Toronto.</t>
  </si>
  <si>
    <t xml:space="preserve">UNHCR monthly cash programme for Syrian refugees outside the camps</t>
  </si>
  <si>
    <t xml:space="preserve">February and March 2017</t>
  </si>
  <si>
    <t xml:space="preserve">Families and people receiving cash; share of registered refugees living outside the camps</t>
  </si>
  <si>
    <t xml:space="preserve">https://reachalliance.org/wp-content/uploads/2017/03/JORDAN_CaseStudy_ReachProject2017.pdf</t>
  </si>
  <si>
    <t xml:space="preserve">Doocy, S., Lyles, E., Akhu-Zaheya, L., Oweis, A., Al Ward, N. and Burton, A. (2016). Health Service Utilization among Syrian Refugees with Chronic Health Conditions in Jordan. PLoS ONE 11(4), e0150088.</t>
  </si>
  <si>
    <t xml:space="preserve">1,550 Syrian refugee households outside the camps, national cluster sample</t>
  </si>
  <si>
    <t xml:space="preserve">June 2014</t>
  </si>
  <si>
    <t xml:space="preserve">Households with a member diagnosed with at least one of five chronic diseases; fee change of November 2014</t>
  </si>
  <si>
    <t xml:space="preserve">https://pmc.ncbi.nlm.nih.gov/articles/PMC4830531</t>
  </si>
  <si>
    <t xml:space="preserve">Obi, C. T. (2021). The Impact of Living Arrangements (In-Camp versus Out-of-Camp) on the Quality of Life: Case Study of Syrian Refugees in Jordan. World Bank Policy Research Working Paper 9533.</t>
  </si>
  <si>
    <t xml:space="preserve">2,399 Syrian refugee households (832 in Zaatari and 359 in Azraq); Syrian Refugee and Host Community Survey</t>
  </si>
  <si>
    <t xml:space="preserve">Households at risk of abject poverty in camps and outside (national line of JD 336 per person per year, listed under income); read in the summary and in the paper</t>
  </si>
  <si>
    <t xml:space="preserve">https://www.jointdatacenter.org/literature_review/the-impact-of-living-arrangements-in-camp-versus-out-of-camp-on-the-quality-of-life-case-study-of-syrian-refugees-in-jordan/</t>
  </si>
  <si>
    <t xml:space="preserve">IRIN 2013</t>
  </si>
  <si>
    <t xml:space="preserve">IRIN, now The New Humanitarian (2013). Planning for winter in Jordan's Za'atari camp, 4 November 2013.</t>
  </si>
  <si>
    <t xml:space="preserve">News report from Zaatari</t>
  </si>
  <si>
    <t xml:space="preserve">November 2013</t>
  </si>
  <si>
    <t xml:space="preserve">Buying and selling of caravans inside the camp</t>
  </si>
  <si>
    <t xml:space="preserve">https://www.thenewhumanitarian.org/node/254075</t>
  </si>
  <si>
    <t xml:space="preserve">Syria Direct 2025</t>
  </si>
  <si>
    <t xml:space="preserve">Syria Direct (2025). As Syrian refugees leave Zaatari, some bring their caravans with them, 27 August 2025.</t>
  </si>
  <si>
    <t xml:space="preserve">August 2025</t>
  </si>
  <si>
    <t xml:space="preserve">Caravans changed hands inside the camp for years; sale was not permitted</t>
  </si>
  <si>
    <t xml:space="preserve">https://syriadirect.org/as-syrian-refugees-leave-zaatari-some-bring-their-caravans-with-them/</t>
  </si>
  <si>
    <t xml:space="preserve">REACH (2014). Al Za'atari Camp Population Profiling, May 2014.</t>
  </si>
  <si>
    <t xml:space="preserve">Zaatari households (the summary page gives no sample size)</t>
  </si>
  <si>
    <t xml:space="preserve">May 2014</t>
  </si>
  <si>
    <t xml:space="preserve">Households that came to the camp straight from Syria</t>
  </si>
  <si>
    <t xml:space="preserve">https://reliefweb.int/report/jordan/al-za-atari-camp-population-profiling-al-mafraq-governorate-jordan-camp-population</t>
  </si>
  <si>
    <t xml:space="preserve">WFP 2016b</t>
  </si>
  <si>
    <t xml:space="preserve">WFP (2016). WFP Jordan Situation Report #13, 28 September 2016.</t>
  </si>
  <si>
    <t xml:space="preserve">People reached with food assistance in August 2016</t>
  </si>
  <si>
    <t xml:space="preserve">August 2016</t>
  </si>
  <si>
    <t xml:space="preserve">All eligible Syrian refugees receive a monthly transfer, delivered through electronic cards and paper vouchers</t>
  </si>
  <si>
    <t xml:space="preserve">https://docs.wfp.org/api/documents/fae7aff6c26f4dd090dd8caa2bc23ef7/download/</t>
  </si>
  <si>
    <t xml:space="preserve">PBS 2016</t>
  </si>
  <si>
    <t xml:space="preserve">PBS NewsHour (2016). World's largest Syrian refugee camp has developed its own economy. 18 June 2016.</t>
  </si>
  <si>
    <t xml:space="preserve">June 2016</t>
  </si>
  <si>
    <t xml:space="preserve">About 3,000 businesses in the camp</t>
  </si>
  <si>
    <t xml:space="preserve">https://www.pbs.org/newshour/show/worlds-largest-syrian-refugee-camp-has-developed-its-own-economy</t>
  </si>
  <si>
    <t xml:space="preserve">Step 2 of the review: whom the sample represents</t>
  </si>
  <si>
    <t xml:space="preserve">2016 survey, with fieldwork from June to August 2016 (recorded on 21 October 2026): 391 Syrian households in Jordan, 257 in Zaatari camp and 134 in the towns. How households were chosen (description of the fieldwork recorded on 8 October 2026; the file does not record it): in the camp, random selection within each district; in the northern towns, stratified snowball sampling, in which households are reached by referral from other households within groups set beforehand (the file does not record which groups), with interviews by day and at home. The towns group is therefore not a probability sample.</t>
  </si>
  <si>
    <t xml:space="preserve">What was done</t>
  </si>
  <si>
    <t xml:space="preserve">1. The profile of each group was computed in the household file (b1_profile.py). The computation ran on the author's computer and only aggregates left it, verified when copied by their md5 checksum, a fingerprint of the file. Script names are in Spanish (b1_profile.py, b2_checks.py, b3_quien_respondio.py, b4_vale_exacto.py, b5_ingreso_bajo_la_linea.py).</t>
  </si>
  <si>
    <t xml:space="preserve">2. For each figure, the published figure closest in time and population was sought: counts and records from the camp, representative surveys from 2014 to 2018 and records of the assistance programmes.</t>
  </si>
  <si>
    <t xml:space="preserve">3. Each published figure was read at its source and read again asking for the exact sentence. The Sources sheet has the citation and the link; the Calculations sheet, the figures that enter a computation.</t>
  </si>
  <si>
    <t xml:space="preserve">4. The main survey figures were counted a second time from the CSV with separate code (b2_checks.py) and matched.</t>
  </si>
  <si>
    <t xml:space="preserve">5. Blind replication (9 October 2026). A separate instance of the AI assistant that prepared this review, given only written definitions and no code or results, recomputed the whole profile on the author's computer: 909 values (94 tables of the profile, the tables on who answered and the exact voucher amounts), all equal to the originals. The figures counted in people, not households, were counted again from the CSV with separate code and matched.</t>
  </si>
  <si>
    <t xml:space="preserve">6. Blind reading of the published figures (9 October 2026). Separate readers were given each statement with its numbers removed and filled the blanks from the sources. Of 240 blanks, 175 came back equal to the figure used here (allowing for shares written as percentages and for rounding). Of the other 65: 38 are figures of this survey, replicated as in point 5; 14 are calculations made here from published components, which the readers confirmed; 11 come from a second source the readers had not been given (all read again afterwards); one, the share of camp residents receiving the voucher, is not printed in the source and was removed; and one, the share of Syrians registered according to the census, belongs to another paper and is now attributed to it. The reading also corrected five descriptions: the Zaatari count does list Damascus apart from Rif Dimashq; Fafo publishes a median rent; the figure on household size in the census comes from Fafo; the 2.2% of the 2014 profile measures something else; and the line used by Obi (2021) sits with income, so the comparison now uses reported income.</t>
  </si>
  <si>
    <t xml:space="preserve">How to read the Comparison sheet</t>
  </si>
  <si>
    <t xml:space="preserve">Survey: value = households meeting the condition divided by households answering. A blank is a missing value, not a zero. Amounts are in Jordanian dinars (JD) per month.</t>
  </si>
  <si>
    <t xml:space="preserve">Difference = survey minus published figure, in percentage points or in the unit of the row.</t>
  </si>
  <si>
    <t xml:space="preserve">Survey margin = 1.96 standard errors of the percentage, in points. With 134 households it reaches about 8 points and with 257 about 6.</t>
  </si>
  <si>
    <t xml:space="preserve">Reading: "Close" if the difference is below 10 points (or 15% for amounts and sizes). "Within the margin" if it is 10 points or more but no larger than nine tenths of the survey margin. "At the edge of the margin" if it lies within a tenth of the margin, above or below it. "Differs" if it is 10 points or more and exceeds the margin by more than a tenth.</t>
  </si>
  <si>
    <t xml:space="preserve">The 10-point threshold is deliberately wide: the sources come from other years, use other definitions and carry their own sampling error.</t>
  </si>
  <si>
    <t xml:space="preserve">"Not the same measure": the survey and the source measure different things and the difference is not interpreted. "With care" in the Same measure? column warns that the base, the year or the unit changes; the note says which.</t>
  </si>
  <si>
    <t xml:space="preserve">Protection rules</t>
  </si>
  <si>
    <t xml:space="preserve">No count below ten households is reported, nor when what falls outside a category is fewer than ten households ("nearly all"). Where two counts side by side would give away a count below ten, one of them is left out. The answering totals beside the group sizes still give the number of households that did not answer a question, often below ten; that is inherent in showing bases and is accepted here.</t>
  </si>
  <si>
    <t xml:space="preserve">Health enters only as a share of the group and is not crossed with place. No open answers and no household-level records are used.</t>
  </si>
  <si>
    <t xml:space="preserve">Only published figures from other sources are used; no external microdata were used.</t>
  </si>
  <si>
    <t xml:space="preserve">What this step does not do</t>
  </si>
  <si>
    <t xml:space="preserve">It estimates no effects and does not adjust the groups. It builds no weights: the towns group is not a probability sample and has fewer than ten households in Amman, so it cannot be made to represent all households outside the camps.</t>
  </si>
  <si>
    <t xml:space="preserve">Edition</t>
  </si>
  <si>
    <t xml:space="preserve">English edition of 23 October 2026, the fifth: it reads "fewer than ten households in Amman" where it said "almost no households", the wording of the other materials (second blind reading of the protection of households, 23 October 2026); no figure changes. The fourth edition, of 22 October 2026, withholds the survey value of No. 49 (some assistance among the sources), which with No. 46 gave a count below ten (second blind reading of the working paper, 22 October 2026). The third edition, of 21 October 2026, recorded the fieldwork months, restated the working notes as decision records and kept No. 47 on its base (the households that name the voucher) now that the lower voucher tier of step 3 also holds the households that name no voucher. The edition of 13 October 2026 carried the corrections of the independent review of 9 October 2026 (Findings sheet, last finding), defined the voucher tier (No. 47) as in step 3, applied one rule with three bands to the readings and gave the Calculations sheet keys in English.</t>
  </si>
</sst>
</file>

<file path=xl/styles.xml><?xml version="1.0" encoding="utf-8"?>
<styleSheet xmlns="http://schemas.openxmlformats.org/spreadsheetml/2006/main">
  <numFmts count="8">
    <numFmt numFmtId="164" formatCode="General"/>
    <numFmt numFmtId="165" formatCode="0.0%"/>
    <numFmt numFmtId="166" formatCode="\+0.0;\-0.0;0.0"/>
    <numFmt numFmtId="167" formatCode="0.0"/>
    <numFmt numFmtId="168" formatCode="#,##0"/>
    <numFmt numFmtId="169" formatCode="0.00"/>
    <numFmt numFmtId="170" formatCode="\+0.00;\-0.00;0.00"/>
    <numFmt numFmtId="171" formatCode="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b val="true"/>
      <sz val="12"/>
      <name val="Arial"/>
      <family val="0"/>
      <charset val="1"/>
    </font>
    <font>
      <i val="true"/>
      <sz val="10"/>
      <name val="Arial"/>
      <family val="0"/>
      <charset val="1"/>
    </font>
    <font>
      <sz val="10"/>
      <color rgb="FF0000FF"/>
      <name val="Arial"/>
      <family val="0"/>
      <charset val="1"/>
    </font>
    <font>
      <u val="single"/>
      <sz val="10"/>
      <color rgb="FF0563C1"/>
      <name val="Arial"/>
      <family val="0"/>
      <charset val="1"/>
    </font>
  </fonts>
  <fills count="3">
    <fill>
      <patternFill patternType="none"/>
    </fill>
    <fill>
      <patternFill patternType="gray125"/>
    </fill>
    <fill>
      <patternFill patternType="solid">
        <fgColor rgb="FF1F2937"/>
        <bgColor rgb="FF3333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6" fontId="5" fillId="0" borderId="1" xfId="0" applyFont="true" applyBorder="true" applyAlignment="true" applyProtection="false">
      <alignment horizontal="center" vertical="top" textRotation="0" wrapText="false" indent="0" shrinkToFit="false"/>
      <protection locked="true" hidden="false"/>
    </xf>
    <xf numFmtId="167" fontId="5"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7" fontId="5"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E7E6E6"/>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E699"/>
          <bgColor rgb="FF000000"/>
        </patternFill>
      </fill>
    </dxf>
    <dxf>
      <fill>
        <patternFill>
          <bgColor rgb="FFE2EFDA"/>
        </patternFill>
      </fill>
    </dxf>
    <dxf>
      <fill>
        <patternFill>
          <bgColor rgb="FFFFF2CC"/>
        </patternFill>
      </fill>
    </dxf>
    <dxf>
      <fill>
        <patternFill>
          <bgColor rgb="FFFFE699"/>
        </patternFill>
      </fill>
    </dxf>
    <dxf>
      <fill>
        <patternFill>
          <bgColor rgb="FFFCE4D6"/>
        </patternFill>
      </fill>
    </dxf>
    <dxf>
      <fill>
        <patternFill>
          <bgColor rgb="FFE7E6E6"/>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E7E6E6"/>
      <rgbColor rgb="FFE2EFDA"/>
      <rgbColor rgb="FFFFE6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hyperlink" Target="https://repository.impact-initiatives.org/document/impact/5949aa0e/reach_jor_report_zaatari_camp_population_count_february2015_1.pdf" TargetMode="External"/><Relationship Id="rId2" Type="http://schemas.openxmlformats.org/officeDocument/2006/relationships/hyperlink" Target="https://repository.impact-initiatives.org/document/impact/1578312c/reach_jor_factsheet_zaataricamp_winterizationassessment_shelternfis_aug2016_1.pdf" TargetMode="External"/><Relationship Id="rId3" Type="http://schemas.openxmlformats.org/officeDocument/2006/relationships/hyperlink" Target="https://m.reliefweb.int/report/956161" TargetMode="External"/><Relationship Id="rId4" Type="http://schemas.openxmlformats.org/officeDocument/2006/relationships/hyperlink" Target="https://m.reliefweb.int/report/2465204" TargetMode="External"/><Relationship Id="rId5" Type="http://schemas.openxmlformats.org/officeDocument/2006/relationships/hyperlink" Target="https://erf.org.eg/app/uploads/2018/04/1184_Final.pdf" TargetMode="External"/><Relationship Id="rId6" Type="http://schemas.openxmlformats.org/officeDocument/2006/relationships/hyperlink" Target="https://erf.org.eg/app/uploads/2019/02/12881.pdf" TargetMode="External"/><Relationship Id="rId7" Type="http://schemas.openxmlformats.org/officeDocument/2006/relationships/hyperlink" Target="https://fafo.no/images/pub/2019/20701.pdf" TargetMode="External"/><Relationship Id="rId8" Type="http://schemas.openxmlformats.org/officeDocument/2006/relationships/hyperlink" Target="https://repository.impact-initiatives.org/document/reach/45b5fee0/reach_jor_wfp_cfsme2016_final_presentation.pdf" TargetMode="External"/><Relationship Id="rId9" Type="http://schemas.openxmlformats.org/officeDocument/2006/relationships/hyperlink" Target="https://haqqi.info/en/haqqi/research/vulnerability-assessment-framework-baseline-survey-may-2015" TargetMode="External"/><Relationship Id="rId10" Type="http://schemas.openxmlformats.org/officeDocument/2006/relationships/hyperlink" Target="https://docs.wfp.org/api/documents/80497a979b1b449984087a3216fdd98f/download/" TargetMode="External"/><Relationship Id="rId11" Type="http://schemas.openxmlformats.org/officeDocument/2006/relationships/hyperlink" Target="https://reachalliance.org/wp-content/uploads/2017/03/JORDAN_CaseStudy_ReachProject2017.pdf" TargetMode="External"/><Relationship Id="rId12" Type="http://schemas.openxmlformats.org/officeDocument/2006/relationships/hyperlink" Target="https://pmc.ncbi.nlm.nih.gov/articles/PMC4830531" TargetMode="External"/><Relationship Id="rId13" Type="http://schemas.openxmlformats.org/officeDocument/2006/relationships/hyperlink" Target="https://www.jointdatacenter.org/literature_review/the-impact-of-living-arrangements-in-camp-versus-out-of-camp-on-the-quality-of-life-case-study-of-syrian-refugees-in-jordan/" TargetMode="External"/><Relationship Id="rId14" Type="http://schemas.openxmlformats.org/officeDocument/2006/relationships/hyperlink" Target="https://www.thenewhumanitarian.org/node/254075" TargetMode="External"/><Relationship Id="rId15" Type="http://schemas.openxmlformats.org/officeDocument/2006/relationships/hyperlink" Target="https://syriadirect.org/as-syrian-refugees-leave-zaatari-some-bring-their-caravans-with-them/" TargetMode="External"/><Relationship Id="rId16" Type="http://schemas.openxmlformats.org/officeDocument/2006/relationships/hyperlink" Target="https://reliefweb.int/report/jordan/al-za-atari-camp-population-profiling-al-mafraq-governorate-jordan-camp-population" TargetMode="External"/><Relationship Id="rId17" Type="http://schemas.openxmlformats.org/officeDocument/2006/relationships/hyperlink" Target="https://docs.wfp.org/api/documents/fae7aff6c26f4dd090dd8caa2bc23ef7/download/" TargetMode="External"/><Relationship Id="rId18" Type="http://schemas.openxmlformats.org/officeDocument/2006/relationships/hyperlink" Target="https://www.pbs.org/newshour/show/worlds-largest-syrian-refugee-camp-has-developed-its-own-economy"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7"/>
    <col collapsed="false" customWidth="true" hidden="false" outlineLevel="0" max="4" min="4" style="0" width="40"/>
    <col collapsed="false" customWidth="true" hidden="false" outlineLevel="0" max="6" min="5" style="0" width="12"/>
    <col collapsed="false" customWidth="true" hidden="false" outlineLevel="0" max="7" min="7" style="0" width="14"/>
    <col collapsed="false" customWidth="true" hidden="false" outlineLevel="0" max="8" min="8" style="0" width="9"/>
    <col collapsed="false" customWidth="true" hidden="false" outlineLevel="0" max="9" min="9" style="0" width="14"/>
    <col collapsed="false" customWidth="true" hidden="false" outlineLevel="0" max="10" min="10" style="0" width="46"/>
    <col collapsed="false" customWidth="true" hidden="false" outlineLevel="0" max="11" min="11" style="0" width="19"/>
    <col collapsed="false" customWidth="true" hidden="false" outlineLevel="0" max="14" min="12" style="0" width="12"/>
    <col collapsed="false" customWidth="true" hidden="false" outlineLevel="0" max="15" min="15" style="0" width="19"/>
    <col collapsed="false" customWidth="true" hidden="false" outlineLevel="0" max="16" min="16" style="0" width="70"/>
  </cols>
  <sheetData>
    <row r="1" customFormat="false" ht="43.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23.85" hidden="false" customHeight="false" outlineLevel="0" collapsed="false">
      <c r="A2" s="2" t="n">
        <v>1</v>
      </c>
      <c r="B2" s="3" t="s">
        <v>16</v>
      </c>
      <c r="C2" s="4" t="s">
        <v>17</v>
      </c>
      <c r="D2" s="4" t="s">
        <v>18</v>
      </c>
      <c r="E2" s="2" t="n">
        <v>211</v>
      </c>
      <c r="F2" s="2" t="n">
        <v>246</v>
      </c>
      <c r="G2" s="5" t="n">
        <f aca="false">E2/F2</f>
        <v>0.857723577235772</v>
      </c>
      <c r="H2" s="2" t="s">
        <v>19</v>
      </c>
      <c r="I2" s="5" t="n">
        <v>0.817</v>
      </c>
      <c r="J2" s="4" t="s">
        <v>20</v>
      </c>
      <c r="K2" s="4" t="s">
        <v>21</v>
      </c>
      <c r="L2" s="2" t="s">
        <v>22</v>
      </c>
      <c r="M2" s="6" t="n">
        <f aca="false">IF(AND(ISNUMBER(G2),ISNUMBER(I2)),IF(H2="%",(G2-I2)*100,G2-I2),"")</f>
        <v>4.07235772357724</v>
      </c>
      <c r="N2" s="7" t="n">
        <f aca="false">IF(AND(H2="%",ISNUMBER(G2),ISNUMBER(F2)),1.96*SQRT(G2*(1-G2)/F2)*100,"")</f>
        <v>4.36544640310353</v>
      </c>
      <c r="O2" s="8" t="str">
        <f aca="false">IF(L2="No","Not the same measure",IF(H2="%",IF(ABS(M2)&lt;10,"Close",IF(ABS(M2)&lt;=0.9*N2,"Within the margin",IF(ABS(M2)&lt;=1.1*N2,"At the edge of the margin","Differs"))),IF(ABS(M2)/I2&lt;0.15,"Close","Differs")))</f>
        <v>Close</v>
      </c>
      <c r="P2" s="4" t="s">
        <v>23</v>
      </c>
    </row>
    <row r="3" customFormat="false" ht="23.85" hidden="false" customHeight="false" outlineLevel="0" collapsed="false">
      <c r="A3" s="2" t="n">
        <v>2</v>
      </c>
      <c r="B3" s="3" t="s">
        <v>16</v>
      </c>
      <c r="C3" s="4" t="s">
        <v>17</v>
      </c>
      <c r="D3" s="4" t="s">
        <v>24</v>
      </c>
      <c r="E3" s="2" t="n">
        <v>23</v>
      </c>
      <c r="F3" s="2" t="n">
        <v>246</v>
      </c>
      <c r="G3" s="5" t="n">
        <f aca="false">E3/F3</f>
        <v>0.0934959349593496</v>
      </c>
      <c r="H3" s="2" t="s">
        <v>19</v>
      </c>
      <c r="I3" s="5" t="n">
        <f aca="false">Calculations!$C$42</f>
        <v>0.1527</v>
      </c>
      <c r="J3" s="4" t="s">
        <v>25</v>
      </c>
      <c r="K3" s="4" t="s">
        <v>21</v>
      </c>
      <c r="L3" s="2" t="s">
        <v>22</v>
      </c>
      <c r="M3" s="6" t="n">
        <f aca="false">IF(AND(ISNUMBER(G3),ISNUMBER(I3)),IF(H3="%",(G3-I3)*100,G3-I3),"")</f>
        <v>-5.92040650406504</v>
      </c>
      <c r="N3" s="7" t="n">
        <f aca="false">IF(AND(H3="%",ISNUMBER(G3),ISNUMBER(F3)),1.96*SQRT(G3*(1-G3)/F3)*100,"")</f>
        <v>3.63805918685125</v>
      </c>
      <c r="O3" s="8" t="str">
        <f aca="false">IF(L3="No","Not the same measure",IF(H3="%",IF(ABS(M3)&lt;10,"Close",IF(ABS(M3)&lt;=0.9*N3,"Within the margin",IF(ABS(M3)&lt;=1.1*N3,"At the edge of the margin","Differs"))),IF(ABS(M3)/I3&lt;0.15,"Close","Differs")))</f>
        <v>Close</v>
      </c>
      <c r="P3" s="4"/>
    </row>
    <row r="4" customFormat="false" ht="46.25" hidden="false" customHeight="false" outlineLevel="0" collapsed="false">
      <c r="A4" s="2" t="n">
        <v>3</v>
      </c>
      <c r="B4" s="3" t="s">
        <v>16</v>
      </c>
      <c r="C4" s="4" t="s">
        <v>17</v>
      </c>
      <c r="D4" s="4" t="s">
        <v>26</v>
      </c>
      <c r="E4" s="2" t="s">
        <v>27</v>
      </c>
      <c r="F4" s="2" t="n">
        <v>249</v>
      </c>
      <c r="G4" s="9" t="s">
        <v>28</v>
      </c>
      <c r="H4" s="2" t="s">
        <v>29</v>
      </c>
      <c r="I4" s="9" t="s">
        <v>30</v>
      </c>
      <c r="J4" s="4" t="s">
        <v>31</v>
      </c>
      <c r="K4" s="4" t="s">
        <v>21</v>
      </c>
      <c r="L4" s="2" t="s">
        <v>22</v>
      </c>
      <c r="M4" s="6" t="str">
        <f aca="false">IF(AND(ISNUMBER(G4),ISNUMBER(I4)),IF(H4="%",(G4-I4)*100,G4-I4),"")</f>
        <v/>
      </c>
      <c r="N4" s="7" t="str">
        <f aca="false">IF(AND(H4="%",ISNUMBER(G4),ISNUMBER(F4)),1.96*SQRT(G4*(1-G4)/F4)*100,"")</f>
        <v/>
      </c>
      <c r="O4" s="8" t="s">
        <v>32</v>
      </c>
      <c r="P4" s="4" t="s">
        <v>33</v>
      </c>
    </row>
    <row r="5" customFormat="false" ht="35.05" hidden="false" customHeight="false" outlineLevel="0" collapsed="false">
      <c r="A5" s="2" t="n">
        <v>4</v>
      </c>
      <c r="B5" s="3" t="s">
        <v>16</v>
      </c>
      <c r="C5" s="4" t="s">
        <v>17</v>
      </c>
      <c r="D5" s="4" t="s">
        <v>34</v>
      </c>
      <c r="E5" s="2"/>
      <c r="F5" s="2" t="n">
        <v>257</v>
      </c>
      <c r="G5" s="9" t="n">
        <v>5</v>
      </c>
      <c r="H5" s="2" t="s">
        <v>35</v>
      </c>
      <c r="I5" s="9" t="n">
        <f aca="false">Calculations!$C$23</f>
        <v>5.60680692180656</v>
      </c>
      <c r="J5" s="4" t="s">
        <v>36</v>
      </c>
      <c r="K5" s="4" t="s">
        <v>21</v>
      </c>
      <c r="L5" s="2" t="s">
        <v>22</v>
      </c>
      <c r="M5" s="6" t="n">
        <f aca="false">IF(AND(ISNUMBER(G5),ISNUMBER(I5)),IF(H5="%",(G5-I5)*100,G5-I5),"")</f>
        <v>-0.606806921806562</v>
      </c>
      <c r="N5" s="7" t="str">
        <f aca="false">IF(AND(H5="%",ISNUMBER(G5),ISNUMBER(F5)),1.96*SQRT(G5*(1-G5)/F5)*100,"")</f>
        <v/>
      </c>
      <c r="O5" s="8" t="str">
        <f aca="false">IF(L5="No","Not the same measure",IF(H5="%",IF(ABS(M5)&lt;10,"Close",IF(ABS(M5)&lt;=0.9*N5,"Within the margin",IF(ABS(M5)&lt;=1.1*N5,"At the edge of the margin","Differs"))),IF(ABS(M5)/I5&lt;0.15,"Close","Differs")))</f>
        <v>Close</v>
      </c>
      <c r="P5" s="4" t="s">
        <v>37</v>
      </c>
    </row>
    <row r="6" customFormat="false" ht="23.85" hidden="false" customHeight="false" outlineLevel="0" collapsed="false">
      <c r="A6" s="2" t="n">
        <v>5</v>
      </c>
      <c r="B6" s="3" t="s">
        <v>16</v>
      </c>
      <c r="C6" s="4" t="s">
        <v>38</v>
      </c>
      <c r="D6" s="4" t="s">
        <v>39</v>
      </c>
      <c r="E6" s="2" t="n">
        <v>104</v>
      </c>
      <c r="F6" s="2" t="n">
        <v>234</v>
      </c>
      <c r="G6" s="5" t="n">
        <f aca="false">E6/F6</f>
        <v>0.444444444444444</v>
      </c>
      <c r="H6" s="2" t="s">
        <v>19</v>
      </c>
      <c r="I6" s="5" t="n">
        <f aca="false">Calculations!$C$24</f>
        <v>0.23</v>
      </c>
      <c r="J6" s="4" t="s">
        <v>40</v>
      </c>
      <c r="K6" s="4" t="s">
        <v>21</v>
      </c>
      <c r="L6" s="2" t="s">
        <v>41</v>
      </c>
      <c r="M6" s="6" t="n">
        <f aca="false">IF(AND(ISNUMBER(G6),ISNUMBER(I6)),IF(H6="%",(G6-I6)*100,G6-I6),"")</f>
        <v>21.4444444444444</v>
      </c>
      <c r="N6" s="7" t="n">
        <f aca="false">IF(AND(H6="%",ISNUMBER(G6),ISNUMBER(F6)),1.96*SQRT(G6*(1-G6)/F6)*100,"")</f>
        <v>6.36679154756214</v>
      </c>
      <c r="O6" s="8" t="str">
        <f aca="false">IF(L6="No","Not the same measure",IF(H6="%",IF(ABS(M6)&lt;10,"Close",IF(ABS(M6)&lt;=0.9*N6,"Within the margin",IF(ABS(M6)&lt;=1.1*N6,"At the edge of the margin","Differs"))),IF(ABS(M6)/I6&lt;0.15,"Close","Differs")))</f>
        <v>Differs</v>
      </c>
      <c r="P6" s="4" t="s">
        <v>42</v>
      </c>
    </row>
    <row r="7" customFormat="false" ht="23.85" hidden="false" customHeight="false" outlineLevel="0" collapsed="false">
      <c r="A7" s="2" t="n">
        <v>6</v>
      </c>
      <c r="B7" s="3" t="s">
        <v>16</v>
      </c>
      <c r="C7" s="4" t="s">
        <v>38</v>
      </c>
      <c r="D7" s="4" t="s">
        <v>43</v>
      </c>
      <c r="E7" s="2" t="n">
        <v>96</v>
      </c>
      <c r="F7" s="2" t="n">
        <v>234</v>
      </c>
      <c r="G7" s="5" t="n">
        <f aca="false">E7/F7</f>
        <v>0.41025641025641</v>
      </c>
      <c r="H7" s="2" t="s">
        <v>19</v>
      </c>
      <c r="I7" s="5" t="n">
        <f aca="false">Calculations!$C$27</f>
        <v>0.6</v>
      </c>
      <c r="J7" s="4" t="s">
        <v>44</v>
      </c>
      <c r="K7" s="4" t="s">
        <v>21</v>
      </c>
      <c r="L7" s="2" t="s">
        <v>41</v>
      </c>
      <c r="M7" s="6" t="n">
        <f aca="false">IF(AND(ISNUMBER(G7),ISNUMBER(I7)),IF(H7="%",(G7-I7)*100,G7-I7),"")</f>
        <v>-18.974358974359</v>
      </c>
      <c r="N7" s="7" t="n">
        <f aca="false">IF(AND(H7="%",ISNUMBER(G7),ISNUMBER(F7)),1.96*SQRT(G7*(1-G7)/F7)*100,"")</f>
        <v>6.3024214992372</v>
      </c>
      <c r="O7" s="8" t="str">
        <f aca="false">IF(L7="No","Not the same measure",IF(H7="%",IF(ABS(M7)&lt;10,"Close",IF(ABS(M7)&lt;=0.9*N7,"Within the margin",IF(ABS(M7)&lt;=1.1*N7,"At the edge of the margin","Differs"))),IF(ABS(M7)/I7&lt;0.15,"Close","Differs")))</f>
        <v>Differs</v>
      </c>
      <c r="P7" s="4"/>
    </row>
    <row r="8" customFormat="false" ht="23.85" hidden="false" customHeight="false" outlineLevel="0" collapsed="false">
      <c r="A8" s="2" t="n">
        <v>7</v>
      </c>
      <c r="B8" s="3" t="s">
        <v>16</v>
      </c>
      <c r="C8" s="4" t="s">
        <v>38</v>
      </c>
      <c r="D8" s="4" t="s">
        <v>45</v>
      </c>
      <c r="E8" s="2" t="n">
        <v>34</v>
      </c>
      <c r="F8" s="2" t="n">
        <v>234</v>
      </c>
      <c r="G8" s="5" t="n">
        <f aca="false">E8/F8</f>
        <v>0.145299145299145</v>
      </c>
      <c r="H8" s="2" t="s">
        <v>19</v>
      </c>
      <c r="I8" s="5" t="n">
        <f aca="false">Calculations!$C$30</f>
        <v>0.17</v>
      </c>
      <c r="J8" s="4" t="s">
        <v>46</v>
      </c>
      <c r="K8" s="4" t="s">
        <v>21</v>
      </c>
      <c r="L8" s="2" t="s">
        <v>41</v>
      </c>
      <c r="M8" s="6" t="n">
        <f aca="false">IF(AND(ISNUMBER(G8),ISNUMBER(I8)),IF(H8="%",(G8-I8)*100,G8-I8),"")</f>
        <v>-2.47008547008547</v>
      </c>
      <c r="N8" s="7" t="n">
        <f aca="false">IF(AND(H8="%",ISNUMBER(G8),ISNUMBER(F8)),1.96*SQRT(G8*(1-G8)/F8)*100,"")</f>
        <v>4.51530136331275</v>
      </c>
      <c r="O8" s="8" t="str">
        <f aca="false">IF(L8="No","Not the same measure",IF(H8="%",IF(ABS(M8)&lt;10,"Close",IF(ABS(M8)&lt;=0.9*N8,"Within the margin",IF(ABS(M8)&lt;=1.1*N8,"At the edge of the margin","Differs"))),IF(ABS(M8)/I8&lt;0.15,"Close","Differs")))</f>
        <v>Close</v>
      </c>
      <c r="P8" s="4"/>
    </row>
    <row r="9" customFormat="false" ht="35.05" hidden="false" customHeight="false" outlineLevel="0" collapsed="false">
      <c r="A9" s="2" t="n">
        <v>8</v>
      </c>
      <c r="B9" s="3" t="s">
        <v>16</v>
      </c>
      <c r="C9" s="4" t="s">
        <v>38</v>
      </c>
      <c r="D9" s="4" t="s">
        <v>47</v>
      </c>
      <c r="E9" s="2" t="n">
        <v>35</v>
      </c>
      <c r="F9" s="2" t="n">
        <v>257</v>
      </c>
      <c r="G9" s="5" t="n">
        <f aca="false">E9/F9</f>
        <v>0.136186770428016</v>
      </c>
      <c r="H9" s="2" t="s">
        <v>19</v>
      </c>
      <c r="I9" s="5" t="n">
        <v>0.022</v>
      </c>
      <c r="J9" s="4" t="s">
        <v>48</v>
      </c>
      <c r="K9" s="4" t="s">
        <v>49</v>
      </c>
      <c r="L9" s="2" t="s">
        <v>50</v>
      </c>
      <c r="M9" s="6" t="n">
        <f aca="false">IF(AND(ISNUMBER(G9),ISNUMBER(I9)),IF(H9="%",(G9-I9)*100,G9-I9),"")</f>
        <v>11.4186770428016</v>
      </c>
      <c r="N9" s="7" t="n">
        <f aca="false">IF(AND(H9="%",ISNUMBER(G9),ISNUMBER(F9)),1.96*SQRT(G9*(1-G9)/F9)*100,"")</f>
        <v>4.19340584073736</v>
      </c>
      <c r="O9" s="8" t="str">
        <f aca="false">IF(L9="No","Not the same measure",IF(H9="%",IF(ABS(M9)&lt;10,"Close",IF(ABS(M9)&lt;=0.9*N9,"Within the margin",IF(ABS(M9)&lt;=1.1*N9,"At the edge of the margin","Differs"))),IF(ABS(M9)/I9&lt;0.15,"Close","Differs")))</f>
        <v>Not the same measure</v>
      </c>
      <c r="P9" s="4" t="s">
        <v>51</v>
      </c>
    </row>
    <row r="10" customFormat="false" ht="46.25" hidden="false" customHeight="false" outlineLevel="0" collapsed="false">
      <c r="A10" s="2" t="n">
        <v>9</v>
      </c>
      <c r="B10" s="3" t="s">
        <v>16</v>
      </c>
      <c r="C10" s="4" t="s">
        <v>52</v>
      </c>
      <c r="D10" s="4" t="s">
        <v>53</v>
      </c>
      <c r="E10" s="2" t="s">
        <v>54</v>
      </c>
      <c r="F10" s="2" t="n">
        <v>16</v>
      </c>
      <c r="G10" s="9" t="s">
        <v>55</v>
      </c>
      <c r="H10" s="2" t="s">
        <v>29</v>
      </c>
      <c r="I10" s="5" t="n">
        <v>0.96</v>
      </c>
      <c r="J10" s="4" t="s">
        <v>56</v>
      </c>
      <c r="K10" s="4" t="s">
        <v>57</v>
      </c>
      <c r="L10" s="2" t="s">
        <v>50</v>
      </c>
      <c r="M10" s="6" t="str">
        <f aca="false">IF(AND(ISNUMBER(G10),ISNUMBER(I10)),IF(H10="%",(G10-I10)*100,G10-I10),"")</f>
        <v/>
      </c>
      <c r="N10" s="7" t="str">
        <f aca="false">IF(AND(H10="%",ISNUMBER(G10),ISNUMBER(F10)),1.96*SQRT(G10*(1-G10)/F10)*100,"")</f>
        <v/>
      </c>
      <c r="O10" s="8" t="s">
        <v>58</v>
      </c>
      <c r="P10" s="4"/>
    </row>
    <row r="11" customFormat="false" ht="23.85" hidden="false" customHeight="false" outlineLevel="0" collapsed="false">
      <c r="A11" s="2" t="n">
        <v>10</v>
      </c>
      <c r="B11" s="3" t="s">
        <v>16</v>
      </c>
      <c r="C11" s="4" t="s">
        <v>52</v>
      </c>
      <c r="D11" s="4" t="s">
        <v>59</v>
      </c>
      <c r="E11" s="2" t="n">
        <v>55</v>
      </c>
      <c r="F11" s="2" t="n">
        <v>256</v>
      </c>
      <c r="G11" s="5" t="n">
        <f aca="false">E11/F11</f>
        <v>0.21484375</v>
      </c>
      <c r="H11" s="2" t="s">
        <v>19</v>
      </c>
      <c r="I11" s="5" t="s">
        <v>60</v>
      </c>
      <c r="J11" s="4" t="s">
        <v>61</v>
      </c>
      <c r="K11" s="4" t="s">
        <v>62</v>
      </c>
      <c r="L11" s="2" t="s">
        <v>50</v>
      </c>
      <c r="M11" s="6" t="str">
        <f aca="false">IF(AND(ISNUMBER(G11),ISNUMBER(I11)),IF(H11="%",(G11-I11)*100,G11-I11),"")</f>
        <v/>
      </c>
      <c r="N11" s="7" t="n">
        <f aca="false">IF(AND(H11="%",ISNUMBER(G11),ISNUMBER(F11)),1.96*SQRT(G11*(1-G11)/F11)*100,"")</f>
        <v>5.03124535601858</v>
      </c>
      <c r="O11" s="8" t="s">
        <v>60</v>
      </c>
      <c r="P11" s="4" t="s">
        <v>63</v>
      </c>
    </row>
    <row r="12" customFormat="false" ht="23.85" hidden="false" customHeight="false" outlineLevel="0" collapsed="false">
      <c r="A12" s="2" t="n">
        <v>11</v>
      </c>
      <c r="B12" s="3" t="s">
        <v>16</v>
      </c>
      <c r="C12" s="4" t="s">
        <v>64</v>
      </c>
      <c r="D12" s="4" t="s">
        <v>65</v>
      </c>
      <c r="E12" s="2" t="n">
        <v>55</v>
      </c>
      <c r="F12" s="2" t="n">
        <v>257</v>
      </c>
      <c r="G12" s="5" t="n">
        <f aca="false">E12/F12</f>
        <v>0.214007782101167</v>
      </c>
      <c r="H12" s="2" t="s">
        <v>19</v>
      </c>
      <c r="I12" s="5" t="n">
        <v>0.2</v>
      </c>
      <c r="J12" s="4" t="s">
        <v>66</v>
      </c>
      <c r="K12" s="4" t="s">
        <v>67</v>
      </c>
      <c r="L12" s="2" t="s">
        <v>50</v>
      </c>
      <c r="M12" s="6" t="n">
        <f aca="false">IF(AND(ISNUMBER(G12),ISNUMBER(I12)),IF(H12="%",(G12-I12)*100,G12-I12),"")</f>
        <v>1.40077821011673</v>
      </c>
      <c r="N12" s="7" t="n">
        <f aca="false">IF(AND(H12="%",ISNUMBER(G12),ISNUMBER(F12)),1.96*SQRT(G12*(1-G12)/F12)*100,"")</f>
        <v>5.01433581621594</v>
      </c>
      <c r="O12" s="8" t="str">
        <f aca="false">IF(L12="No","Not the same measure",IF(H12="%",IF(ABS(M12)&lt;10,"Close",IF(ABS(M12)&lt;=0.9*N12,"Within the margin",IF(ABS(M12)&lt;=1.1*N12,"At the edge of the margin","Differs"))),IF(ABS(M12)/I12&lt;0.15,"Close","Differs")))</f>
        <v>Not the same measure</v>
      </c>
      <c r="P12" s="4" t="s">
        <v>68</v>
      </c>
    </row>
    <row r="13" customFormat="false" ht="23.85" hidden="false" customHeight="false" outlineLevel="0" collapsed="false">
      <c r="A13" s="2" t="n">
        <v>12</v>
      </c>
      <c r="B13" s="3" t="s">
        <v>16</v>
      </c>
      <c r="C13" s="4" t="s">
        <v>69</v>
      </c>
      <c r="D13" s="4" t="s">
        <v>70</v>
      </c>
      <c r="E13" s="2" t="n">
        <v>58</v>
      </c>
      <c r="F13" s="2" t="n">
        <v>196</v>
      </c>
      <c r="G13" s="5" t="n">
        <f aca="false">E13/F13</f>
        <v>0.295918367346939</v>
      </c>
      <c r="H13" s="2" t="s">
        <v>19</v>
      </c>
      <c r="I13" s="5" t="n">
        <v>0.24</v>
      </c>
      <c r="J13" s="4" t="s">
        <v>71</v>
      </c>
      <c r="K13" s="4" t="s">
        <v>72</v>
      </c>
      <c r="L13" s="2" t="s">
        <v>41</v>
      </c>
      <c r="M13" s="6" t="n">
        <f aca="false">IF(AND(ISNUMBER(G13),ISNUMBER(I13)),IF(H13="%",(G13-I13)*100,G13-I13),"")</f>
        <v>5.59183673469388</v>
      </c>
      <c r="N13" s="7" t="n">
        <f aca="false">IF(AND(H13="%",ISNUMBER(G13),ISNUMBER(F13)),1.96*SQRT(G13*(1-G13)/F13)*100,"")</f>
        <v>6.39036264181287</v>
      </c>
      <c r="O13" s="8" t="str">
        <f aca="false">IF(L13="No","Not the same measure",IF(H13="%",IF(ABS(M13)&lt;10,"Close",IF(ABS(M13)&lt;=0.9*N13,"Within the margin",IF(ABS(M13)&lt;=1.1*N13,"At the edge of the margin","Differs"))),IF(ABS(M13)/I13&lt;0.15,"Close","Differs")))</f>
        <v>Close</v>
      </c>
      <c r="P13" s="4" t="s">
        <v>73</v>
      </c>
    </row>
    <row r="14" customFormat="false" ht="23.85" hidden="false" customHeight="false" outlineLevel="0" collapsed="false">
      <c r="A14" s="2" t="n">
        <v>13</v>
      </c>
      <c r="B14" s="3" t="s">
        <v>16</v>
      </c>
      <c r="C14" s="4" t="s">
        <v>69</v>
      </c>
      <c r="D14" s="4" t="s">
        <v>74</v>
      </c>
      <c r="E14" s="2" t="n">
        <v>90</v>
      </c>
      <c r="F14" s="2" t="n">
        <v>248</v>
      </c>
      <c r="G14" s="5" t="n">
        <f aca="false">E14/F14</f>
        <v>0.362903225806452</v>
      </c>
      <c r="H14" s="2" t="s">
        <v>19</v>
      </c>
      <c r="I14" s="5" t="n">
        <v>0.65</v>
      </c>
      <c r="J14" s="4" t="s">
        <v>75</v>
      </c>
      <c r="K14" s="4" t="s">
        <v>76</v>
      </c>
      <c r="L14" s="2" t="s">
        <v>41</v>
      </c>
      <c r="M14" s="6" t="n">
        <f aca="false">IF(AND(ISNUMBER(G14),ISNUMBER(I14)),IF(H14="%",(G14-I14)*100,G14-I14),"")</f>
        <v>-28.7096774193548</v>
      </c>
      <c r="N14" s="7" t="n">
        <f aca="false">IF(AND(H14="%",ISNUMBER(G14),ISNUMBER(F14)),1.96*SQRT(G14*(1-G14)/F14)*100,"")</f>
        <v>5.98450657296172</v>
      </c>
      <c r="O14" s="8" t="str">
        <f aca="false">IF(L14="No","Not the same measure",IF(H14="%",IF(ABS(M14)&lt;10,"Close",IF(ABS(M14)&lt;=0.9*N14,"Within the margin",IF(ABS(M14)&lt;=1.1*N14,"At the edge of the margin","Differs"))),IF(ABS(M14)/I14&lt;0.15,"Close","Differs")))</f>
        <v>Differs</v>
      </c>
      <c r="P14" s="4" t="s">
        <v>77</v>
      </c>
    </row>
    <row r="15" customFormat="false" ht="46.25" hidden="false" customHeight="false" outlineLevel="0" collapsed="false">
      <c r="A15" s="2" t="n">
        <v>14</v>
      </c>
      <c r="B15" s="3" t="s">
        <v>16</v>
      </c>
      <c r="C15" s="4" t="s">
        <v>69</v>
      </c>
      <c r="D15" s="4" t="s">
        <v>78</v>
      </c>
      <c r="E15" s="2" t="s">
        <v>79</v>
      </c>
      <c r="F15" s="2" t="n">
        <v>257</v>
      </c>
      <c r="G15" s="9" t="s">
        <v>80</v>
      </c>
      <c r="H15" s="2" t="s">
        <v>29</v>
      </c>
      <c r="I15" s="9" t="s">
        <v>81</v>
      </c>
      <c r="J15" s="4" t="s">
        <v>82</v>
      </c>
      <c r="K15" s="4" t="s">
        <v>83</v>
      </c>
      <c r="L15" s="2" t="s">
        <v>50</v>
      </c>
      <c r="M15" s="6" t="str">
        <f aca="false">IF(AND(ISNUMBER(G15),ISNUMBER(I15)),IF(H15="%",(G15-I15)*100,G15-I15),"")</f>
        <v/>
      </c>
      <c r="N15" s="7" t="str">
        <f aca="false">IF(AND(H15="%",ISNUMBER(G15),ISNUMBER(F15)),1.96*SQRT(G15*(1-G15)/F15)*100,"")</f>
        <v/>
      </c>
      <c r="O15" s="8" t="str">
        <f aca="false">IF(L15="No","Not the same measure",IF(H15="%",IF(ABS(M15)&lt;10,"Close",IF(ABS(M15)&lt;=0.9*N15,"Within the margin",IF(ABS(M15)&lt;=1.1*N15,"At the edge of the margin","Differs"))),IF(ABS(M15)/I15&lt;0.15,"Close","Differs")))</f>
        <v>Not the same measure</v>
      </c>
      <c r="P15" s="4" t="s">
        <v>84</v>
      </c>
    </row>
    <row r="16" customFormat="false" ht="35.05" hidden="false" customHeight="false" outlineLevel="0" collapsed="false">
      <c r="A16" s="2" t="n">
        <v>15</v>
      </c>
      <c r="B16" s="3" t="s">
        <v>16</v>
      </c>
      <c r="C16" s="4" t="s">
        <v>85</v>
      </c>
      <c r="D16" s="4" t="s">
        <v>86</v>
      </c>
      <c r="E16" s="2" t="n">
        <v>230</v>
      </c>
      <c r="F16" s="2" t="n">
        <v>248</v>
      </c>
      <c r="G16" s="5" t="n">
        <f aca="false">E16/F16</f>
        <v>0.92741935483871</v>
      </c>
      <c r="H16" s="2" t="s">
        <v>19</v>
      </c>
      <c r="I16" s="5" t="s">
        <v>87</v>
      </c>
      <c r="J16" s="4" t="s">
        <v>88</v>
      </c>
      <c r="K16" s="4" t="s">
        <v>89</v>
      </c>
      <c r="L16" s="2" t="s">
        <v>50</v>
      </c>
      <c r="M16" s="6" t="str">
        <f aca="false">IF(AND(ISNUMBER(G16),ISNUMBER(I16)),IF(H16="%",(G16-I16)*100,G16-I16),"")</f>
        <v/>
      </c>
      <c r="N16" s="7" t="n">
        <f aca="false">IF(AND(H16="%",ISNUMBER(G16),ISNUMBER(F16)),1.96*SQRT(G16*(1-G16)/F16)*100,"")</f>
        <v>3.22907937501554</v>
      </c>
      <c r="O16" s="8" t="s">
        <v>60</v>
      </c>
      <c r="P16" s="4" t="s">
        <v>90</v>
      </c>
    </row>
    <row r="17" customFormat="false" ht="35.05" hidden="false" customHeight="false" outlineLevel="0" collapsed="false">
      <c r="A17" s="2" t="n">
        <v>16</v>
      </c>
      <c r="B17" s="3" t="s">
        <v>16</v>
      </c>
      <c r="C17" s="4" t="s">
        <v>85</v>
      </c>
      <c r="D17" s="4" t="s">
        <v>91</v>
      </c>
      <c r="E17" s="2" t="n">
        <v>206</v>
      </c>
      <c r="F17" s="2" t="n">
        <v>230</v>
      </c>
      <c r="G17" s="5" t="n">
        <f aca="false">E17/F17</f>
        <v>0.895652173913044</v>
      </c>
      <c r="H17" s="2" t="s">
        <v>19</v>
      </c>
      <c r="I17" s="5" t="s">
        <v>92</v>
      </c>
      <c r="J17" s="4" t="s">
        <v>93</v>
      </c>
      <c r="K17" s="4" t="s">
        <v>94</v>
      </c>
      <c r="L17" s="2" t="s">
        <v>22</v>
      </c>
      <c r="M17" s="6" t="str">
        <f aca="false">IF(AND(ISNUMBER(G17),ISNUMBER(I17)),IF(H17="%",(G17-I17)*100,G17-I17),"")</f>
        <v/>
      </c>
      <c r="N17" s="7" t="n">
        <f aca="false">IF(AND(H17="%",ISNUMBER(G17),ISNUMBER(F17)),1.96*SQRT(G17*(1-G17)/F17)*100,"")</f>
        <v>3.9509683288526</v>
      </c>
      <c r="O17" s="8" t="s">
        <v>32</v>
      </c>
      <c r="P17" s="4" t="s">
        <v>95</v>
      </c>
    </row>
    <row r="18" customFormat="false" ht="46.25" hidden="false" customHeight="false" outlineLevel="0" collapsed="false">
      <c r="A18" s="2" t="n">
        <v>17</v>
      </c>
      <c r="B18" s="3" t="s">
        <v>16</v>
      </c>
      <c r="C18" s="4" t="s">
        <v>96</v>
      </c>
      <c r="D18" s="4" t="s">
        <v>97</v>
      </c>
      <c r="E18" s="2" t="n">
        <v>162</v>
      </c>
      <c r="F18" s="2" t="n">
        <v>248</v>
      </c>
      <c r="G18" s="5" t="n">
        <f aca="false">E18/F18</f>
        <v>0.653225806451613</v>
      </c>
      <c r="H18" s="2" t="s">
        <v>19</v>
      </c>
      <c r="I18" s="5" t="n">
        <v>0.62</v>
      </c>
      <c r="J18" s="4" t="s">
        <v>98</v>
      </c>
      <c r="K18" s="4" t="s">
        <v>99</v>
      </c>
      <c r="L18" s="2" t="s">
        <v>41</v>
      </c>
      <c r="M18" s="6" t="n">
        <f aca="false">IF(AND(ISNUMBER(G18),ISNUMBER(I18)),IF(H18="%",(G18-I18)*100,G18-I18),"")</f>
        <v>3.32258064516129</v>
      </c>
      <c r="N18" s="7" t="n">
        <f aca="false">IF(AND(H18="%",ISNUMBER(G18),ISNUMBER(F18)),1.96*SQRT(G18*(1-G18)/F18)*100,"")</f>
        <v>5.92359397892891</v>
      </c>
      <c r="O18" s="8" t="str">
        <f aca="false">IF(L18="No","Not the same measure",IF(H18="%",IF(ABS(M18)&lt;10,"Close",IF(ABS(M18)&lt;=0.9*N18,"Within the margin",IF(ABS(M18)&lt;=1.1*N18,"At the edge of the margin","Differs"))),IF(ABS(M18)/I18&lt;0.15,"Close","Differs")))</f>
        <v>Close</v>
      </c>
      <c r="P18" s="4" t="s">
        <v>100</v>
      </c>
    </row>
    <row r="19" customFormat="false" ht="35.05" hidden="false" customHeight="false" outlineLevel="0" collapsed="false">
      <c r="A19" s="2" t="n">
        <v>18</v>
      </c>
      <c r="B19" s="3" t="s">
        <v>16</v>
      </c>
      <c r="C19" s="4" t="s">
        <v>101</v>
      </c>
      <c r="D19" s="4" t="s">
        <v>102</v>
      </c>
      <c r="E19" s="2" t="n">
        <v>155</v>
      </c>
      <c r="F19" s="2" t="n">
        <v>257</v>
      </c>
      <c r="G19" s="5" t="n">
        <f aca="false">E19/F19</f>
        <v>0.603112840466926</v>
      </c>
      <c r="H19" s="2" t="s">
        <v>19</v>
      </c>
      <c r="I19" s="5" t="s">
        <v>103</v>
      </c>
      <c r="J19" s="4" t="s">
        <v>104</v>
      </c>
      <c r="K19" s="4" t="s">
        <v>105</v>
      </c>
      <c r="L19" s="2" t="s">
        <v>50</v>
      </c>
      <c r="M19" s="6" t="str">
        <f aca="false">IF(AND(ISNUMBER(G19),ISNUMBER(I19)),IF(H19="%",(G19-I19)*100,G19-I19),"")</f>
        <v/>
      </c>
      <c r="N19" s="7" t="n">
        <f aca="false">IF(AND(H19="%",ISNUMBER(G19),ISNUMBER(F19)),1.96*SQRT(G19*(1-G19)/F19)*100,"")</f>
        <v>5.98166822822872</v>
      </c>
      <c r="O19" s="8" t="s">
        <v>60</v>
      </c>
      <c r="P19" s="4"/>
    </row>
    <row r="20" customFormat="false" ht="35.05" hidden="false" customHeight="false" outlineLevel="0" collapsed="false">
      <c r="A20" s="2" t="n">
        <v>19</v>
      </c>
      <c r="B20" s="3" t="s">
        <v>16</v>
      </c>
      <c r="C20" s="4" t="s">
        <v>106</v>
      </c>
      <c r="D20" s="4" t="s">
        <v>107</v>
      </c>
      <c r="E20" s="2" t="n">
        <v>114</v>
      </c>
      <c r="F20" s="2" t="n">
        <v>257</v>
      </c>
      <c r="G20" s="5" t="n">
        <f aca="false">E20/F20</f>
        <v>0.443579766536965</v>
      </c>
      <c r="H20" s="2" t="s">
        <v>19</v>
      </c>
      <c r="I20" s="5" t="s">
        <v>103</v>
      </c>
      <c r="J20" s="4" t="s">
        <v>108</v>
      </c>
      <c r="K20" s="4" t="s">
        <v>76</v>
      </c>
      <c r="L20" s="2" t="s">
        <v>50</v>
      </c>
      <c r="M20" s="6" t="str">
        <f aca="false">IF(AND(ISNUMBER(G20),ISNUMBER(I20)),IF(H20="%",(G20-I20)*100,G20-I20),"")</f>
        <v/>
      </c>
      <c r="N20" s="7" t="n">
        <f aca="false">IF(AND(H20="%",ISNUMBER(G20),ISNUMBER(F20)),1.96*SQRT(G20*(1-G20)/F20)*100,"")</f>
        <v>6.07402857575497</v>
      </c>
      <c r="O20" s="8" t="s">
        <v>60</v>
      </c>
      <c r="P20" s="4" t="s">
        <v>109</v>
      </c>
    </row>
    <row r="21" customFormat="false" ht="23.85" hidden="false" customHeight="false" outlineLevel="0" collapsed="false">
      <c r="A21" s="2" t="n">
        <v>20</v>
      </c>
      <c r="B21" s="3" t="s">
        <v>16</v>
      </c>
      <c r="C21" s="4" t="s">
        <v>110</v>
      </c>
      <c r="D21" s="4" t="s">
        <v>111</v>
      </c>
      <c r="E21" s="2" t="n">
        <v>60</v>
      </c>
      <c r="F21" s="2" t="n">
        <v>257</v>
      </c>
      <c r="G21" s="5" t="n">
        <f aca="false">E21/F21</f>
        <v>0.233463035019455</v>
      </c>
      <c r="H21" s="2" t="s">
        <v>19</v>
      </c>
      <c r="I21" s="5" t="s">
        <v>112</v>
      </c>
      <c r="J21" s="4"/>
      <c r="K21" s="4"/>
      <c r="L21" s="2" t="s">
        <v>50</v>
      </c>
      <c r="M21" s="6" t="str">
        <f aca="false">IF(AND(ISNUMBER(G21),ISNUMBER(I21)),IF(H21="%",(G21-I21)*100,G21-I21),"")</f>
        <v/>
      </c>
      <c r="N21" s="7" t="n">
        <f aca="false">IF(AND(H21="%",ISNUMBER(G21),ISNUMBER(F21)),1.96*SQRT(G21*(1-G21)/F21)*100,"")</f>
        <v>5.17207870012017</v>
      </c>
      <c r="O21" s="8" t="s">
        <v>60</v>
      </c>
      <c r="P21" s="4" t="s">
        <v>113</v>
      </c>
    </row>
    <row r="22" customFormat="false" ht="57.45" hidden="false" customHeight="false" outlineLevel="0" collapsed="false">
      <c r="A22" s="2" t="n">
        <v>21</v>
      </c>
      <c r="B22" s="3" t="s">
        <v>114</v>
      </c>
      <c r="C22" s="4" t="s">
        <v>17</v>
      </c>
      <c r="D22" s="4" t="s">
        <v>115</v>
      </c>
      <c r="E22" s="2" t="n">
        <v>90</v>
      </c>
      <c r="F22" s="2" t="n">
        <v>134</v>
      </c>
      <c r="G22" s="5" t="n">
        <f aca="false">E22/F22</f>
        <v>0.671641791044776</v>
      </c>
      <c r="H22" s="2" t="s">
        <v>19</v>
      </c>
      <c r="I22" s="5" t="n">
        <f aca="false">Calculations!$C$16</f>
        <v>0.26364740782771</v>
      </c>
      <c r="J22" s="4" t="s">
        <v>116</v>
      </c>
      <c r="K22" s="4" t="s">
        <v>117</v>
      </c>
      <c r="L22" s="2" t="s">
        <v>22</v>
      </c>
      <c r="M22" s="6" t="n">
        <f aca="false">IF(AND(ISNUMBER(G22),ISNUMBER(I22)),IF(H22="%",(G22-I22)*100,G22-I22),"")</f>
        <v>40.7994383217066</v>
      </c>
      <c r="N22" s="7" t="n">
        <f aca="false">IF(AND(H22="%",ISNUMBER(G22),ISNUMBER(F22)),1.96*SQRT(G22*(1-G22)/F22)*100,"")</f>
        <v>7.95145246062499</v>
      </c>
      <c r="O22" s="8" t="str">
        <f aca="false">IF(L22="No","Not the same measure",IF(H22="%",IF(ABS(M22)&lt;10,"Close",IF(ABS(M22)&lt;=0.9*N22,"Within the margin",IF(ABS(M22)&lt;=1.1*N22,"At the edge of the margin","Differs"))),IF(ABS(M22)/I22&lt;0.15,"Close","Differs")))</f>
        <v>Differs</v>
      </c>
      <c r="P22" s="4" t="s">
        <v>118</v>
      </c>
    </row>
    <row r="23" customFormat="false" ht="35.05" hidden="false" customHeight="false" outlineLevel="0" collapsed="false">
      <c r="A23" s="2" t="n">
        <v>22</v>
      </c>
      <c r="B23" s="3" t="s">
        <v>114</v>
      </c>
      <c r="C23" s="4" t="s">
        <v>17</v>
      </c>
      <c r="D23" s="4" t="s">
        <v>119</v>
      </c>
      <c r="E23" s="2" t="n">
        <v>24</v>
      </c>
      <c r="F23" s="2" t="n">
        <v>134</v>
      </c>
      <c r="G23" s="5" t="n">
        <f aca="false">E23/F23</f>
        <v>0.17910447761194</v>
      </c>
      <c r="H23" s="2" t="s">
        <v>19</v>
      </c>
      <c r="I23" s="5" t="n">
        <f aca="false">Calculations!$C$18</f>
        <v>0.0187475218348945</v>
      </c>
      <c r="J23" s="4" t="s">
        <v>120</v>
      </c>
      <c r="K23" s="4" t="s">
        <v>117</v>
      </c>
      <c r="L23" s="2" t="s">
        <v>22</v>
      </c>
      <c r="M23" s="6" t="n">
        <f aca="false">IF(AND(ISNUMBER(G23),ISNUMBER(I23)),IF(H23="%",(G23-I23)*100,G23-I23),"")</f>
        <v>16.0356955777046</v>
      </c>
      <c r="N23" s="7" t="n">
        <f aca="false">IF(AND(H23="%",ISNUMBER(G23),ISNUMBER(F23)),1.96*SQRT(G23*(1-G23)/F23)*100,"")</f>
        <v>6.49233374750966</v>
      </c>
      <c r="O23" s="8" t="str">
        <f aca="false">IF(L23="No","Not the same measure",IF(H23="%",IF(ABS(M23)&lt;10,"Close",IF(ABS(M23)&lt;=0.9*N23,"Within the margin",IF(ABS(M23)&lt;=1.1*N23,"At the edge of the margin","Differs"))),IF(ABS(M23)/I23&lt;0.15,"Close","Differs")))</f>
        <v>Differs</v>
      </c>
      <c r="P23" s="4" t="s">
        <v>121</v>
      </c>
    </row>
    <row r="24" customFormat="false" ht="35.05" hidden="false" customHeight="false" outlineLevel="0" collapsed="false">
      <c r="A24" s="2" t="n">
        <v>23</v>
      </c>
      <c r="B24" s="3" t="s">
        <v>114</v>
      </c>
      <c r="C24" s="4" t="s">
        <v>17</v>
      </c>
      <c r="D24" s="4" t="s">
        <v>122</v>
      </c>
      <c r="E24" s="2" t="s">
        <v>79</v>
      </c>
      <c r="F24" s="2" t="n">
        <v>134</v>
      </c>
      <c r="G24" s="9" t="s">
        <v>80</v>
      </c>
      <c r="H24" s="2" t="s">
        <v>29</v>
      </c>
      <c r="I24" s="5" t="n">
        <f aca="false">Calculations!$C$20</f>
        <v>0.347727319786597</v>
      </c>
      <c r="J24" s="4" t="s">
        <v>123</v>
      </c>
      <c r="K24" s="4" t="s">
        <v>117</v>
      </c>
      <c r="L24" s="2" t="s">
        <v>22</v>
      </c>
      <c r="M24" s="6" t="str">
        <f aca="false">IF(AND(ISNUMBER(G24),ISNUMBER(I24)),IF(H24="%",(G24-I24)*100,G24-I24),"")</f>
        <v/>
      </c>
      <c r="N24" s="7" t="str">
        <f aca="false">IF(AND(H24="%",ISNUMBER(G24),ISNUMBER(F24)),1.96*SQRT(G24*(1-G24)/F24)*100,"")</f>
        <v/>
      </c>
      <c r="O24" s="8" t="s">
        <v>124</v>
      </c>
      <c r="P24" s="4" t="s">
        <v>125</v>
      </c>
    </row>
    <row r="25" customFormat="false" ht="23.85" hidden="false" customHeight="false" outlineLevel="0" collapsed="false">
      <c r="A25" s="2" t="n">
        <v>24</v>
      </c>
      <c r="B25" s="3" t="s">
        <v>114</v>
      </c>
      <c r="C25" s="4" t="s">
        <v>17</v>
      </c>
      <c r="D25" s="4" t="s">
        <v>18</v>
      </c>
      <c r="E25" s="2" t="n">
        <v>86</v>
      </c>
      <c r="F25" s="2" t="n">
        <v>134</v>
      </c>
      <c r="G25" s="5" t="n">
        <f aca="false">E25/F25</f>
        <v>0.641791044776119</v>
      </c>
      <c r="H25" s="2" t="s">
        <v>19</v>
      </c>
      <c r="I25" s="5" t="n">
        <v>0.477</v>
      </c>
      <c r="J25" s="4" t="s">
        <v>126</v>
      </c>
      <c r="K25" s="4" t="s">
        <v>76</v>
      </c>
      <c r="L25" s="2" t="s">
        <v>41</v>
      </c>
      <c r="M25" s="6" t="n">
        <f aca="false">IF(AND(ISNUMBER(G25),ISNUMBER(I25)),IF(H25="%",(G25-I25)*100,G25-I25),"")</f>
        <v>16.4791044776119</v>
      </c>
      <c r="N25" s="7" t="n">
        <f aca="false">IF(AND(H25="%",ISNUMBER(G25),ISNUMBER(F25)),1.96*SQRT(G25*(1-G25)/F25)*100,"")</f>
        <v>8.11836770881991</v>
      </c>
      <c r="O25" s="8" t="str">
        <f aca="false">IF(L25="No","Not the same measure",IF(H25="%",IF(ABS(M25)&lt;10,"Close",IF(ABS(M25)&lt;=0.9*N25,"Within the margin",IF(ABS(M25)&lt;=1.1*N25,"At the edge of the margin","Differs"))),IF(ABS(M25)/I25&lt;0.15,"Close","Differs")))</f>
        <v>Differs</v>
      </c>
      <c r="P25" s="4" t="s">
        <v>127</v>
      </c>
    </row>
    <row r="26" customFormat="false" ht="15" hidden="false" customHeight="false" outlineLevel="0" collapsed="false">
      <c r="A26" s="2" t="n">
        <v>25</v>
      </c>
      <c r="B26" s="3" t="s">
        <v>114</v>
      </c>
      <c r="C26" s="4" t="s">
        <v>17</v>
      </c>
      <c r="D26" s="4" t="s">
        <v>24</v>
      </c>
      <c r="E26" s="2" t="n">
        <v>25</v>
      </c>
      <c r="F26" s="2" t="n">
        <v>134</v>
      </c>
      <c r="G26" s="5" t="n">
        <f aca="false">E26/F26</f>
        <v>0.186567164179105</v>
      </c>
      <c r="H26" s="2" t="s">
        <v>19</v>
      </c>
      <c r="I26" s="5" t="n">
        <f aca="false">Calculations!$C$39</f>
        <v>0.166</v>
      </c>
      <c r="J26" s="4" t="s">
        <v>128</v>
      </c>
      <c r="K26" s="4" t="s">
        <v>76</v>
      </c>
      <c r="L26" s="2" t="s">
        <v>41</v>
      </c>
      <c r="M26" s="6" t="n">
        <f aca="false">IF(AND(ISNUMBER(G26),ISNUMBER(I26)),IF(H26="%",(G26-I26)*100,G26-I26),"")</f>
        <v>2.05671641791045</v>
      </c>
      <c r="N26" s="7" t="n">
        <f aca="false">IF(AND(H26="%",ISNUMBER(G26),ISNUMBER(F26)),1.96*SQRT(G26*(1-G26)/F26)*100,"")</f>
        <v>6.59602248023179</v>
      </c>
      <c r="O26" s="8" t="str">
        <f aca="false">IF(L26="No","Not the same measure",IF(H26="%",IF(ABS(M26)&lt;10,"Close",IF(ABS(M26)&lt;=0.9*N26,"Within the margin",IF(ABS(M26)&lt;=1.1*N26,"At the edge of the margin","Differs"))),IF(ABS(M26)/I26&lt;0.15,"Close","Differs")))</f>
        <v>Close</v>
      </c>
      <c r="P26" s="4"/>
    </row>
    <row r="27" customFormat="false" ht="23.85" hidden="false" customHeight="false" outlineLevel="0" collapsed="false">
      <c r="A27" s="2" t="n">
        <v>26</v>
      </c>
      <c r="B27" s="3" t="s">
        <v>114</v>
      </c>
      <c r="C27" s="4" t="s">
        <v>17</v>
      </c>
      <c r="D27" s="4" t="s">
        <v>129</v>
      </c>
      <c r="E27" s="2" t="n">
        <v>13</v>
      </c>
      <c r="F27" s="2" t="n">
        <v>134</v>
      </c>
      <c r="G27" s="5" t="n">
        <f aca="false">E27/F27</f>
        <v>0.0970149253731343</v>
      </c>
      <c r="H27" s="2" t="s">
        <v>19</v>
      </c>
      <c r="I27" s="5" t="n">
        <v>0.098</v>
      </c>
      <c r="J27" s="4" t="s">
        <v>130</v>
      </c>
      <c r="K27" s="4" t="s">
        <v>76</v>
      </c>
      <c r="L27" s="2" t="s">
        <v>41</v>
      </c>
      <c r="M27" s="6" t="n">
        <f aca="false">IF(AND(ISNUMBER(G27),ISNUMBER(I27)),IF(H27="%",(G27-I27)*100,G27-I27),"")</f>
        <v>-0.0985074626865673</v>
      </c>
      <c r="N27" s="7" t="n">
        <f aca="false">IF(AND(H27="%",ISNUMBER(G27),ISNUMBER(F27)),1.96*SQRT(G27*(1-G27)/F27)*100,"")</f>
        <v>5.01144807787403</v>
      </c>
      <c r="O27" s="8" t="str">
        <f aca="false">IF(L27="No","Not the same measure",IF(H27="%",IF(ABS(M27)&lt;10,"Close",IF(ABS(M27)&lt;=0.9*N27,"Within the margin",IF(ABS(M27)&lt;=1.1*N27,"At the edge of the margin","Differs"))),IF(ABS(M27)/I27&lt;0.15,"Close","Differs")))</f>
        <v>Close</v>
      </c>
      <c r="P27" s="4"/>
    </row>
    <row r="28" customFormat="false" ht="23.85" hidden="false" customHeight="false" outlineLevel="0" collapsed="false">
      <c r="A28" s="2" t="n">
        <v>27</v>
      </c>
      <c r="B28" s="3" t="s">
        <v>114</v>
      </c>
      <c r="C28" s="4" t="s">
        <v>17</v>
      </c>
      <c r="D28" s="4" t="s">
        <v>34</v>
      </c>
      <c r="E28" s="2"/>
      <c r="F28" s="2" t="n">
        <v>134</v>
      </c>
      <c r="G28" s="9" t="n">
        <v>5.1</v>
      </c>
      <c r="H28" s="2" t="s">
        <v>35</v>
      </c>
      <c r="I28" s="9" t="n">
        <v>5.2</v>
      </c>
      <c r="J28" s="4" t="s">
        <v>131</v>
      </c>
      <c r="K28" s="4" t="s">
        <v>72</v>
      </c>
      <c r="L28" s="2" t="s">
        <v>22</v>
      </c>
      <c r="M28" s="6" t="n">
        <f aca="false">IF(AND(ISNUMBER(G28),ISNUMBER(I28)),IF(H28="%",(G28-I28)*100,G28-I28),"")</f>
        <v>-0.100000000000001</v>
      </c>
      <c r="N28" s="7" t="str">
        <f aca="false">IF(AND(H28="%",ISNUMBER(G28),ISNUMBER(F28)),1.96*SQRT(G28*(1-G28)/F28)*100,"")</f>
        <v/>
      </c>
      <c r="O28" s="8" t="str">
        <f aca="false">IF(L28="No","Not the same measure",IF(H28="%",IF(ABS(M28)&lt;10,"Close",IF(ABS(M28)&lt;=0.9*N28,"Within the margin",IF(ABS(M28)&lt;=1.1*N28,"At the edge of the margin","Differs"))),IF(ABS(M28)/I28&lt;0.15,"Close","Differs")))</f>
        <v>Close</v>
      </c>
      <c r="P28" s="4" t="s">
        <v>132</v>
      </c>
    </row>
    <row r="29" customFormat="false" ht="35.05" hidden="false" customHeight="false" outlineLevel="0" collapsed="false">
      <c r="A29" s="2" t="n">
        <v>28</v>
      </c>
      <c r="B29" s="3" t="s">
        <v>114</v>
      </c>
      <c r="C29" s="4" t="s">
        <v>17</v>
      </c>
      <c r="D29" s="4" t="s">
        <v>133</v>
      </c>
      <c r="E29" s="2" t="n">
        <v>122</v>
      </c>
      <c r="F29" s="2" t="n">
        <v>134</v>
      </c>
      <c r="G29" s="5" t="n">
        <f aca="false">E29/F29</f>
        <v>0.91044776119403</v>
      </c>
      <c r="H29" s="2" t="s">
        <v>19</v>
      </c>
      <c r="I29" s="5" t="n">
        <v>0.86</v>
      </c>
      <c r="J29" s="4" t="s">
        <v>134</v>
      </c>
      <c r="K29" s="4" t="s">
        <v>135</v>
      </c>
      <c r="L29" s="2" t="s">
        <v>22</v>
      </c>
      <c r="M29" s="6" t="n">
        <f aca="false">IF(AND(ISNUMBER(G29),ISNUMBER(I29)),IF(H29="%",(G29-I29)*100,G29-I29),"")</f>
        <v>5.04477611940298</v>
      </c>
      <c r="N29" s="7" t="n">
        <f aca="false">IF(AND(H29="%",ISNUMBER(G29),ISNUMBER(F29)),1.96*SQRT(G29*(1-G29)/F29)*100,"")</f>
        <v>4.83469868087334</v>
      </c>
      <c r="O29" s="8" t="str">
        <f aca="false">IF(L29="No","Not the same measure",IF(H29="%",IF(ABS(M29)&lt;10,"Close",IF(ABS(M29)&lt;=0.9*N29,"Within the margin",IF(ABS(M29)&lt;=1.1*N29,"At the edge of the margin","Differs"))),IF(ABS(M29)/I29&lt;0.15,"Close","Differs")))</f>
        <v>Close</v>
      </c>
      <c r="P29" s="4" t="s">
        <v>136</v>
      </c>
    </row>
    <row r="30" customFormat="false" ht="23.85" hidden="false" customHeight="false" outlineLevel="0" collapsed="false">
      <c r="A30" s="2" t="n">
        <v>29</v>
      </c>
      <c r="B30" s="3" t="s">
        <v>114</v>
      </c>
      <c r="C30" s="4" t="s">
        <v>38</v>
      </c>
      <c r="D30" s="4" t="s">
        <v>39</v>
      </c>
      <c r="E30" s="2" t="n">
        <v>61</v>
      </c>
      <c r="F30" s="2" t="n">
        <v>134</v>
      </c>
      <c r="G30" s="5" t="n">
        <f aca="false">E30/F30</f>
        <v>0.455223880597015</v>
      </c>
      <c r="H30" s="2" t="s">
        <v>19</v>
      </c>
      <c r="I30" s="5" t="n">
        <f aca="false">Calculations!$C$33</f>
        <v>0.37</v>
      </c>
      <c r="J30" s="4" t="s">
        <v>137</v>
      </c>
      <c r="K30" s="4" t="s">
        <v>72</v>
      </c>
      <c r="L30" s="2" t="s">
        <v>22</v>
      </c>
      <c r="M30" s="6" t="n">
        <f aca="false">IF(AND(ISNUMBER(G30),ISNUMBER(I30)),IF(H30="%",(G30-I30)*100,G30-I30),"")</f>
        <v>8.52238805970149</v>
      </c>
      <c r="N30" s="7" t="n">
        <f aca="false">IF(AND(H30="%",ISNUMBER(G30),ISNUMBER(F30)),1.96*SQRT(G30*(1-G30)/F30)*100,"")</f>
        <v>8.43189561388581</v>
      </c>
      <c r="O30" s="8" t="str">
        <f aca="false">IF(L30="No","Not the same measure",IF(H30="%",IF(ABS(M30)&lt;10,"Close",IF(ABS(M30)&lt;=0.9*N30,"Within the margin",IF(ABS(M30)&lt;=1.1*N30,"At the edge of the margin","Differs"))),IF(ABS(M30)/I30&lt;0.15,"Close","Differs")))</f>
        <v>Close</v>
      </c>
      <c r="P30" s="4" t="s">
        <v>138</v>
      </c>
    </row>
    <row r="31" customFormat="false" ht="15" hidden="false" customHeight="false" outlineLevel="0" collapsed="false">
      <c r="A31" s="2" t="n">
        <v>30</v>
      </c>
      <c r="B31" s="3" t="s">
        <v>114</v>
      </c>
      <c r="C31" s="4" t="s">
        <v>38</v>
      </c>
      <c r="D31" s="4" t="s">
        <v>43</v>
      </c>
      <c r="E31" s="2" t="n">
        <v>53</v>
      </c>
      <c r="F31" s="2" t="n">
        <v>134</v>
      </c>
      <c r="G31" s="5" t="n">
        <f aca="false">E31/F31</f>
        <v>0.395522388059701</v>
      </c>
      <c r="H31" s="2" t="s">
        <v>19</v>
      </c>
      <c r="I31" s="5" t="n">
        <v>0.51</v>
      </c>
      <c r="J31" s="4" t="s">
        <v>139</v>
      </c>
      <c r="K31" s="4" t="s">
        <v>72</v>
      </c>
      <c r="L31" s="2" t="s">
        <v>22</v>
      </c>
      <c r="M31" s="6" t="n">
        <f aca="false">IF(AND(ISNUMBER(G31),ISNUMBER(I31)),IF(H31="%",(G31-I31)*100,G31-I31),"")</f>
        <v>-11.4477611940299</v>
      </c>
      <c r="N31" s="7" t="n">
        <f aca="false">IF(AND(H31="%",ISNUMBER(G31),ISNUMBER(F31)),1.96*SQRT(G31*(1-G31)/F31)*100,"")</f>
        <v>8.27902736429079</v>
      </c>
      <c r="O31" s="8" t="str">
        <f aca="false">IF(L31="No","Not the same measure",IF(H31="%",IF(ABS(M31)&lt;10,"Close",IF(ABS(M31)&lt;=0.9*N31,"Within the margin",IF(ABS(M31)&lt;=1.1*N31,"At the edge of the margin","Differs"))),IF(ABS(M31)/I31&lt;0.15,"Close","Differs")))</f>
        <v>Differs</v>
      </c>
      <c r="P31" s="4"/>
    </row>
    <row r="32" customFormat="false" ht="15" hidden="false" customHeight="false" outlineLevel="0" collapsed="false">
      <c r="A32" s="2" t="n">
        <v>31</v>
      </c>
      <c r="B32" s="3" t="s">
        <v>114</v>
      </c>
      <c r="C32" s="4" t="s">
        <v>38</v>
      </c>
      <c r="D32" s="4" t="s">
        <v>45</v>
      </c>
      <c r="E32" s="2" t="n">
        <v>20</v>
      </c>
      <c r="F32" s="2" t="n">
        <v>134</v>
      </c>
      <c r="G32" s="5" t="n">
        <f aca="false">E32/F32</f>
        <v>0.149253731343284</v>
      </c>
      <c r="H32" s="2" t="s">
        <v>19</v>
      </c>
      <c r="I32" s="5" t="n">
        <v>0.13</v>
      </c>
      <c r="J32" s="4" t="s">
        <v>139</v>
      </c>
      <c r="K32" s="4" t="s">
        <v>72</v>
      </c>
      <c r="L32" s="2" t="s">
        <v>22</v>
      </c>
      <c r="M32" s="6" t="n">
        <f aca="false">IF(AND(ISNUMBER(G32),ISNUMBER(I32)),IF(H32="%",(G32-I32)*100,G32-I32),"")</f>
        <v>1.92537313432836</v>
      </c>
      <c r="N32" s="7" t="n">
        <f aca="false">IF(AND(H32="%",ISNUMBER(G32),ISNUMBER(F32)),1.96*SQRT(G32*(1-G32)/F32)*100,"")</f>
        <v>6.03345804769312</v>
      </c>
      <c r="O32" s="8" t="str">
        <f aca="false">IF(L32="No","Not the same measure",IF(H32="%",IF(ABS(M32)&lt;10,"Close",IF(ABS(M32)&lt;=0.9*N32,"Within the margin",IF(ABS(M32)&lt;=1.1*N32,"At the edge of the margin","Differs"))),IF(ABS(M32)/I32&lt;0.15,"Close","Differs")))</f>
        <v>Close</v>
      </c>
      <c r="P32" s="4"/>
    </row>
    <row r="33" customFormat="false" ht="91" hidden="false" customHeight="false" outlineLevel="0" collapsed="false">
      <c r="A33" s="2" t="n">
        <v>32</v>
      </c>
      <c r="B33" s="3" t="s">
        <v>114</v>
      </c>
      <c r="C33" s="4" t="s">
        <v>38</v>
      </c>
      <c r="D33" s="4" t="s">
        <v>140</v>
      </c>
      <c r="E33" s="2" t="n">
        <v>84</v>
      </c>
      <c r="F33" s="2" t="n">
        <v>134</v>
      </c>
      <c r="G33" s="5" t="n">
        <f aca="false">E33/F33</f>
        <v>0.626865671641791</v>
      </c>
      <c r="H33" s="2" t="s">
        <v>19</v>
      </c>
      <c r="I33" s="5" t="s">
        <v>141</v>
      </c>
      <c r="J33" s="4" t="s">
        <v>142</v>
      </c>
      <c r="K33" s="4" t="s">
        <v>67</v>
      </c>
      <c r="L33" s="2" t="s">
        <v>50</v>
      </c>
      <c r="M33" s="6" t="str">
        <f aca="false">IF(AND(ISNUMBER(G33),ISNUMBER(I33)),IF(H33="%",(G33-I33)*100,G33-I33),"")</f>
        <v/>
      </c>
      <c r="N33" s="7" t="n">
        <f aca="false">IF(AND(H33="%",ISNUMBER(G33),ISNUMBER(F33)),1.96*SQRT(G33*(1-G33)/F33)*100,"")</f>
        <v>8.18886137083574</v>
      </c>
      <c r="O33" s="8" t="str">
        <f aca="false">IF(L33="No","Not the same measure",IF(H33="%",IF(ABS(M33)&lt;10,"Close",IF(ABS(M33)&lt;=0.9*N33,"Within the margin",IF(ABS(M33)&lt;=1.1*N33,"At the edge of the margin","Differs"))),IF(ABS(M33)/I33&lt;0.15,"Close","Differs")))</f>
        <v>Not the same measure</v>
      </c>
      <c r="P33" s="4" t="s">
        <v>143</v>
      </c>
    </row>
    <row r="34" customFormat="false" ht="46.25" hidden="false" customHeight="false" outlineLevel="0" collapsed="false">
      <c r="A34" s="2" t="n">
        <v>33</v>
      </c>
      <c r="B34" s="3" t="s">
        <v>114</v>
      </c>
      <c r="C34" s="4" t="s">
        <v>38</v>
      </c>
      <c r="D34" s="4" t="s">
        <v>144</v>
      </c>
      <c r="E34" s="2" t="n">
        <v>42</v>
      </c>
      <c r="F34" s="2" t="n">
        <v>84</v>
      </c>
      <c r="G34" s="5" t="n">
        <f aca="false">E34/F34</f>
        <v>0.5</v>
      </c>
      <c r="H34" s="2" t="s">
        <v>19</v>
      </c>
      <c r="I34" s="5" t="n">
        <f aca="false">Calculations!$C$36</f>
        <v>0.272727272727273</v>
      </c>
      <c r="J34" s="4" t="s">
        <v>145</v>
      </c>
      <c r="K34" s="4" t="s">
        <v>67</v>
      </c>
      <c r="L34" s="2" t="s">
        <v>41</v>
      </c>
      <c r="M34" s="6" t="n">
        <f aca="false">IF(AND(ISNUMBER(G34),ISNUMBER(I34)),IF(H34="%",(G34-I34)*100,G34-I34),"")</f>
        <v>22.7272727272727</v>
      </c>
      <c r="N34" s="7" t="n">
        <f aca="false">IF(AND(H34="%",ISNUMBER(G34),ISNUMBER(F34)),1.96*SQRT(G34*(1-G34)/F34)*100,"")</f>
        <v>10.6926766215636</v>
      </c>
      <c r="O34" s="8" t="str">
        <f aca="false">IF(L34="No","Not the same measure",IF(H34="%",IF(ABS(M34)&lt;10,"Close",IF(ABS(M34)&lt;=0.9*N34,"Within the margin",IF(ABS(M34)&lt;=1.1*N34,"At the edge of the margin","Differs"))),IF(ABS(M34)/I34&lt;0.15,"Close","Differs")))</f>
        <v>Differs</v>
      </c>
      <c r="P34" s="4" t="s">
        <v>146</v>
      </c>
    </row>
    <row r="35" customFormat="false" ht="23.85" hidden="false" customHeight="false" outlineLevel="0" collapsed="false">
      <c r="A35" s="2" t="n">
        <v>34</v>
      </c>
      <c r="B35" s="3" t="s">
        <v>114</v>
      </c>
      <c r="C35" s="4" t="s">
        <v>52</v>
      </c>
      <c r="D35" s="4" t="s">
        <v>147</v>
      </c>
      <c r="E35" s="2" t="n">
        <v>116</v>
      </c>
      <c r="F35" s="2" t="n">
        <v>134</v>
      </c>
      <c r="G35" s="5" t="n">
        <f aca="false">E35/F35</f>
        <v>0.865671641791045</v>
      </c>
      <c r="H35" s="2" t="s">
        <v>19</v>
      </c>
      <c r="I35" s="5" t="n">
        <v>0.98</v>
      </c>
      <c r="J35" s="4" t="s">
        <v>148</v>
      </c>
      <c r="K35" s="4" t="s">
        <v>76</v>
      </c>
      <c r="L35" s="2" t="s">
        <v>22</v>
      </c>
      <c r="M35" s="6" t="n">
        <f aca="false">IF(AND(ISNUMBER(G35),ISNUMBER(I35)),IF(H35="%",(G35-I35)*100,G35-I35),"")</f>
        <v>-11.4328358208955</v>
      </c>
      <c r="N35" s="7" t="n">
        <f aca="false">IF(AND(H35="%",ISNUMBER(G35),ISNUMBER(F35)),1.96*SQRT(G35*(1-G35)/F35)*100,"")</f>
        <v>5.77383170516111</v>
      </c>
      <c r="O35" s="8" t="str">
        <f aca="false">IF(L35="No","Not the same measure",IF(H35="%",IF(ABS(M35)&lt;10,"Close",IF(ABS(M35)&lt;=0.9*N35,"Within the margin",IF(ABS(M35)&lt;=1.1*N35,"At the edge of the margin","Differs"))),IF(ABS(M35)/I35&lt;0.15,"Close","Differs")))</f>
        <v>Differs</v>
      </c>
      <c r="P35" s="4" t="s">
        <v>149</v>
      </c>
    </row>
    <row r="36" customFormat="false" ht="46.25" hidden="false" customHeight="false" outlineLevel="0" collapsed="false">
      <c r="A36" s="2" t="n">
        <v>35</v>
      </c>
      <c r="B36" s="3" t="s">
        <v>114</v>
      </c>
      <c r="C36" s="4" t="s">
        <v>52</v>
      </c>
      <c r="D36" s="4" t="s">
        <v>150</v>
      </c>
      <c r="E36" s="2"/>
      <c r="F36" s="2" t="n">
        <v>105</v>
      </c>
      <c r="G36" s="9" t="n">
        <v>130</v>
      </c>
      <c r="H36" s="2" t="s">
        <v>151</v>
      </c>
      <c r="I36" s="9" t="n">
        <v>135</v>
      </c>
      <c r="J36" s="4" t="s">
        <v>152</v>
      </c>
      <c r="K36" s="4" t="s">
        <v>76</v>
      </c>
      <c r="L36" s="2" t="s">
        <v>41</v>
      </c>
      <c r="M36" s="6" t="n">
        <f aca="false">IF(AND(ISNUMBER(G36),ISNUMBER(I36)),IF(H36="%",(G36-I36)*100,G36-I36),"")</f>
        <v>-5</v>
      </c>
      <c r="N36" s="7" t="str">
        <f aca="false">IF(AND(H36="%",ISNUMBER(G36),ISNUMBER(F36)),1.96*SQRT(G36*(1-G36)/F36)*100,"")</f>
        <v/>
      </c>
      <c r="O36" s="8" t="str">
        <f aca="false">IF(L36="No","Not the same measure",IF(H36="%",IF(ABS(M36)&lt;10,"Close",IF(ABS(M36)&lt;=0.9*N36,"Within the margin",IF(ABS(M36)&lt;=1.1*N36,"At the edge of the margin","Differs"))),IF(ABS(M36)/I36&lt;0.15,"Close","Differs")))</f>
        <v>Close</v>
      </c>
      <c r="P36" s="4" t="s">
        <v>153</v>
      </c>
    </row>
    <row r="37" customFormat="false" ht="23.85" hidden="false" customHeight="false" outlineLevel="0" collapsed="false">
      <c r="A37" s="2" t="n">
        <v>36</v>
      </c>
      <c r="B37" s="3" t="s">
        <v>114</v>
      </c>
      <c r="C37" s="4" t="s">
        <v>52</v>
      </c>
      <c r="D37" s="4" t="s">
        <v>154</v>
      </c>
      <c r="E37" s="2"/>
      <c r="F37" s="2" t="n">
        <v>123</v>
      </c>
      <c r="G37" s="9" t="n">
        <v>110.2</v>
      </c>
      <c r="H37" s="2" t="s">
        <v>151</v>
      </c>
      <c r="I37" s="9" t="n">
        <v>99</v>
      </c>
      <c r="J37" s="4" t="s">
        <v>155</v>
      </c>
      <c r="K37" s="4" t="s">
        <v>105</v>
      </c>
      <c r="L37" s="2" t="s">
        <v>22</v>
      </c>
      <c r="M37" s="6" t="n">
        <f aca="false">IF(AND(ISNUMBER(G37),ISNUMBER(I37)),IF(H37="%",(G37-I37)*100,G37-I37),"")</f>
        <v>11.2</v>
      </c>
      <c r="N37" s="7" t="str">
        <f aca="false">IF(AND(H37="%",ISNUMBER(G37),ISNUMBER(F37)),1.96*SQRT(G37*(1-G37)/F37)*100,"")</f>
        <v/>
      </c>
      <c r="O37" s="8" t="str">
        <f aca="false">IF(L37="No","Not the same measure",IF(H37="%",IF(ABS(M37)&lt;10,"Close",IF(ABS(M37)&lt;=0.9*N37,"Within the margin",IF(ABS(M37)&lt;=1.1*N37,"At the edge of the margin","Differs"))),IF(ABS(M37)/I37&lt;0.15,"Close","Differs")))</f>
        <v>Close</v>
      </c>
      <c r="P37" s="4" t="s">
        <v>156</v>
      </c>
    </row>
    <row r="38" customFormat="false" ht="23.85" hidden="false" customHeight="false" outlineLevel="0" collapsed="false">
      <c r="A38" s="2" t="n">
        <v>37</v>
      </c>
      <c r="B38" s="3" t="s">
        <v>114</v>
      </c>
      <c r="C38" s="4" t="s">
        <v>101</v>
      </c>
      <c r="D38" s="4" t="s">
        <v>102</v>
      </c>
      <c r="E38" s="2" t="n">
        <v>92</v>
      </c>
      <c r="F38" s="2" t="n">
        <v>133</v>
      </c>
      <c r="G38" s="5" t="n">
        <f aca="false">E38/F38</f>
        <v>0.691729323308271</v>
      </c>
      <c r="H38" s="2" t="s">
        <v>19</v>
      </c>
      <c r="I38" s="5" t="n">
        <v>0.87</v>
      </c>
      <c r="J38" s="4" t="s">
        <v>157</v>
      </c>
      <c r="K38" s="4" t="s">
        <v>105</v>
      </c>
      <c r="L38" s="2" t="s">
        <v>22</v>
      </c>
      <c r="M38" s="6" t="n">
        <f aca="false">IF(AND(ISNUMBER(G38),ISNUMBER(I38)),IF(H38="%",(G38-I38)*100,G38-I38),"")</f>
        <v>-17.8270676691729</v>
      </c>
      <c r="N38" s="7" t="n">
        <f aca="false">IF(AND(H38="%",ISNUMBER(G38),ISNUMBER(F38)),1.96*SQRT(G38*(1-G38)/F38)*100,"")</f>
        <v>7.84809862260191</v>
      </c>
      <c r="O38" s="8" t="str">
        <f aca="false">IF(L38="No","Not the same measure",IF(H38="%",IF(ABS(M38)&lt;10,"Close",IF(ABS(M38)&lt;=0.9*N38,"Within the margin",IF(ABS(M38)&lt;=1.1*N38,"At the edge of the margin","Differs"))),IF(ABS(M38)/I38&lt;0.15,"Close","Differs")))</f>
        <v>Differs</v>
      </c>
      <c r="P38" s="4" t="s">
        <v>158</v>
      </c>
    </row>
    <row r="39" customFormat="false" ht="23.85" hidden="false" customHeight="false" outlineLevel="0" collapsed="false">
      <c r="A39" s="2" t="n">
        <v>38</v>
      </c>
      <c r="B39" s="3" t="s">
        <v>114</v>
      </c>
      <c r="C39" s="4" t="s">
        <v>101</v>
      </c>
      <c r="D39" s="4" t="s">
        <v>159</v>
      </c>
      <c r="E39" s="2" t="s">
        <v>79</v>
      </c>
      <c r="F39" s="2" t="n">
        <v>133</v>
      </c>
      <c r="G39" s="9" t="s">
        <v>80</v>
      </c>
      <c r="H39" s="2" t="s">
        <v>29</v>
      </c>
      <c r="I39" s="5" t="n">
        <v>0.05</v>
      </c>
      <c r="J39" s="4" t="s">
        <v>160</v>
      </c>
      <c r="K39" s="4" t="s">
        <v>105</v>
      </c>
      <c r="L39" s="2" t="s">
        <v>22</v>
      </c>
      <c r="M39" s="6" t="str">
        <f aca="false">IF(AND(ISNUMBER(G39),ISNUMBER(I39)),IF(H39="%",(G39-I39)*100,G39-I39),"")</f>
        <v/>
      </c>
      <c r="N39" s="7" t="str">
        <f aca="false">IF(AND(H39="%",ISNUMBER(G39),ISNUMBER(F39)),1.96*SQRT(G39*(1-G39)/F39)*100,"")</f>
        <v/>
      </c>
      <c r="O39" s="8" t="s">
        <v>32</v>
      </c>
      <c r="P39" s="4" t="s">
        <v>161</v>
      </c>
    </row>
    <row r="40" customFormat="false" ht="23.85" hidden="false" customHeight="false" outlineLevel="0" collapsed="false">
      <c r="A40" s="2" t="n">
        <v>39</v>
      </c>
      <c r="B40" s="3" t="s">
        <v>114</v>
      </c>
      <c r="C40" s="4" t="s">
        <v>106</v>
      </c>
      <c r="D40" s="4" t="s">
        <v>107</v>
      </c>
      <c r="E40" s="2" t="s">
        <v>162</v>
      </c>
      <c r="F40" s="2" t="n">
        <v>133</v>
      </c>
      <c r="G40" s="9" t="s">
        <v>163</v>
      </c>
      <c r="H40" s="2" t="s">
        <v>29</v>
      </c>
      <c r="I40" s="5" t="n">
        <v>0.89</v>
      </c>
      <c r="J40" s="4" t="s">
        <v>164</v>
      </c>
      <c r="K40" s="4" t="s">
        <v>76</v>
      </c>
      <c r="L40" s="2" t="s">
        <v>41</v>
      </c>
      <c r="M40" s="6" t="str">
        <f aca="false">IF(AND(ISNUMBER(G40),ISNUMBER(I40)),IF(H40="%",(G40-I40)*100,G40-I40),"")</f>
        <v/>
      </c>
      <c r="N40" s="7" t="str">
        <f aca="false">IF(AND(H40="%",ISNUMBER(G40),ISNUMBER(F40)),1.96*SQRT(G40*(1-G40)/F40)*100,"")</f>
        <v/>
      </c>
      <c r="O40" s="8" t="s">
        <v>32</v>
      </c>
      <c r="P40" s="4" t="s">
        <v>165</v>
      </c>
    </row>
    <row r="41" customFormat="false" ht="23.85" hidden="false" customHeight="false" outlineLevel="0" collapsed="false">
      <c r="A41" s="2" t="n">
        <v>40</v>
      </c>
      <c r="B41" s="3" t="s">
        <v>114</v>
      </c>
      <c r="C41" s="4" t="s">
        <v>96</v>
      </c>
      <c r="D41" s="4" t="s">
        <v>166</v>
      </c>
      <c r="E41" s="2"/>
      <c r="F41" s="2" t="n">
        <v>121</v>
      </c>
      <c r="G41" s="9" t="n">
        <v>57.4</v>
      </c>
      <c r="H41" s="2" t="s">
        <v>151</v>
      </c>
      <c r="I41" s="9" t="n">
        <v>58</v>
      </c>
      <c r="J41" s="4" t="s">
        <v>167</v>
      </c>
      <c r="K41" s="4" t="s">
        <v>105</v>
      </c>
      <c r="L41" s="2" t="s">
        <v>22</v>
      </c>
      <c r="M41" s="6" t="n">
        <f aca="false">IF(AND(ISNUMBER(G41),ISNUMBER(I41)),IF(H41="%",(G41-I41)*100,G41-I41),"")</f>
        <v>-0.600000000000001</v>
      </c>
      <c r="N41" s="7" t="str">
        <f aca="false">IF(AND(H41="%",ISNUMBER(G41),ISNUMBER(F41)),1.96*SQRT(G41*(1-G41)/F41)*100,"")</f>
        <v/>
      </c>
      <c r="O41" s="8" t="str">
        <f aca="false">IF(L41="No","Not the same measure",IF(H41="%",IF(ABS(M41)&lt;10,"Close",IF(ABS(M41)&lt;=0.9*N41,"Within the margin",IF(ABS(M41)&lt;=1.1*N41,"At the edge of the margin","Differs"))),IF(ABS(M41)/I41&lt;0.15,"Close","Differs")))</f>
        <v>Close</v>
      </c>
      <c r="P41" s="4" t="s">
        <v>168</v>
      </c>
    </row>
    <row r="42" customFormat="false" ht="23.85" hidden="false" customHeight="false" outlineLevel="0" collapsed="false">
      <c r="A42" s="2" t="n">
        <v>41</v>
      </c>
      <c r="B42" s="3" t="s">
        <v>114</v>
      </c>
      <c r="C42" s="4" t="s">
        <v>96</v>
      </c>
      <c r="D42" s="4" t="s">
        <v>169</v>
      </c>
      <c r="E42" s="2" t="n">
        <v>81</v>
      </c>
      <c r="F42" s="2" t="n">
        <v>121</v>
      </c>
      <c r="G42" s="5" t="n">
        <f aca="false">E42/F42</f>
        <v>0.669421487603306</v>
      </c>
      <c r="H42" s="2" t="s">
        <v>19</v>
      </c>
      <c r="I42" s="5" t="n">
        <v>0.68</v>
      </c>
      <c r="J42" s="4" t="s">
        <v>170</v>
      </c>
      <c r="K42" s="4" t="s">
        <v>171</v>
      </c>
      <c r="L42" s="2" t="s">
        <v>22</v>
      </c>
      <c r="M42" s="6" t="n">
        <f aca="false">IF(AND(ISNUMBER(G42),ISNUMBER(I42)),IF(H42="%",(G42-I42)*100,G42-I42),"")</f>
        <v>-1.05785123966943</v>
      </c>
      <c r="N42" s="7" t="n">
        <f aca="false">IF(AND(H42="%",ISNUMBER(G42),ISNUMBER(F42)),1.96*SQRT(G42*(1-G42)/F42)*100,"")</f>
        <v>8.38205528555525</v>
      </c>
      <c r="O42" s="8" t="str">
        <f aca="false">IF(L42="No","Not the same measure",IF(H42="%",IF(ABS(M42)&lt;10,"Close",IF(ABS(M42)&lt;=0.9*N42,"Within the margin",IF(ABS(M42)&lt;=1.1*N42,"At the edge of the margin","Differs"))),IF(ABS(M42)/I42&lt;0.15,"Close","Differs")))</f>
        <v>Close</v>
      </c>
      <c r="P42" s="4"/>
    </row>
    <row r="43" customFormat="false" ht="23.85" hidden="false" customHeight="false" outlineLevel="0" collapsed="false">
      <c r="A43" s="2" t="n">
        <v>42</v>
      </c>
      <c r="B43" s="3" t="s">
        <v>114</v>
      </c>
      <c r="C43" s="4" t="s">
        <v>96</v>
      </c>
      <c r="D43" s="4" t="s">
        <v>172</v>
      </c>
      <c r="E43" s="2"/>
      <c r="F43" s="2" t="n">
        <v>121</v>
      </c>
      <c r="G43" s="5" t="n">
        <v>0.75</v>
      </c>
      <c r="H43" s="2" t="s">
        <v>19</v>
      </c>
      <c r="I43" s="5" t="n">
        <v>0.86</v>
      </c>
      <c r="J43" s="4" t="s">
        <v>173</v>
      </c>
      <c r="K43" s="4" t="s">
        <v>171</v>
      </c>
      <c r="L43" s="2" t="s">
        <v>22</v>
      </c>
      <c r="M43" s="6" t="n">
        <f aca="false">IF(AND(ISNUMBER(G43),ISNUMBER(I43)),IF(H43="%",(G43-I43)*100,G43-I43),"")</f>
        <v>-11</v>
      </c>
      <c r="N43" s="7" t="n">
        <f aca="false">IF(AND(H43="%",ISNUMBER(G43),ISNUMBER(F43)),1.96*SQRT(G43*(1-G43)/F43)*100,"")</f>
        <v>7.71549905189773</v>
      </c>
      <c r="O43" s="8" t="str">
        <f aca="false">IF(L43="No","Not the same measure",IF(H43="%",IF(ABS(M43)&lt;10,"Close",IF(ABS(M43)&lt;=0.9*N43,"Within the margin",IF(ABS(M43)&lt;=1.1*N43,"At the edge of the margin","Differs"))),IF(ABS(M43)/I43&lt;0.15,"Close","Differs")))</f>
        <v>Differs</v>
      </c>
      <c r="P43" s="4" t="s">
        <v>174</v>
      </c>
    </row>
    <row r="44" customFormat="false" ht="23.85" hidden="false" customHeight="false" outlineLevel="0" collapsed="false">
      <c r="A44" s="2" t="n">
        <v>43</v>
      </c>
      <c r="B44" s="3" t="s">
        <v>114</v>
      </c>
      <c r="C44" s="4" t="s">
        <v>96</v>
      </c>
      <c r="D44" s="4" t="s">
        <v>97</v>
      </c>
      <c r="E44" s="2" t="n">
        <v>20</v>
      </c>
      <c r="F44" s="2" t="n">
        <v>132</v>
      </c>
      <c r="G44" s="5" t="n">
        <f aca="false">E44/F44</f>
        <v>0.151515151515152</v>
      </c>
      <c r="H44" s="2" t="s">
        <v>19</v>
      </c>
      <c r="I44" s="5" t="n">
        <v>0.28</v>
      </c>
      <c r="J44" s="4" t="s">
        <v>175</v>
      </c>
      <c r="K44" s="4" t="s">
        <v>99</v>
      </c>
      <c r="L44" s="2" t="s">
        <v>41</v>
      </c>
      <c r="M44" s="6" t="n">
        <f aca="false">IF(AND(ISNUMBER(G44),ISNUMBER(I44)),IF(H44="%",(G44-I44)*100,G44-I44),"")</f>
        <v>-12.8484848484849</v>
      </c>
      <c r="N44" s="7" t="n">
        <f aca="false">IF(AND(H44="%",ISNUMBER(G44),ISNUMBER(F44)),1.96*SQRT(G44*(1-G44)/F44)*100,"")</f>
        <v>6.11672821252786</v>
      </c>
      <c r="O44" s="8" t="str">
        <f aca="false">IF(L44="No","Not the same measure",IF(H44="%",IF(ABS(M44)&lt;10,"Close",IF(ABS(M44)&lt;=0.9*N44,"Within the margin",IF(ABS(M44)&lt;=1.1*N44,"At the edge of the margin","Differs"))),IF(ABS(M44)/I44&lt;0.15,"Close","Differs")))</f>
        <v>Differs</v>
      </c>
      <c r="P44" s="4" t="s">
        <v>176</v>
      </c>
    </row>
    <row r="45" customFormat="false" ht="15" hidden="false" customHeight="false" outlineLevel="0" collapsed="false">
      <c r="A45" s="2" t="n">
        <v>44</v>
      </c>
      <c r="B45" s="3" t="s">
        <v>114</v>
      </c>
      <c r="C45" s="4" t="s">
        <v>69</v>
      </c>
      <c r="D45" s="4" t="s">
        <v>70</v>
      </c>
      <c r="E45" s="2" t="n">
        <v>14</v>
      </c>
      <c r="F45" s="2" t="n">
        <v>49</v>
      </c>
      <c r="G45" s="5" t="n">
        <f aca="false">E45/F45</f>
        <v>0.285714285714286</v>
      </c>
      <c r="H45" s="2" t="s">
        <v>19</v>
      </c>
      <c r="I45" s="5" t="n">
        <v>0.4</v>
      </c>
      <c r="J45" s="4" t="s">
        <v>177</v>
      </c>
      <c r="K45" s="4" t="s">
        <v>72</v>
      </c>
      <c r="L45" s="2" t="s">
        <v>41</v>
      </c>
      <c r="M45" s="6" t="n">
        <f aca="false">IF(AND(ISNUMBER(G45),ISNUMBER(I45)),IF(H45="%",(G45-I45)*100,G45-I45),"")</f>
        <v>-11.4285714285714</v>
      </c>
      <c r="N45" s="7" t="n">
        <f aca="false">IF(AND(H45="%",ISNUMBER(G45),ISNUMBER(F45)),1.96*SQRT(G45*(1-G45)/F45)*100,"")</f>
        <v>12.6491106406735</v>
      </c>
      <c r="O45" s="8" t="str">
        <f aca="false">IF(L45="No","Not the same measure",IF(H45="%",IF(ABS(M45)&lt;10,"Close",IF(ABS(M45)&lt;=0.9*N45,"Within the margin",IF(ABS(M45)&lt;=1.1*N45,"At the edge of the margin","Differs"))),IF(ABS(M45)/I45&lt;0.15,"Close","Differs")))</f>
        <v>At the edge of the margin</v>
      </c>
      <c r="P45" s="4" t="s">
        <v>178</v>
      </c>
    </row>
    <row r="46" customFormat="false" ht="23.85" hidden="false" customHeight="false" outlineLevel="0" collapsed="false">
      <c r="A46" s="2" t="n">
        <v>45</v>
      </c>
      <c r="B46" s="3" t="s">
        <v>114</v>
      </c>
      <c r="C46" s="4" t="s">
        <v>69</v>
      </c>
      <c r="D46" s="4" t="s">
        <v>74</v>
      </c>
      <c r="E46" s="2" t="n">
        <v>89</v>
      </c>
      <c r="F46" s="2" t="n">
        <v>132</v>
      </c>
      <c r="G46" s="5" t="n">
        <f aca="false">E46/F46</f>
        <v>0.674242424242424</v>
      </c>
      <c r="H46" s="2" t="s">
        <v>19</v>
      </c>
      <c r="I46" s="5" t="n">
        <v>0.57</v>
      </c>
      <c r="J46" s="4" t="s">
        <v>179</v>
      </c>
      <c r="K46" s="4" t="s">
        <v>76</v>
      </c>
      <c r="L46" s="2" t="s">
        <v>41</v>
      </c>
      <c r="M46" s="6" t="n">
        <f aca="false">IF(AND(ISNUMBER(G46),ISNUMBER(I46)),IF(H46="%",(G46-I46)*100,G46-I46),"")</f>
        <v>10.4242424242424</v>
      </c>
      <c r="N46" s="7" t="n">
        <f aca="false">IF(AND(H46="%",ISNUMBER(G46),ISNUMBER(F46)),1.96*SQRT(G46*(1-G46)/F46)*100,"")</f>
        <v>7.99510930661147</v>
      </c>
      <c r="O46" s="8" t="str">
        <f aca="false">IF(L46="No","Not the same measure",IF(H46="%",IF(ABS(M46)&lt;10,"Close",IF(ABS(M46)&lt;=0.9*N46,"Within the margin",IF(ABS(M46)&lt;=1.1*N46,"At the edge of the margin","Differs"))),IF(ABS(M46)/I46&lt;0.15,"Close","Differs")))</f>
        <v>Differs</v>
      </c>
      <c r="P46" s="4"/>
    </row>
    <row r="47" customFormat="false" ht="46.25" hidden="false" customHeight="false" outlineLevel="0" collapsed="false">
      <c r="A47" s="2" t="n">
        <v>46</v>
      </c>
      <c r="B47" s="3" t="s">
        <v>114</v>
      </c>
      <c r="C47" s="4" t="s">
        <v>85</v>
      </c>
      <c r="D47" s="4" t="s">
        <v>86</v>
      </c>
      <c r="E47" s="2" t="n">
        <v>113</v>
      </c>
      <c r="F47" s="2" t="n">
        <v>132</v>
      </c>
      <c r="G47" s="5" t="n">
        <f aca="false">E47/F47</f>
        <v>0.856060606060606</v>
      </c>
      <c r="H47" s="2" t="s">
        <v>19</v>
      </c>
      <c r="I47" s="5" t="n">
        <f aca="false">Calculations!$C$11</f>
        <v>0.831502700617284</v>
      </c>
      <c r="J47" s="4" t="s">
        <v>180</v>
      </c>
      <c r="K47" s="4" t="s">
        <v>94</v>
      </c>
      <c r="L47" s="2" t="s">
        <v>22</v>
      </c>
      <c r="M47" s="6" t="n">
        <f aca="false">IF(AND(ISNUMBER(G47),ISNUMBER(I47)),IF(H47="%",(G47-I47)*100,G47-I47),"")</f>
        <v>2.45579054433223</v>
      </c>
      <c r="N47" s="7" t="n">
        <f aca="false">IF(AND(H47="%",ISNUMBER(G47),ISNUMBER(F47)),1.96*SQRT(G47*(1-G47)/F47)*100,"")</f>
        <v>5.98840544763084</v>
      </c>
      <c r="O47" s="8" t="str">
        <f aca="false">IF(L47="No","Not the same measure",IF(H47="%",IF(ABS(M47)&lt;10,"Close",IF(ABS(M47)&lt;=0.9*N47,"Within the margin",IF(ABS(M47)&lt;=1.1*N47,"At the edge of the margin","Differs"))),IF(ABS(M47)/I47&lt;0.15,"Close","Differs")))</f>
        <v>Close</v>
      </c>
      <c r="P47" s="4"/>
    </row>
    <row r="48" customFormat="false" ht="57.45" hidden="false" customHeight="false" outlineLevel="0" collapsed="false">
      <c r="A48" s="2" t="n">
        <v>47</v>
      </c>
      <c r="B48" s="3" t="s">
        <v>114</v>
      </c>
      <c r="C48" s="4" t="s">
        <v>85</v>
      </c>
      <c r="D48" s="4" t="s">
        <v>181</v>
      </c>
      <c r="E48" s="2" t="n">
        <v>52</v>
      </c>
      <c r="F48" s="2" t="n">
        <v>113</v>
      </c>
      <c r="G48" s="5" t="n">
        <f aca="false">E48/F48</f>
        <v>0.460176991150442</v>
      </c>
      <c r="H48" s="2" t="s">
        <v>19</v>
      </c>
      <c r="I48" s="5" t="n">
        <f aca="false">Calculations!$C$12</f>
        <v>0.489222852980274</v>
      </c>
      <c r="J48" s="4" t="s">
        <v>182</v>
      </c>
      <c r="K48" s="4" t="s">
        <v>94</v>
      </c>
      <c r="L48" s="2" t="s">
        <v>41</v>
      </c>
      <c r="M48" s="6" t="n">
        <f aca="false">IF(AND(ISNUMBER(G48),ISNUMBER(I48)),IF(H48="%",(G48-I48)*100,G48-I48),"")</f>
        <v>-2.90458618298313</v>
      </c>
      <c r="N48" s="7" t="n">
        <f aca="false">IF(AND(H48="%",ISNUMBER(G48),ISNUMBER(F48)),1.96*SQRT(G48*(1-G48)/F48)*100,"")</f>
        <v>9.18977747761273</v>
      </c>
      <c r="O48" s="8" t="str">
        <f aca="false">IF(L48="No","Not the same measure",IF(H48="%",IF(ABS(M48)&lt;10,"Close",IF(ABS(M48)&lt;=0.9*N48,"Within the margin",IF(ABS(M48)&lt;=1.1*N48,"At the edge of the margin","Differs"))),IF(ABS(M48)/I48&lt;0.15,"Close","Differs")))</f>
        <v>Close</v>
      </c>
      <c r="P48" s="4" t="s">
        <v>183</v>
      </c>
    </row>
    <row r="49" customFormat="false" ht="35.05" hidden="false" customHeight="false" outlineLevel="0" collapsed="false">
      <c r="A49" s="2" t="n">
        <v>48</v>
      </c>
      <c r="B49" s="3" t="s">
        <v>114</v>
      </c>
      <c r="C49" s="4" t="s">
        <v>85</v>
      </c>
      <c r="D49" s="4" t="s">
        <v>184</v>
      </c>
      <c r="E49" s="2" t="n">
        <v>39</v>
      </c>
      <c r="F49" s="2" t="n">
        <v>132</v>
      </c>
      <c r="G49" s="5" t="n">
        <f aca="false">E49/F49</f>
        <v>0.295454545454545</v>
      </c>
      <c r="H49" s="2" t="s">
        <v>19</v>
      </c>
      <c r="I49" s="5" t="n">
        <f aca="false">Calculations!$C$14</f>
        <v>0.262270220204768</v>
      </c>
      <c r="J49" s="4" t="s">
        <v>185</v>
      </c>
      <c r="K49" s="4" t="s">
        <v>186</v>
      </c>
      <c r="L49" s="2" t="s">
        <v>41</v>
      </c>
      <c r="M49" s="6" t="n">
        <f aca="false">IF(AND(ISNUMBER(G49),ISNUMBER(I49)),IF(H49="%",(G49-I49)*100,G49-I49),"")</f>
        <v>3.31843252497775</v>
      </c>
      <c r="N49" s="7" t="n">
        <f aca="false">IF(AND(H49="%",ISNUMBER(G49),ISNUMBER(F49)),1.96*SQRT(G49*(1-G49)/F49)*100,"")</f>
        <v>7.78339287252443</v>
      </c>
      <c r="O49" s="8" t="str">
        <f aca="false">IF(L49="No","Not the same measure",IF(H49="%",IF(ABS(M49)&lt;10,"Close",IF(ABS(M49)&lt;=0.9*N49,"Within the margin",IF(ABS(M49)&lt;=1.1*N49,"At the edge of the margin","Differs"))),IF(ABS(M49)/I49&lt;0.15,"Close","Differs")))</f>
        <v>Close</v>
      </c>
      <c r="P49" s="4" t="s">
        <v>187</v>
      </c>
    </row>
    <row r="50" customFormat="false" ht="35.05" hidden="false" customHeight="false" outlineLevel="0" collapsed="false">
      <c r="A50" s="2" t="n">
        <v>49</v>
      </c>
      <c r="B50" s="3" t="s">
        <v>114</v>
      </c>
      <c r="C50" s="4" t="s">
        <v>85</v>
      </c>
      <c r="D50" s="4" t="s">
        <v>188</v>
      </c>
      <c r="E50" s="2" t="s">
        <v>189</v>
      </c>
      <c r="F50" s="2" t="n">
        <v>132</v>
      </c>
      <c r="G50" s="9" t="s">
        <v>190</v>
      </c>
      <c r="H50" s="2" t="s">
        <v>29</v>
      </c>
      <c r="I50" s="5" t="n">
        <v>0.91</v>
      </c>
      <c r="J50" s="4" t="s">
        <v>191</v>
      </c>
      <c r="K50" s="4" t="s">
        <v>76</v>
      </c>
      <c r="L50" s="2" t="s">
        <v>41</v>
      </c>
      <c r="M50" s="6" t="str">
        <f aca="false">IF(AND(ISNUMBER(G50),ISNUMBER(I50)),IF(H50="%",(G50-I50)*100,G50-I50),"")</f>
        <v/>
      </c>
      <c r="N50" s="7" t="str">
        <f aca="false">IF(AND(H50="%",ISNUMBER(G50),ISNUMBER(F50)),1.96*SQRT(G50*(1-G50)/F50)*100,"")</f>
        <v/>
      </c>
      <c r="O50" s="8" t="s">
        <v>192</v>
      </c>
      <c r="P50" s="4" t="s">
        <v>193</v>
      </c>
    </row>
    <row r="51" customFormat="false" ht="23.85" hidden="false" customHeight="false" outlineLevel="0" collapsed="false">
      <c r="A51" s="2" t="n">
        <v>50</v>
      </c>
      <c r="B51" s="3" t="s">
        <v>114</v>
      </c>
      <c r="C51" s="4" t="s">
        <v>85</v>
      </c>
      <c r="D51" s="4" t="s">
        <v>194</v>
      </c>
      <c r="E51" s="2" t="s">
        <v>79</v>
      </c>
      <c r="F51" s="2" t="n">
        <v>132</v>
      </c>
      <c r="G51" s="9" t="s">
        <v>80</v>
      </c>
      <c r="H51" s="2" t="s">
        <v>29</v>
      </c>
      <c r="I51" s="5" t="n">
        <v>0.27</v>
      </c>
      <c r="J51" s="4" t="s">
        <v>195</v>
      </c>
      <c r="K51" s="4" t="s">
        <v>76</v>
      </c>
      <c r="L51" s="2" t="s">
        <v>41</v>
      </c>
      <c r="M51" s="6" t="str">
        <f aca="false">IF(AND(ISNUMBER(G51),ISNUMBER(I51)),IF(H51="%",(G51-I51)*100,G51-I51),"")</f>
        <v/>
      </c>
      <c r="N51" s="7" t="str">
        <f aca="false">IF(AND(H51="%",ISNUMBER(G51),ISNUMBER(F51)),1.96*SQRT(G51*(1-G51)/F51)*100,"")</f>
        <v/>
      </c>
      <c r="O51" s="8" t="s">
        <v>124</v>
      </c>
      <c r="P51" s="4" t="s">
        <v>196</v>
      </c>
    </row>
    <row r="52" customFormat="false" ht="23.85" hidden="false" customHeight="false" outlineLevel="0" collapsed="false">
      <c r="A52" s="2" t="n">
        <v>51</v>
      </c>
      <c r="B52" s="3" t="s">
        <v>114</v>
      </c>
      <c r="C52" s="4" t="s">
        <v>110</v>
      </c>
      <c r="D52" s="4" t="s">
        <v>111</v>
      </c>
      <c r="E52" s="2" t="n">
        <v>51</v>
      </c>
      <c r="F52" s="2" t="n">
        <v>134</v>
      </c>
      <c r="G52" s="5" t="n">
        <f aca="false">E52/F52</f>
        <v>0.380597014925373</v>
      </c>
      <c r="H52" s="2" t="s">
        <v>19</v>
      </c>
      <c r="I52" s="5" t="n">
        <v>0.503</v>
      </c>
      <c r="J52" s="4" t="s">
        <v>197</v>
      </c>
      <c r="K52" s="4" t="s">
        <v>198</v>
      </c>
      <c r="L52" s="2" t="s">
        <v>41</v>
      </c>
      <c r="M52" s="6" t="n">
        <f aca="false">IF(AND(ISNUMBER(G52),ISNUMBER(I52)),IF(H52="%",(G52-I52)*100,G52-I52),"")</f>
        <v>-12.2402985074627</v>
      </c>
      <c r="N52" s="7" t="n">
        <f aca="false">IF(AND(H52="%",ISNUMBER(G52),ISNUMBER(F52)),1.96*SQRT(G52*(1-G52)/F52)*100,"")</f>
        <v>8.22096895258576</v>
      </c>
      <c r="O52" s="8" t="str">
        <f aca="false">IF(L52="No","Not the same measure",IF(H52="%",IF(ABS(M52)&lt;10,"Close",IF(ABS(M52)&lt;=0.9*N52,"Within the margin",IF(ABS(M52)&lt;=1.1*N52,"At the edge of the margin","Differs"))),IF(ABS(M52)/I52&lt;0.15,"Close","Differs")))</f>
        <v>Differs</v>
      </c>
      <c r="P52" s="4" t="s">
        <v>199</v>
      </c>
    </row>
    <row r="53" customFormat="false" ht="23.85" hidden="false" customHeight="false" outlineLevel="0" collapsed="false">
      <c r="A53" s="2" t="n">
        <v>52</v>
      </c>
      <c r="B53" s="3" t="s">
        <v>114</v>
      </c>
      <c r="C53" s="4" t="s">
        <v>64</v>
      </c>
      <c r="D53" s="4" t="s">
        <v>65</v>
      </c>
      <c r="E53" s="2" t="n">
        <v>84</v>
      </c>
      <c r="F53" s="2" t="n">
        <v>134</v>
      </c>
      <c r="G53" s="5" t="n">
        <f aca="false">E53/F53</f>
        <v>0.626865671641791</v>
      </c>
      <c r="H53" s="2" t="s">
        <v>19</v>
      </c>
      <c r="I53" s="5" t="n">
        <v>0.23</v>
      </c>
      <c r="J53" s="4" t="s">
        <v>200</v>
      </c>
      <c r="K53" s="4" t="s">
        <v>72</v>
      </c>
      <c r="L53" s="2" t="s">
        <v>50</v>
      </c>
      <c r="M53" s="6" t="n">
        <f aca="false">IF(AND(ISNUMBER(G53),ISNUMBER(I53)),IF(H53="%",(G53-I53)*100,G53-I53),"")</f>
        <v>39.6865671641791</v>
      </c>
      <c r="N53" s="7" t="n">
        <f aca="false">IF(AND(H53="%",ISNUMBER(G53),ISNUMBER(F53)),1.96*SQRT(G53*(1-G53)/F53)*100,"")</f>
        <v>8.18886137083574</v>
      </c>
      <c r="O53" s="8" t="str">
        <f aca="false">IF(L53="No","Not the same measure",IF(H53="%",IF(ABS(M53)&lt;10,"Close",IF(ABS(M53)&lt;=0.9*N53,"Within the margin",IF(ABS(M53)&lt;=1.1*N53,"At the edge of the margin","Differs"))),IF(ABS(M53)/I53&lt;0.15,"Close","Differs")))</f>
        <v>Not the same measure</v>
      </c>
      <c r="P53" s="4" t="s">
        <v>201</v>
      </c>
    </row>
    <row r="54" customFormat="false" ht="23.85" hidden="false" customHeight="false" outlineLevel="0" collapsed="false">
      <c r="A54" s="2" t="n">
        <v>53</v>
      </c>
      <c r="B54" s="3" t="s">
        <v>114</v>
      </c>
      <c r="C54" s="4" t="s">
        <v>64</v>
      </c>
      <c r="D54" s="4" t="s">
        <v>202</v>
      </c>
      <c r="E54" s="2" t="n">
        <v>19</v>
      </c>
      <c r="F54" s="2" t="n">
        <v>134</v>
      </c>
      <c r="G54" s="5" t="n">
        <f aca="false">E54/F54</f>
        <v>0.141791044776119</v>
      </c>
      <c r="H54" s="2" t="s">
        <v>19</v>
      </c>
      <c r="I54" s="5" t="n">
        <v>0.23</v>
      </c>
      <c r="J54" s="4" t="s">
        <v>203</v>
      </c>
      <c r="K54" s="4" t="s">
        <v>72</v>
      </c>
      <c r="L54" s="2" t="s">
        <v>41</v>
      </c>
      <c r="M54" s="6" t="n">
        <f aca="false">IF(AND(ISNUMBER(G54),ISNUMBER(I54)),IF(H54="%",(G54-I54)*100,G54-I54),"")</f>
        <v>-8.82089552238806</v>
      </c>
      <c r="N54" s="7" t="n">
        <f aca="false">IF(AND(H54="%",ISNUMBER(G54),ISNUMBER(F54)),1.96*SQRT(G54*(1-G54)/F54)*100,"")</f>
        <v>5.90642365108136</v>
      </c>
      <c r="O54" s="8" t="str">
        <f aca="false">IF(L54="No","Not the same measure",IF(H54="%",IF(ABS(M54)&lt;10,"Close",IF(ABS(M54)&lt;=0.9*N54,"Within the margin",IF(ABS(M54)&lt;=1.1*N54,"At the edge of the margin","Differs"))),IF(ABS(M54)/I54&lt;0.15,"Close","Differs")))</f>
        <v>Close</v>
      </c>
      <c r="P54" s="4" t="s">
        <v>204</v>
      </c>
    </row>
    <row r="55" customFormat="false" ht="23.85" hidden="false" customHeight="false" outlineLevel="0" collapsed="false">
      <c r="A55" s="2" t="n">
        <v>54</v>
      </c>
      <c r="B55" s="3" t="s">
        <v>114</v>
      </c>
      <c r="C55" s="4" t="s">
        <v>205</v>
      </c>
      <c r="D55" s="4" t="s">
        <v>206</v>
      </c>
      <c r="E55" s="2" t="n">
        <v>41</v>
      </c>
      <c r="F55" s="2" t="n">
        <v>129</v>
      </c>
      <c r="G55" s="5" t="n">
        <f aca="false">E55/F55</f>
        <v>0.317829457364341</v>
      </c>
      <c r="H55" s="2" t="s">
        <v>19</v>
      </c>
      <c r="I55" s="5" t="n">
        <v>0.67</v>
      </c>
      <c r="J55" s="4" t="s">
        <v>207</v>
      </c>
      <c r="K55" s="4" t="s">
        <v>105</v>
      </c>
      <c r="L55" s="2" t="s">
        <v>50</v>
      </c>
      <c r="M55" s="6" t="n">
        <f aca="false">IF(AND(ISNUMBER(G55),ISNUMBER(I55)),IF(H55="%",(G55-I55)*100,G55-I55),"")</f>
        <v>-35.2170542635659</v>
      </c>
      <c r="N55" s="7" t="n">
        <f aca="false">IF(AND(H55="%",ISNUMBER(G55),ISNUMBER(F55)),1.96*SQRT(G55*(1-G55)/F55)*100,"")</f>
        <v>8.03534948261162</v>
      </c>
      <c r="O55" s="8" t="str">
        <f aca="false">IF(L55="No","Not the same measure",IF(H55="%",IF(ABS(M55)&lt;10,"Close",IF(ABS(M55)&lt;=0.9*N55,"Within the margin",IF(ABS(M55)&lt;=1.1*N55,"At the edge of the margin","Differs"))),IF(ABS(M55)/I55&lt;0.15,"Close","Differs")))</f>
        <v>Not the same measure</v>
      </c>
      <c r="P55" s="4" t="s">
        <v>208</v>
      </c>
    </row>
  </sheetData>
  <autoFilter ref="A1:P55"/>
  <conditionalFormatting sqref="O2:O55">
    <cfRule type="cellIs" priority="2" operator="equal" aboveAverage="0" equalAverage="0" bottom="0" percent="0" rank="0" text="" dxfId="8">
      <formula>"Close"</formula>
    </cfRule>
    <cfRule type="cellIs" priority="3" operator="equal" aboveAverage="0" equalAverage="0" bottom="0" percent="0" rank="0" text="" dxfId="9">
      <formula>"Within the margin"</formula>
    </cfRule>
    <cfRule type="cellIs" priority="4" operator="equal" aboveAverage="0" equalAverage="0" bottom="0" percent="0" rank="0" text="" dxfId="10">
      <formula>"At the edge of the margin"</formula>
    </cfRule>
    <cfRule type="cellIs" priority="5" operator="equal" aboveAverage="0" equalAverage="0" bottom="0" percent="0" rank="0" text="" dxfId="11">
      <formula>"Differs"</formula>
    </cfRule>
    <cfRule type="cellIs" priority="6" operator="equal" aboveAverage="0" equalAverage="0" bottom="0" percent="0" rank="0" text="" dxfId="12">
      <formula>"Not the same measure"</formula>
    </cfRule>
    <cfRule type="cellIs" priority="7" operator="equal" aboveAverage="0" equalAverage="0" bottom="0" percent="0" rank="0" text="" dxfId="13">
      <formula>"No published figure"</formula>
    </cfRule>
    <cfRule type="cellIs" priority="8" operator="equal" aboveAverage="0" equalAverage="0" bottom="0" percent="0" rank="0" text="" dxfId="13">
      <formula>"No data in the survey"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12"/>
    <col collapsed="false" customWidth="true" hidden="false" outlineLevel="0" max="4" min="4" style="0" width="18"/>
    <col collapsed="false" customWidth="true" hidden="false" outlineLevel="0" max="5" min="5" style="0" width="12"/>
    <col collapsed="false" customWidth="true" hidden="false" outlineLevel="0" max="6" min="6" style="0" width="18"/>
    <col collapsed="false" customWidth="true" hidden="false" outlineLevel="0" max="7" min="7" style="0" width="12"/>
    <col collapsed="false" customWidth="true" hidden="false" outlineLevel="0" max="8" min="8" style="0" width="14"/>
  </cols>
  <sheetData>
    <row r="1" customFormat="false" ht="15" hidden="false" customHeight="false" outlineLevel="0" collapsed="false">
      <c r="A1" s="10" t="s">
        <v>209</v>
      </c>
    </row>
    <row r="2" customFormat="false" ht="15" hidden="false" customHeight="false" outlineLevel="0" collapsed="false">
      <c r="A2" s="11" t="s">
        <v>210</v>
      </c>
    </row>
    <row r="4" customFormat="false" ht="43.5" hidden="false" customHeight="true" outlineLevel="0" collapsed="false">
      <c r="A4" s="1" t="s">
        <v>211</v>
      </c>
      <c r="B4" s="1" t="s">
        <v>212</v>
      </c>
      <c r="C4" s="1" t="s">
        <v>213</v>
      </c>
      <c r="D4" s="1" t="s">
        <v>214</v>
      </c>
      <c r="E4" s="1" t="s">
        <v>215</v>
      </c>
      <c r="F4" s="1" t="s">
        <v>216</v>
      </c>
      <c r="G4" s="1" t="s">
        <v>217</v>
      </c>
    </row>
    <row r="5" customFormat="false" ht="15" hidden="false" customHeight="false" outlineLevel="0" collapsed="false">
      <c r="A5" s="12" t="s">
        <v>218</v>
      </c>
      <c r="B5" s="13" t="n">
        <v>90</v>
      </c>
      <c r="C5" s="14" t="n">
        <f aca="false">B5/B$10</f>
        <v>0.671641791044776</v>
      </c>
      <c r="D5" s="13" t="n">
        <v>136496</v>
      </c>
      <c r="E5" s="14" t="n">
        <f aca="false">D5/D$10</f>
        <v>0.208676934178461</v>
      </c>
      <c r="F5" s="13" t="n">
        <v>343479</v>
      </c>
      <c r="G5" s="14" t="n">
        <f aca="false">F5/F$10</f>
        <v>0.27141461888213</v>
      </c>
    </row>
    <row r="6" customFormat="false" ht="15" hidden="false" customHeight="false" outlineLevel="0" collapsed="false">
      <c r="A6" s="12" t="s">
        <v>219</v>
      </c>
      <c r="B6" s="13" t="n">
        <v>24</v>
      </c>
      <c r="C6" s="14" t="n">
        <f aca="false">B6/B$10</f>
        <v>0.17910447761194</v>
      </c>
      <c r="D6" s="13" t="n">
        <v>9706</v>
      </c>
      <c r="E6" s="14" t="n">
        <f aca="false">D6/D$10</f>
        <v>0.0148386643061785</v>
      </c>
      <c r="F6" s="13" t="n">
        <v>10868</v>
      </c>
      <c r="G6" s="14" t="n">
        <f aca="false">F6/F$10</f>
        <v>0.00858781491156953</v>
      </c>
    </row>
    <row r="7" customFormat="false" ht="15" hidden="false" customHeight="false" outlineLevel="0" collapsed="false">
      <c r="A7" s="12" t="s">
        <v>220</v>
      </c>
      <c r="B7" s="13" t="n">
        <v>10</v>
      </c>
      <c r="C7" s="14" t="n">
        <f aca="false">B7/B$10</f>
        <v>0.0746268656716418</v>
      </c>
      <c r="D7" s="13" t="n">
        <v>109862</v>
      </c>
      <c r="E7" s="14" t="n">
        <f aca="false">D7/D$10</f>
        <v>0.167958514115536</v>
      </c>
      <c r="F7" s="13" t="n">
        <v>175280</v>
      </c>
      <c r="G7" s="14" t="n">
        <f aca="false">F7/F$10</f>
        <v>0.138504986906506</v>
      </c>
    </row>
    <row r="8" customFormat="false" ht="15" hidden="false" customHeight="false" outlineLevel="0" collapsed="false">
      <c r="A8" s="12" t="s">
        <v>221</v>
      </c>
      <c r="B8" s="13" t="n">
        <f aca="false">134-B5-B6-B7</f>
        <v>10</v>
      </c>
      <c r="C8" s="14" t="n">
        <f aca="false">B8/B$10</f>
        <v>0.0746268656716418</v>
      </c>
      <c r="D8" s="13" t="n">
        <v>357912</v>
      </c>
      <c r="E8" s="14" t="n">
        <f aca="false">D8/D$10</f>
        <v>0.547180714934368</v>
      </c>
      <c r="F8" s="13" t="n">
        <v>671463</v>
      </c>
      <c r="G8" s="14" t="n">
        <f aca="false">F8/F$10</f>
        <v>0.530585200953921</v>
      </c>
    </row>
    <row r="9" customFormat="false" ht="15" hidden="false" customHeight="false" outlineLevel="0" collapsed="false">
      <c r="A9" s="12" t="s">
        <v>222</v>
      </c>
      <c r="B9" s="13" t="n">
        <v>0</v>
      </c>
      <c r="C9" s="14" t="n">
        <f aca="false">B9/B$10</f>
        <v>0</v>
      </c>
      <c r="D9" s="13" t="n">
        <v>40126</v>
      </c>
      <c r="E9" s="14" t="n">
        <f aca="false">D9/D$10</f>
        <v>0.0613451724654565</v>
      </c>
      <c r="F9" s="13" t="n">
        <v>64424</v>
      </c>
      <c r="G9" s="14" t="n">
        <f aca="false">F9/F$10</f>
        <v>0.0509073783458737</v>
      </c>
    </row>
    <row r="10" customFormat="false" ht="15" hidden="false" customHeight="false" outlineLevel="0" collapsed="false">
      <c r="A10" s="15" t="s">
        <v>223</v>
      </c>
      <c r="B10" s="16" t="n">
        <f aca="false">SUM(B5:B9)</f>
        <v>134</v>
      </c>
      <c r="C10" s="17" t="n">
        <f aca="false">B10/B$10</f>
        <v>1</v>
      </c>
      <c r="D10" s="16" t="n">
        <f aca="false">SUM(D5:D9)</f>
        <v>654102</v>
      </c>
      <c r="E10" s="17" t="n">
        <f aca="false">D10/D$10</f>
        <v>1</v>
      </c>
      <c r="F10" s="16" t="n">
        <f aca="false">SUM(F5:F9)</f>
        <v>1265514</v>
      </c>
      <c r="G10" s="17" t="n">
        <f aca="false">F10/F$10</f>
        <v>1</v>
      </c>
    </row>
    <row r="11" customFormat="false" ht="15" hidden="false" customHeight="false" outlineLevel="0" collapsed="false">
      <c r="A11" s="11" t="s">
        <v>224</v>
      </c>
    </row>
    <row r="13" customFormat="false" ht="15" hidden="false" customHeight="false" outlineLevel="0" collapsed="false">
      <c r="A13" s="10" t="s">
        <v>225</v>
      </c>
    </row>
    <row r="14" customFormat="false" ht="43.5" hidden="false" customHeight="true" outlineLevel="0" collapsed="false">
      <c r="A14" s="1" t="s">
        <v>226</v>
      </c>
      <c r="B14" s="1" t="s">
        <v>212</v>
      </c>
      <c r="C14" s="1" t="s">
        <v>213</v>
      </c>
      <c r="D14" s="1" t="s">
        <v>227</v>
      </c>
      <c r="E14" s="1" t="s">
        <v>228</v>
      </c>
      <c r="F14" s="1" t="s">
        <v>229</v>
      </c>
      <c r="G14" s="1" t="s">
        <v>230</v>
      </c>
      <c r="H14" s="1" t="s">
        <v>231</v>
      </c>
    </row>
    <row r="15" customFormat="false" ht="15" hidden="false" customHeight="false" outlineLevel="0" collapsed="false">
      <c r="A15" s="12" t="n">
        <v>1</v>
      </c>
      <c r="B15" s="12" t="n">
        <v>27</v>
      </c>
      <c r="C15" s="14" t="n">
        <f aca="false">B15/B$27</f>
        <v>0.108433734939759</v>
      </c>
      <c r="D15" s="13" t="n">
        <v>1190</v>
      </c>
      <c r="E15" s="14" t="n">
        <f aca="false">D15/D$27</f>
        <v>0.0854455374452502</v>
      </c>
      <c r="F15" s="18" t="n">
        <f aca="false">B$27*E15</f>
        <v>21.2759388238673</v>
      </c>
      <c r="G15" s="19" t="n">
        <f aca="false">(B15-F15)^2/F15</f>
        <v>1.53999673618886</v>
      </c>
      <c r="H15" s="20" t="n">
        <f aca="false">(C15-E15)*100</f>
        <v>2.29881974945088</v>
      </c>
    </row>
    <row r="16" customFormat="false" ht="15" hidden="false" customHeight="false" outlineLevel="0" collapsed="false">
      <c r="A16" s="12" t="n">
        <v>2</v>
      </c>
      <c r="B16" s="12" t="n">
        <v>28</v>
      </c>
      <c r="C16" s="14" t="n">
        <f aca="false">B16/B$27</f>
        <v>0.112449799196787</v>
      </c>
      <c r="D16" s="13" t="n">
        <v>1299</v>
      </c>
      <c r="E16" s="14" t="n">
        <f aca="false">D16/D$27</f>
        <v>0.0932720614633446</v>
      </c>
      <c r="F16" s="18" t="n">
        <f aca="false">B$27*E16</f>
        <v>23.2247433043728</v>
      </c>
      <c r="G16" s="19" t="n">
        <f aca="false">(B16-F16)^2/F16</f>
        <v>0.981844070794918</v>
      </c>
      <c r="H16" s="20" t="n">
        <f aca="false">(C16-E16)*100</f>
        <v>1.91777377334426</v>
      </c>
    </row>
    <row r="17" customFormat="false" ht="15" hidden="false" customHeight="false" outlineLevel="0" collapsed="false">
      <c r="A17" s="12" t="n">
        <v>3</v>
      </c>
      <c r="B17" s="12" t="n">
        <v>11</v>
      </c>
      <c r="C17" s="14" t="n">
        <f aca="false">B17/B$27</f>
        <v>0.0441767068273092</v>
      </c>
      <c r="D17" s="13" t="n">
        <v>897</v>
      </c>
      <c r="E17" s="14" t="n">
        <f aca="false">D17/D$27</f>
        <v>0.0644072664608315</v>
      </c>
      <c r="F17" s="18" t="n">
        <f aca="false">B$27*E17</f>
        <v>16.037409348747</v>
      </c>
      <c r="G17" s="19" t="n">
        <f aca="false">(B17-F17)^2/F17</f>
        <v>1.58226883127022</v>
      </c>
      <c r="H17" s="20" t="n">
        <f aca="false">(C17-E17)*100</f>
        <v>-2.02305596335222</v>
      </c>
    </row>
    <row r="18" customFormat="false" ht="15" hidden="false" customHeight="false" outlineLevel="0" collapsed="false">
      <c r="A18" s="12" t="n">
        <v>4</v>
      </c>
      <c r="B18" s="12" t="n">
        <v>18</v>
      </c>
      <c r="C18" s="14" t="n">
        <f aca="false">B18/B$27</f>
        <v>0.072289156626506</v>
      </c>
      <c r="D18" s="13" t="n">
        <v>848</v>
      </c>
      <c r="E18" s="14" t="n">
        <f aca="false">D18/D$27</f>
        <v>0.0608889208013212</v>
      </c>
      <c r="F18" s="18" t="n">
        <f aca="false">B$27*E18</f>
        <v>15.161341279529</v>
      </c>
      <c r="G18" s="19" t="n">
        <f aca="false">(B18-F18)^2/F18</f>
        <v>0.531482220651955</v>
      </c>
      <c r="H18" s="20" t="n">
        <f aca="false">(C18-E18)*100</f>
        <v>1.14002358251848</v>
      </c>
    </row>
    <row r="19" customFormat="false" ht="15" hidden="false" customHeight="false" outlineLevel="0" collapsed="false">
      <c r="A19" s="12" t="n">
        <v>5</v>
      </c>
      <c r="B19" s="12" t="n">
        <v>11</v>
      </c>
      <c r="C19" s="14" t="n">
        <f aca="false">B19/B$27</f>
        <v>0.0441767068273092</v>
      </c>
      <c r="D19" s="13" t="n">
        <v>1034</v>
      </c>
      <c r="E19" s="14" t="n">
        <f aca="false">D19/D$27</f>
        <v>0.0742442737129317</v>
      </c>
      <c r="F19" s="18" t="n">
        <f aca="false">B$27*E19</f>
        <v>18.48682415452</v>
      </c>
      <c r="G19" s="19" t="n">
        <f aca="false">(B19-F19)^2/F19</f>
        <v>3.03202623945548</v>
      </c>
      <c r="H19" s="20" t="n">
        <f aca="false">(C19-E19)*100</f>
        <v>-3.00675668856225</v>
      </c>
    </row>
    <row r="20" customFormat="false" ht="15" hidden="false" customHeight="false" outlineLevel="0" collapsed="false">
      <c r="A20" s="12" t="n">
        <v>6</v>
      </c>
      <c r="B20" s="12" t="n">
        <v>24</v>
      </c>
      <c r="C20" s="14" t="n">
        <f aca="false">B20/B$27</f>
        <v>0.0963855421686747</v>
      </c>
      <c r="D20" s="13" t="n">
        <v>1269</v>
      </c>
      <c r="E20" s="14" t="n">
        <f aca="false">D20/D$27</f>
        <v>0.0911179722840526</v>
      </c>
      <c r="F20" s="18" t="n">
        <f aca="false">B$27*E20</f>
        <v>22.6883750987291</v>
      </c>
      <c r="G20" s="19" t="n">
        <f aca="false">(B20-F20)^2/F20</f>
        <v>0.075825609994005</v>
      </c>
      <c r="H20" s="20" t="n">
        <f aca="false">(C20-E20)*100</f>
        <v>0.526756988462214</v>
      </c>
    </row>
    <row r="21" customFormat="false" ht="15" hidden="false" customHeight="false" outlineLevel="0" collapsed="false">
      <c r="A21" s="12" t="n">
        <v>7</v>
      </c>
      <c r="B21" s="12" t="n">
        <v>23</v>
      </c>
      <c r="C21" s="14" t="n">
        <f aca="false">B21/B$27</f>
        <v>0.0923694779116466</v>
      </c>
      <c r="D21" s="13" t="n">
        <v>1373</v>
      </c>
      <c r="E21" s="14" t="n">
        <f aca="false">D21/D$27</f>
        <v>0.0985854814389316</v>
      </c>
      <c r="F21" s="18" t="n">
        <f aca="false">B$27*E21</f>
        <v>24.547784878294</v>
      </c>
      <c r="G21" s="19" t="n">
        <f aca="false">(B21-F21)^2/F21</f>
        <v>0.0975908026468718</v>
      </c>
      <c r="H21" s="20" t="n">
        <f aca="false">(C21-E21)*100</f>
        <v>-0.621600352728499</v>
      </c>
    </row>
    <row r="22" customFormat="false" ht="15" hidden="false" customHeight="false" outlineLevel="0" collapsed="false">
      <c r="A22" s="12" t="n">
        <v>8</v>
      </c>
      <c r="B22" s="12" t="n">
        <v>30</v>
      </c>
      <c r="C22" s="14" t="n">
        <f aca="false">B22/B$27</f>
        <v>0.120481927710843</v>
      </c>
      <c r="D22" s="13" t="n">
        <v>1506</v>
      </c>
      <c r="E22" s="14" t="n">
        <f aca="false">D22/D$27</f>
        <v>0.10813527680046</v>
      </c>
      <c r="F22" s="18" t="n">
        <f aca="false">B$27*E22</f>
        <v>26.9256839233144</v>
      </c>
      <c r="G22" s="19" t="n">
        <f aca="false">(B22-F22)^2/F22</f>
        <v>0.351018728671311</v>
      </c>
      <c r="H22" s="20" t="n">
        <f aca="false">(C22-E22)*100</f>
        <v>1.23466509103838</v>
      </c>
    </row>
    <row r="23" customFormat="false" ht="15" hidden="false" customHeight="false" outlineLevel="0" collapsed="false">
      <c r="A23" s="12" t="n">
        <v>9</v>
      </c>
      <c r="B23" s="12" t="n">
        <v>19</v>
      </c>
      <c r="C23" s="14" t="n">
        <f aca="false">B23/B$27</f>
        <v>0.0763052208835341</v>
      </c>
      <c r="D23" s="13" t="n">
        <v>907</v>
      </c>
      <c r="E23" s="14" t="n">
        <f aca="false">D23/D$27</f>
        <v>0.0651252961872622</v>
      </c>
      <c r="F23" s="18" t="n">
        <f aca="false">B$27*E23</f>
        <v>16.2161987506283</v>
      </c>
      <c r="G23" s="19" t="n">
        <f aca="false">(B23-F23)^2/F23</f>
        <v>0.477889394128407</v>
      </c>
      <c r="H23" s="20" t="n">
        <f aca="false">(C23-E23)*100</f>
        <v>1.1179924696272</v>
      </c>
    </row>
    <row r="24" customFormat="false" ht="15" hidden="false" customHeight="false" outlineLevel="0" collapsed="false">
      <c r="A24" s="12" t="n">
        <v>10</v>
      </c>
      <c r="B24" s="12" t="n">
        <v>22</v>
      </c>
      <c r="C24" s="14" t="n">
        <f aca="false">B24/B$27</f>
        <v>0.0883534136546185</v>
      </c>
      <c r="D24" s="13" t="n">
        <v>1124</v>
      </c>
      <c r="E24" s="14" t="n">
        <f aca="false">D24/D$27</f>
        <v>0.0807065412508078</v>
      </c>
      <c r="F24" s="18" t="n">
        <f aca="false">B$27*E24</f>
        <v>20.0959287714511</v>
      </c>
      <c r="G24" s="19" t="n">
        <f aca="false">(B24-F24)^2/F24</f>
        <v>0.180409041284922</v>
      </c>
      <c r="H24" s="20" t="n">
        <f aca="false">(C24-E24)*100</f>
        <v>0.764687240381069</v>
      </c>
    </row>
    <row r="25" customFormat="false" ht="15" hidden="false" customHeight="false" outlineLevel="0" collapsed="false">
      <c r="A25" s="12" t="n">
        <v>11</v>
      </c>
      <c r="B25" s="12" t="n">
        <v>20</v>
      </c>
      <c r="C25" s="14" t="n">
        <f aca="false">B25/B$27</f>
        <v>0.0803212851405623</v>
      </c>
      <c r="D25" s="13" t="n">
        <v>1520</v>
      </c>
      <c r="E25" s="14" t="n">
        <f aca="false">D25/D$27</f>
        <v>0.109140518417462</v>
      </c>
      <c r="F25" s="18" t="n">
        <f aca="false">B$27*E25</f>
        <v>27.1759890859482</v>
      </c>
      <c r="G25" s="19" t="n">
        <f aca="false">(B25-F25)^2/F25</f>
        <v>1.89486458795619</v>
      </c>
      <c r="H25" s="20" t="n">
        <f aca="false">(C25-E25)*100</f>
        <v>-2.88192332769002</v>
      </c>
    </row>
    <row r="26" customFormat="false" ht="15" hidden="false" customHeight="false" outlineLevel="0" collapsed="false">
      <c r="A26" s="12" t="n">
        <v>12</v>
      </c>
      <c r="B26" s="12" t="n">
        <v>16</v>
      </c>
      <c r="C26" s="14" t="n">
        <f aca="false">B26/B$27</f>
        <v>0.0642570281124498</v>
      </c>
      <c r="D26" s="13" t="n">
        <v>960</v>
      </c>
      <c r="E26" s="14" t="n">
        <f aca="false">D26/D$27</f>
        <v>0.0689308537373447</v>
      </c>
      <c r="F26" s="18" t="n">
        <f aca="false">B$27*E26</f>
        <v>17.1637825805988</v>
      </c>
      <c r="G26" s="19" t="n">
        <f aca="false">(B26-F26)^2/F26</f>
        <v>0.0789097559669762</v>
      </c>
      <c r="H26" s="20" t="n">
        <f aca="false">(C26-E26)*100</f>
        <v>-0.467382562489493</v>
      </c>
    </row>
    <row r="27" customFormat="false" ht="15" hidden="false" customHeight="false" outlineLevel="0" collapsed="false">
      <c r="A27" s="15" t="s">
        <v>223</v>
      </c>
      <c r="B27" s="15" t="n">
        <f aca="false">SUM(B15:B26)</f>
        <v>249</v>
      </c>
      <c r="C27" s="17" t="n">
        <f aca="false">B27/B$27</f>
        <v>1</v>
      </c>
      <c r="D27" s="16" t="n">
        <f aca="false">SUM(D15:D26)</f>
        <v>13927</v>
      </c>
      <c r="E27" s="17" t="n">
        <f aca="false">D27/D$27</f>
        <v>1</v>
      </c>
      <c r="F27" s="15"/>
      <c r="G27" s="21" t="n">
        <f aca="false">SUM(G15:G26)</f>
        <v>10.8241260190101</v>
      </c>
      <c r="H27" s="15"/>
    </row>
    <row r="28" customFormat="false" ht="15" hidden="false" customHeight="false" outlineLevel="0" collapsed="false">
      <c r="A28" s="12" t="s">
        <v>232</v>
      </c>
      <c r="B28" s="19" t="n">
        <f aca="false">G27</f>
        <v>10.8241260190101</v>
      </c>
    </row>
    <row r="29" customFormat="false" ht="15" hidden="false" customHeight="false" outlineLevel="0" collapsed="false">
      <c r="A29" s="12" t="s">
        <v>233</v>
      </c>
      <c r="B29" s="12" t="n">
        <v>11</v>
      </c>
    </row>
    <row r="30" customFormat="false" ht="15" hidden="false" customHeight="false" outlineLevel="0" collapsed="false">
      <c r="A30" s="12" t="s">
        <v>234</v>
      </c>
      <c r="B30" s="19" t="n">
        <f aca="false">CHIDIST(B28,B29)</f>
        <v>0.458113041043394</v>
      </c>
    </row>
    <row r="31" customFormat="false" ht="15" hidden="false" customHeight="false" outlineLevel="0" collapsed="false">
      <c r="A31" s="11" t="s">
        <v>235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3" min="2" style="0" width="12"/>
    <col collapsed="false" customWidth="true" hidden="false" outlineLevel="0" max="4" min="4" style="0" width="10"/>
    <col collapsed="false" customWidth="true" hidden="false" outlineLevel="0" max="6" min="5" style="0" width="12"/>
    <col collapsed="false" customWidth="true" hidden="false" outlineLevel="0" max="7" min="7" style="0" width="10"/>
    <col collapsed="false" customWidth="true" hidden="false" outlineLevel="0" max="8" min="8" style="0" width="12"/>
    <col collapsed="false" customWidth="true" hidden="false" outlineLevel="0" max="10" min="9" style="0" width="14"/>
  </cols>
  <sheetData>
    <row r="1" customFormat="false" ht="15" hidden="false" customHeight="false" outlineLevel="0" collapsed="false">
      <c r="A1" s="10" t="s">
        <v>236</v>
      </c>
    </row>
    <row r="2" customFormat="false" ht="15" hidden="false" customHeight="false" outlineLevel="0" collapsed="false">
      <c r="A2" s="11" t="s">
        <v>237</v>
      </c>
    </row>
    <row r="4" customFormat="false" ht="43.5" hidden="false" customHeight="true" outlineLevel="0" collapsed="false">
      <c r="A4" s="1" t="s">
        <v>238</v>
      </c>
      <c r="B4" s="1" t="s">
        <v>239</v>
      </c>
      <c r="C4" s="1" t="s">
        <v>240</v>
      </c>
      <c r="D4" s="1" t="s">
        <v>241</v>
      </c>
      <c r="E4" s="1" t="s">
        <v>242</v>
      </c>
      <c r="F4" s="1" t="s">
        <v>243</v>
      </c>
      <c r="G4" s="1" t="s">
        <v>244</v>
      </c>
      <c r="H4" s="1" t="s">
        <v>231</v>
      </c>
      <c r="I4" s="1" t="s">
        <v>245</v>
      </c>
    </row>
    <row r="5" customFormat="false" ht="15" hidden="false" customHeight="false" outlineLevel="0" collapsed="false">
      <c r="A5" s="12" t="s">
        <v>246</v>
      </c>
      <c r="B5" s="12" t="n">
        <v>55</v>
      </c>
      <c r="C5" s="12" t="n">
        <v>257</v>
      </c>
      <c r="D5" s="14" t="n">
        <f aca="false">IF(ISNUMBER(B5),B5/C5,"")</f>
        <v>0.214007782101167</v>
      </c>
      <c r="E5" s="12" t="n">
        <v>84</v>
      </c>
      <c r="F5" s="12" t="n">
        <v>134</v>
      </c>
      <c r="G5" s="14" t="n">
        <f aca="false">IF(ISNUMBER(E5),E5/F5,"")</f>
        <v>0.626865671641791</v>
      </c>
      <c r="H5" s="20" t="n">
        <f aca="false">(G5-D5)*100</f>
        <v>41.2857889540624</v>
      </c>
      <c r="I5" s="22" t="n">
        <f aca="false">(G5-D5)/SQRT((D5*(1-D5)+G5*(1-G5))/2)</f>
        <v>0.920748946711671</v>
      </c>
    </row>
    <row r="6" customFormat="false" ht="15" hidden="false" customHeight="false" outlineLevel="0" collapsed="false">
      <c r="A6" s="12" t="s">
        <v>247</v>
      </c>
      <c r="B6" s="12" t="n">
        <v>54</v>
      </c>
      <c r="C6" s="12" t="n">
        <v>242</v>
      </c>
      <c r="D6" s="14" t="n">
        <f aca="false">IF(ISNUMBER(B6),B6/C6,"")</f>
        <v>0.223140495867769</v>
      </c>
      <c r="E6" s="12" t="n">
        <v>80</v>
      </c>
      <c r="F6" s="12" t="n">
        <v>133</v>
      </c>
      <c r="G6" s="14" t="n">
        <f aca="false">IF(ISNUMBER(E6),E6/F6,"")</f>
        <v>0.601503759398496</v>
      </c>
      <c r="H6" s="20" t="n">
        <f aca="false">(G6-D6)*100</f>
        <v>37.8363263530728</v>
      </c>
      <c r="I6" s="22" t="n">
        <f aca="false">(G6-D6)/SQRT((D6*(1-D6)+G6*(1-G6))/2)</f>
        <v>0.832577853347479</v>
      </c>
    </row>
    <row r="7" customFormat="false" ht="15" hidden="false" customHeight="false" outlineLevel="0" collapsed="false">
      <c r="A7" s="12" t="s">
        <v>248</v>
      </c>
      <c r="B7" s="12" t="n">
        <v>47</v>
      </c>
      <c r="C7" s="12" t="n">
        <v>257</v>
      </c>
      <c r="D7" s="14" t="n">
        <f aca="false">IF(ISNUMBER(B7),B7/C7,"")</f>
        <v>0.182879377431907</v>
      </c>
      <c r="E7" s="12" t="n">
        <v>66</v>
      </c>
      <c r="F7" s="12" t="n">
        <v>133</v>
      </c>
      <c r="G7" s="14" t="n">
        <f aca="false">IF(ISNUMBER(E7),E7/F7,"")</f>
        <v>0.496240601503759</v>
      </c>
      <c r="H7" s="20" t="n">
        <f aca="false">(G7-D7)*100</f>
        <v>31.3361224071853</v>
      </c>
      <c r="I7" s="22" t="n">
        <f aca="false">(G7-D7)/SQRT((D7*(1-D7)+G7*(1-G7))/2)</f>
        <v>0.701205225478914</v>
      </c>
    </row>
    <row r="8" customFormat="false" ht="15" hidden="false" customHeight="false" outlineLevel="0" collapsed="false">
      <c r="A8" s="12" t="s">
        <v>249</v>
      </c>
      <c r="B8" s="12" t="n">
        <v>95</v>
      </c>
      <c r="C8" s="12" t="n">
        <v>257</v>
      </c>
      <c r="D8" s="14" t="n">
        <f aca="false">IF(ISNUMBER(B8),B8/C8,"")</f>
        <v>0.369649805447471</v>
      </c>
      <c r="E8" s="12" t="n">
        <v>87</v>
      </c>
      <c r="F8" s="12" t="n">
        <v>133</v>
      </c>
      <c r="G8" s="14" t="n">
        <f aca="false">IF(ISNUMBER(E8),E8/F8,"")</f>
        <v>0.654135338345865</v>
      </c>
      <c r="H8" s="20" t="n">
        <f aca="false">(G8-D8)*100</f>
        <v>28.4485532898394</v>
      </c>
      <c r="I8" s="22" t="n">
        <f aca="false">(G8-D8)/SQRT((D8*(1-D8)+G8*(1-G8))/2)</f>
        <v>0.593676789003897</v>
      </c>
    </row>
    <row r="9" customFormat="false" ht="15" hidden="false" customHeight="false" outlineLevel="0" collapsed="false">
      <c r="A9" s="12" t="s">
        <v>18</v>
      </c>
      <c r="B9" s="12" t="n">
        <v>211</v>
      </c>
      <c r="C9" s="12" t="n">
        <v>246</v>
      </c>
      <c r="D9" s="14" t="n">
        <f aca="false">IF(ISNUMBER(B9),B9/C9,"")</f>
        <v>0.857723577235772</v>
      </c>
      <c r="E9" s="12" t="n">
        <v>86</v>
      </c>
      <c r="F9" s="12" t="n">
        <v>134</v>
      </c>
      <c r="G9" s="14" t="n">
        <f aca="false">IF(ISNUMBER(E9),E9/F9,"")</f>
        <v>0.641791044776119</v>
      </c>
      <c r="H9" s="20" t="n">
        <f aca="false">(G9-D9)*100</f>
        <v>-21.5932532459653</v>
      </c>
      <c r="I9" s="22" t="n">
        <f aca="false">(G9-D9)/SQRT((D9*(1-D9)+G9*(1-G9))/2)</f>
        <v>-0.51476079239237</v>
      </c>
    </row>
    <row r="10" customFormat="false" ht="15" hidden="false" customHeight="false" outlineLevel="0" collapsed="false">
      <c r="A10" s="12" t="s">
        <v>250</v>
      </c>
      <c r="B10" s="12" t="n">
        <v>48</v>
      </c>
      <c r="C10" s="12" t="n">
        <v>257</v>
      </c>
      <c r="D10" s="14" t="n">
        <f aca="false">IF(ISNUMBER(B10),B10/C10,"")</f>
        <v>0.186770428015564</v>
      </c>
      <c r="E10" s="12" t="n">
        <v>51</v>
      </c>
      <c r="F10" s="12" t="n">
        <v>134</v>
      </c>
      <c r="G10" s="14" t="n">
        <f aca="false">IF(ISNUMBER(E10),E10/F10,"")</f>
        <v>0.380597014925373</v>
      </c>
      <c r="H10" s="20" t="n">
        <f aca="false">(G10-D10)*100</f>
        <v>19.3826586909809</v>
      </c>
      <c r="I10" s="22" t="n">
        <f aca="false">(G10-D10)/SQRT((D10*(1-D10)+G10*(1-G10))/2)</f>
        <v>0.44027047744289</v>
      </c>
    </row>
    <row r="11" customFormat="false" ht="15" hidden="false" customHeight="false" outlineLevel="0" collapsed="false">
      <c r="A11" s="12" t="s">
        <v>251</v>
      </c>
      <c r="B11" s="12" t="n">
        <v>83</v>
      </c>
      <c r="C11" s="12" t="n">
        <v>257</v>
      </c>
      <c r="D11" s="14" t="n">
        <f aca="false">IF(ISNUMBER(B11),B11/C11,"")</f>
        <v>0.32295719844358</v>
      </c>
      <c r="E11" s="12" t="n">
        <v>66</v>
      </c>
      <c r="F11" s="12" t="n">
        <v>133</v>
      </c>
      <c r="G11" s="14" t="n">
        <f aca="false">IF(ISNUMBER(E11),E11/F11,"")</f>
        <v>0.496240601503759</v>
      </c>
      <c r="H11" s="20" t="n">
        <f aca="false">(G11-D11)*100</f>
        <v>17.328340306018</v>
      </c>
      <c r="I11" s="22" t="n">
        <f aca="false">(G11-D11)/SQRT((D11*(1-D11)+G11*(1-G11))/2)</f>
        <v>0.357974008705985</v>
      </c>
    </row>
    <row r="12" customFormat="false" ht="15" hidden="false" customHeight="false" outlineLevel="0" collapsed="false">
      <c r="A12" s="12" t="s">
        <v>252</v>
      </c>
      <c r="B12" s="12" t="n">
        <v>126</v>
      </c>
      <c r="C12" s="12" t="n">
        <v>257</v>
      </c>
      <c r="D12" s="14" t="n">
        <f aca="false">IF(ISNUMBER(B12),B12/C12,"")</f>
        <v>0.490272373540856</v>
      </c>
      <c r="E12" s="12" t="n">
        <v>80</v>
      </c>
      <c r="F12" s="12" t="n">
        <v>129</v>
      </c>
      <c r="G12" s="14" t="n">
        <f aca="false">IF(ISNUMBER(E12),E12/F12,"")</f>
        <v>0.62015503875969</v>
      </c>
      <c r="H12" s="20" t="n">
        <f aca="false">(G12-D12)*100</f>
        <v>12.9882665218834</v>
      </c>
      <c r="I12" s="22" t="n">
        <f aca="false">(G12-D12)/SQRT((D12*(1-D12)+G12*(1-G12))/2)</f>
        <v>0.263624532705239</v>
      </c>
    </row>
    <row r="13" customFormat="false" ht="15" hidden="false" customHeight="false" outlineLevel="0" collapsed="false">
      <c r="A13" s="12" t="s">
        <v>253</v>
      </c>
      <c r="B13" s="12" t="n">
        <v>151</v>
      </c>
      <c r="C13" s="12" t="n">
        <v>257</v>
      </c>
      <c r="D13" s="14" t="n">
        <f aca="false">IF(ISNUMBER(B13),B13/C13,"")</f>
        <v>0.587548638132296</v>
      </c>
      <c r="E13" s="12" t="n">
        <v>89</v>
      </c>
      <c r="F13" s="12" t="n">
        <v>133</v>
      </c>
      <c r="G13" s="14" t="n">
        <f aca="false">IF(ISNUMBER(E13),E13/F13,"")</f>
        <v>0.669172932330827</v>
      </c>
      <c r="H13" s="20" t="n">
        <f aca="false">(G13-D13)*100</f>
        <v>8.16242941985314</v>
      </c>
      <c r="I13" s="22" t="n">
        <f aca="false">(G13-D13)/SQRT((D13*(1-D13)+G13*(1-G13))/2)</f>
        <v>0.169515147187332</v>
      </c>
    </row>
    <row r="14" customFormat="false" ht="15" hidden="false" customHeight="false" outlineLevel="0" collapsed="false">
      <c r="A14" s="12" t="s">
        <v>254</v>
      </c>
      <c r="B14" s="12" t="n">
        <v>54</v>
      </c>
      <c r="C14" s="12" t="n">
        <v>257</v>
      </c>
      <c r="D14" s="14" t="n">
        <f aca="false">IF(ISNUMBER(B14),B14/C14,"")</f>
        <v>0.21011673151751</v>
      </c>
      <c r="E14" s="12" t="n">
        <v>20</v>
      </c>
      <c r="F14" s="12" t="n">
        <v>129</v>
      </c>
      <c r="G14" s="14" t="n">
        <f aca="false">IF(ISNUMBER(E14),E14/F14,"")</f>
        <v>0.155038759689922</v>
      </c>
      <c r="H14" s="20" t="n">
        <f aca="false">(G14-D14)*100</f>
        <v>-5.50779718275873</v>
      </c>
      <c r="I14" s="22" t="n">
        <f aca="false">(G14-D14)/SQRT((D14*(1-D14)+G14*(1-G14))/2)</f>
        <v>-0.142934498507335</v>
      </c>
    </row>
    <row r="15" customFormat="false" ht="15" hidden="false" customHeight="false" outlineLevel="0" collapsed="false">
      <c r="A15" s="12" t="s">
        <v>255</v>
      </c>
      <c r="B15" s="12" t="n">
        <v>62</v>
      </c>
      <c r="C15" s="12" t="n">
        <v>257</v>
      </c>
      <c r="D15" s="14" t="n">
        <f aca="false">IF(ISNUMBER(B15),B15/C15,"")</f>
        <v>0.24124513618677</v>
      </c>
      <c r="E15" s="12" t="n">
        <v>34</v>
      </c>
      <c r="F15" s="12" t="n">
        <v>133</v>
      </c>
      <c r="G15" s="14" t="n">
        <f aca="false">IF(ISNUMBER(E15),E15/F15,"")</f>
        <v>0.255639097744361</v>
      </c>
      <c r="H15" s="20" t="n">
        <f aca="false">(G15-D15)*100</f>
        <v>1.43939615575905</v>
      </c>
      <c r="I15" s="22" t="n">
        <f aca="false">(G15-D15)/SQRT((D15*(1-D15)+G15*(1-G15))/2)</f>
        <v>0.0333155322960758</v>
      </c>
    </row>
    <row r="16" customFormat="false" ht="15" hidden="false" customHeight="false" outlineLevel="0" collapsed="false">
      <c r="A16" s="12" t="s">
        <v>256</v>
      </c>
      <c r="B16" s="12" t="n">
        <v>104</v>
      </c>
      <c r="C16" s="12" t="n">
        <v>234</v>
      </c>
      <c r="D16" s="14" t="n">
        <f aca="false">IF(ISNUMBER(B16),B16/C16,"")</f>
        <v>0.444444444444444</v>
      </c>
      <c r="E16" s="12" t="n">
        <v>61</v>
      </c>
      <c r="F16" s="12" t="n">
        <v>134</v>
      </c>
      <c r="G16" s="14" t="n">
        <f aca="false">IF(ISNUMBER(E16),E16/F16,"")</f>
        <v>0.455223880597015</v>
      </c>
      <c r="H16" s="20" t="n">
        <f aca="false">(G16-D16)*100</f>
        <v>1.07794361525705</v>
      </c>
      <c r="I16" s="22" t="n">
        <f aca="false">(G16-D16)/SQRT((D16*(1-D16)+G16*(1-G16))/2)</f>
        <v>0.0216694808722698</v>
      </c>
    </row>
    <row r="17" customFormat="false" ht="15" hidden="false" customHeight="false" outlineLevel="0" collapsed="false">
      <c r="A17" s="12" t="s">
        <v>257</v>
      </c>
      <c r="B17" s="12" t="n">
        <v>236</v>
      </c>
      <c r="C17" s="12" t="n">
        <v>257</v>
      </c>
      <c r="D17" s="14" t="n">
        <f aca="false">IF(ISNUMBER(B17),B17/C17,"")</f>
        <v>0.918287937743191</v>
      </c>
      <c r="E17" s="12" t="s">
        <v>162</v>
      </c>
      <c r="F17" s="12" t="n">
        <v>134</v>
      </c>
      <c r="G17" s="14" t="str">
        <f aca="false">IF(ISNUMBER(E17),E17/F17,"")</f>
        <v/>
      </c>
      <c r="H17" s="12" t="s">
        <v>258</v>
      </c>
      <c r="I17" s="12"/>
    </row>
    <row r="18" customFormat="false" ht="15" hidden="false" customHeight="false" outlineLevel="0" collapsed="false">
      <c r="A18" s="12" t="s">
        <v>259</v>
      </c>
    </row>
    <row r="19" customFormat="false" ht="15" hidden="false" customHeight="false" outlineLevel="0" collapsed="false">
      <c r="A19" s="12" t="s">
        <v>260</v>
      </c>
    </row>
    <row r="21" customFormat="false" ht="15" hidden="false" customHeight="false" outlineLevel="0" collapsed="false">
      <c r="A21" s="10" t="s">
        <v>261</v>
      </c>
    </row>
    <row r="22" customFormat="false" ht="43.5" hidden="false" customHeight="true" outlineLevel="0" collapsed="false">
      <c r="A22" s="1" t="s">
        <v>238</v>
      </c>
      <c r="B22" s="1" t="s">
        <v>262</v>
      </c>
      <c r="C22" s="1" t="s">
        <v>263</v>
      </c>
      <c r="D22" s="1" t="s">
        <v>264</v>
      </c>
      <c r="E22" s="1" t="s">
        <v>265</v>
      </c>
      <c r="F22" s="1" t="s">
        <v>266</v>
      </c>
      <c r="G22" s="1" t="s">
        <v>267</v>
      </c>
      <c r="H22" s="1" t="s">
        <v>268</v>
      </c>
      <c r="I22" s="1" t="s">
        <v>269</v>
      </c>
      <c r="J22" s="1" t="s">
        <v>245</v>
      </c>
    </row>
    <row r="23" customFormat="false" ht="15" hidden="false" customHeight="false" outlineLevel="0" collapsed="false">
      <c r="A23" s="12" t="s">
        <v>270</v>
      </c>
      <c r="B23" s="12" t="n">
        <v>253</v>
      </c>
      <c r="C23" s="18" t="n">
        <v>26</v>
      </c>
      <c r="D23" s="18" t="n">
        <v>21.3</v>
      </c>
      <c r="E23" s="18" t="n">
        <v>20</v>
      </c>
      <c r="F23" s="12" t="n">
        <v>115</v>
      </c>
      <c r="G23" s="18" t="n">
        <v>31.8</v>
      </c>
      <c r="H23" s="18" t="n">
        <v>33.3</v>
      </c>
      <c r="I23" s="18" t="n">
        <v>24</v>
      </c>
      <c r="J23" s="22" t="n">
        <f aca="false">(G23-C23)/SQRT((D23^2+H23^2)/2)</f>
        <v>0.207501796333987</v>
      </c>
    </row>
    <row r="24" customFormat="false" ht="15" hidden="false" customHeight="false" outlineLevel="0" collapsed="false">
      <c r="A24" s="12" t="s">
        <v>271</v>
      </c>
      <c r="B24" s="12" t="n">
        <v>253</v>
      </c>
      <c r="C24" s="18" t="n">
        <v>7.4</v>
      </c>
      <c r="D24" s="18" t="n">
        <v>11.2</v>
      </c>
      <c r="E24" s="18" t="n">
        <v>5</v>
      </c>
      <c r="F24" s="12" t="n">
        <v>115</v>
      </c>
      <c r="G24" s="18" t="n">
        <v>9.6</v>
      </c>
      <c r="H24" s="18" t="n">
        <v>21.8</v>
      </c>
      <c r="I24" s="18" t="n">
        <v>5</v>
      </c>
      <c r="J24" s="22" t="n">
        <f aca="false">(G24-C24)/SQRT((D24^2+H24^2)/2)</f>
        <v>0.126945144010318</v>
      </c>
    </row>
    <row r="25" customFormat="false" ht="15" hidden="false" customHeight="false" outlineLevel="0" collapsed="false">
      <c r="A25" s="12" t="s">
        <v>272</v>
      </c>
      <c r="B25" s="12" t="n">
        <v>257</v>
      </c>
      <c r="C25" s="18" t="n">
        <v>5</v>
      </c>
      <c r="D25" s="18" t="n">
        <v>2.6</v>
      </c>
      <c r="E25" s="18" t="n">
        <v>5</v>
      </c>
      <c r="F25" s="12" t="n">
        <v>134</v>
      </c>
      <c r="G25" s="18" t="n">
        <v>5.1</v>
      </c>
      <c r="H25" s="18" t="n">
        <v>2.1</v>
      </c>
      <c r="I25" s="18" t="n">
        <v>5</v>
      </c>
      <c r="J25" s="22" t="n">
        <f aca="false">(G25-C25)/SQRT((D25^2+H25^2)/2)</f>
        <v>0.0423144218374089</v>
      </c>
    </row>
    <row r="26" customFormat="false" ht="15" hidden="false" customHeight="false" outlineLevel="0" collapsed="false">
      <c r="A26" s="12" t="s">
        <v>273</v>
      </c>
      <c r="B26" s="12" t="n">
        <v>257</v>
      </c>
      <c r="C26" s="18" t="n">
        <v>38.6</v>
      </c>
      <c r="D26" s="18" t="n">
        <v>13.2</v>
      </c>
      <c r="E26" s="18" t="n">
        <v>37</v>
      </c>
      <c r="F26" s="12" t="n">
        <v>134</v>
      </c>
      <c r="G26" s="18" t="n">
        <v>39.8</v>
      </c>
      <c r="H26" s="18" t="n">
        <v>12.8</v>
      </c>
      <c r="I26" s="18" t="n">
        <v>36.5</v>
      </c>
      <c r="J26" s="22" t="n">
        <f aca="false">(G26-C26)/SQRT((D26^2+H26^2)/2)</f>
        <v>0.0922967702592236</v>
      </c>
    </row>
    <row r="27" customFormat="false" ht="15" hidden="false" customHeight="false" outlineLevel="0" collapsed="false">
      <c r="A27" s="11" t="s">
        <v>274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0"/>
    <col collapsed="false" customWidth="true" hidden="false" outlineLevel="0" max="3" min="3" style="0" width="44"/>
  </cols>
  <sheetData>
    <row r="1" customFormat="false" ht="15" hidden="false" customHeight="false" outlineLevel="0" collapsed="false">
      <c r="A1" s="10" t="s">
        <v>275</v>
      </c>
    </row>
    <row r="3" customFormat="false" ht="43.5" hidden="false" customHeight="true" outlineLevel="0" collapsed="false">
      <c r="A3" s="1" t="s">
        <v>0</v>
      </c>
      <c r="B3" s="1" t="s">
        <v>276</v>
      </c>
      <c r="C3" s="1" t="s">
        <v>277</v>
      </c>
    </row>
    <row r="4" customFormat="false" ht="35.05" hidden="false" customHeight="false" outlineLevel="0" collapsed="false">
      <c r="A4" s="2" t="n">
        <v>1</v>
      </c>
      <c r="B4" s="4" t="s">
        <v>278</v>
      </c>
      <c r="C4" s="4" t="s">
        <v>279</v>
      </c>
    </row>
    <row r="5" customFormat="false" ht="15" hidden="false" customHeight="false" outlineLevel="0" collapsed="false">
      <c r="A5" s="2" t="n">
        <v>2</v>
      </c>
      <c r="B5" s="4" t="s">
        <v>280</v>
      </c>
      <c r="C5" s="4" t="s">
        <v>281</v>
      </c>
    </row>
    <row r="6" customFormat="false" ht="15" hidden="false" customHeight="false" outlineLevel="0" collapsed="false">
      <c r="A6" s="2" t="n">
        <v>3</v>
      </c>
      <c r="B6" s="4" t="s">
        <v>282</v>
      </c>
      <c r="C6" s="4" t="s">
        <v>283</v>
      </c>
    </row>
    <row r="7" customFormat="false" ht="23.85" hidden="false" customHeight="false" outlineLevel="0" collapsed="false">
      <c r="A7" s="2" t="n">
        <v>4</v>
      </c>
      <c r="B7" s="4" t="s">
        <v>284</v>
      </c>
      <c r="C7" s="4" t="s">
        <v>285</v>
      </c>
    </row>
    <row r="8" customFormat="false" ht="35.05" hidden="false" customHeight="false" outlineLevel="0" collapsed="false">
      <c r="A8" s="2" t="n">
        <v>5</v>
      </c>
      <c r="B8" s="4" t="s">
        <v>286</v>
      </c>
      <c r="C8" s="4" t="s">
        <v>287</v>
      </c>
    </row>
    <row r="9" customFormat="false" ht="35.05" hidden="false" customHeight="false" outlineLevel="0" collapsed="false">
      <c r="A9" s="2" t="n">
        <v>6</v>
      </c>
      <c r="B9" s="4" t="s">
        <v>288</v>
      </c>
      <c r="C9" s="4" t="s">
        <v>289</v>
      </c>
    </row>
    <row r="10" customFormat="false" ht="23.85" hidden="false" customHeight="false" outlineLevel="0" collapsed="false">
      <c r="A10" s="2" t="n">
        <v>7</v>
      </c>
      <c r="B10" s="4" t="s">
        <v>290</v>
      </c>
      <c r="C10" s="4" t="s">
        <v>291</v>
      </c>
    </row>
    <row r="11" customFormat="false" ht="35.05" hidden="false" customHeight="false" outlineLevel="0" collapsed="false">
      <c r="A11" s="2" t="n">
        <v>8</v>
      </c>
      <c r="B11" s="4" t="s">
        <v>292</v>
      </c>
      <c r="C11" s="4" t="s">
        <v>293</v>
      </c>
    </row>
    <row r="12" customFormat="false" ht="46.25" hidden="false" customHeight="false" outlineLevel="0" collapsed="false">
      <c r="A12" s="2" t="n">
        <v>9</v>
      </c>
      <c r="B12" s="4" t="s">
        <v>294</v>
      </c>
      <c r="C12" s="4" t="s">
        <v>295</v>
      </c>
    </row>
    <row r="13" customFormat="false" ht="79.85" hidden="false" customHeight="false" outlineLevel="0" collapsed="false">
      <c r="A13" s="2" t="n">
        <v>10</v>
      </c>
      <c r="B13" s="4" t="s">
        <v>296</v>
      </c>
      <c r="C13" s="4" t="s">
        <v>297</v>
      </c>
    </row>
    <row r="14" customFormat="false" ht="35.05" hidden="false" customHeight="false" outlineLevel="0" collapsed="false">
      <c r="A14" s="2" t="n">
        <v>11</v>
      </c>
      <c r="B14" s="4" t="s">
        <v>298</v>
      </c>
      <c r="C14" s="4" t="s">
        <v>299</v>
      </c>
    </row>
    <row r="15" customFormat="false" ht="35.05" hidden="false" customHeight="false" outlineLevel="0" collapsed="false">
      <c r="A15" s="2" t="n">
        <v>12</v>
      </c>
      <c r="B15" s="4" t="s">
        <v>300</v>
      </c>
      <c r="C15" s="4" t="s">
        <v>301</v>
      </c>
    </row>
    <row r="16" customFormat="false" ht="35.05" hidden="false" customHeight="false" outlineLevel="0" collapsed="false">
      <c r="A16" s="2" t="n">
        <v>13</v>
      </c>
      <c r="B16" s="4" t="s">
        <v>302</v>
      </c>
      <c r="C16" s="4" t="s">
        <v>303</v>
      </c>
    </row>
    <row r="17" customFormat="false" ht="35.05" hidden="false" customHeight="false" outlineLevel="0" collapsed="false">
      <c r="A17" s="2" t="n">
        <v>14</v>
      </c>
      <c r="B17" s="4" t="s">
        <v>304</v>
      </c>
      <c r="C17" s="4" t="s">
        <v>305</v>
      </c>
    </row>
    <row r="18" customFormat="false" ht="23.85" hidden="false" customHeight="false" outlineLevel="0" collapsed="false">
      <c r="A18" s="2" t="n">
        <v>15</v>
      </c>
      <c r="B18" s="4" t="s">
        <v>306</v>
      </c>
      <c r="C18" s="4" t="s">
        <v>307</v>
      </c>
    </row>
    <row r="19" customFormat="false" ht="35.05" hidden="false" customHeight="false" outlineLevel="0" collapsed="false">
      <c r="A19" s="2" t="n">
        <v>16</v>
      </c>
      <c r="B19" s="4" t="s">
        <v>308</v>
      </c>
      <c r="C19" s="4" t="s">
        <v>309</v>
      </c>
    </row>
    <row r="20" customFormat="false" ht="35.05" hidden="false" customHeight="false" outlineLevel="0" collapsed="false">
      <c r="A20" s="2" t="n">
        <v>17</v>
      </c>
      <c r="B20" s="4" t="s">
        <v>310</v>
      </c>
      <c r="C20" s="4" t="s">
        <v>311</v>
      </c>
    </row>
    <row r="21" customFormat="false" ht="23.85" hidden="false" customHeight="false" outlineLevel="0" collapsed="false">
      <c r="A21" s="2" t="n">
        <v>18</v>
      </c>
      <c r="B21" s="4" t="s">
        <v>312</v>
      </c>
      <c r="C21" s="4" t="s">
        <v>313</v>
      </c>
    </row>
    <row r="22" customFormat="false" ht="35.05" hidden="false" customHeight="false" outlineLevel="0" collapsed="false">
      <c r="A22" s="2" t="n">
        <v>19</v>
      </c>
      <c r="B22" s="4" t="s">
        <v>314</v>
      </c>
      <c r="C22" s="4" t="s">
        <v>315</v>
      </c>
    </row>
    <row r="23" customFormat="false" ht="68.65" hidden="false" customHeight="false" outlineLevel="0" collapsed="false">
      <c r="A23" s="2" t="n">
        <v>20</v>
      </c>
      <c r="B23" s="4" t="s">
        <v>316</v>
      </c>
      <c r="C23" s="4" t="s">
        <v>317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4"/>
    <col collapsed="false" customWidth="true" hidden="false" outlineLevel="0" max="3" min="3" style="0" width="16"/>
    <col collapsed="false" customWidth="true" hidden="false" outlineLevel="0" max="4" min="4" style="0" width="22"/>
  </cols>
  <sheetData>
    <row r="1" customFormat="false" ht="15" hidden="false" customHeight="false" outlineLevel="0" collapsed="false">
      <c r="A1" s="10" t="s">
        <v>318</v>
      </c>
    </row>
    <row r="2" customFormat="false" ht="15" hidden="false" customHeight="false" outlineLevel="0" collapsed="false">
      <c r="A2" s="11" t="s">
        <v>319</v>
      </c>
    </row>
    <row r="4" customFormat="false" ht="43.5" hidden="false" customHeight="true" outlineLevel="0" collapsed="false">
      <c r="A4" s="1" t="s">
        <v>320</v>
      </c>
      <c r="B4" s="1" t="s">
        <v>321</v>
      </c>
      <c r="C4" s="1" t="s">
        <v>322</v>
      </c>
      <c r="D4" s="1" t="s">
        <v>10</v>
      </c>
    </row>
    <row r="5" customFormat="false" ht="15" hidden="false" customHeight="false" outlineLevel="0" collapsed="false">
      <c r="A5" s="12" t="s">
        <v>323</v>
      </c>
      <c r="B5" s="12" t="s">
        <v>324</v>
      </c>
      <c r="C5" s="23" t="n">
        <v>655344</v>
      </c>
      <c r="D5" s="12" t="s">
        <v>117</v>
      </c>
    </row>
    <row r="6" customFormat="false" ht="15" hidden="false" customHeight="false" outlineLevel="0" collapsed="false">
      <c r="A6" s="12" t="s">
        <v>325</v>
      </c>
      <c r="B6" s="12" t="s">
        <v>326</v>
      </c>
      <c r="C6" s="24" t="n">
        <v>0.81</v>
      </c>
      <c r="D6" s="12" t="s">
        <v>94</v>
      </c>
    </row>
    <row r="7" customFormat="false" ht="15" hidden="false" customHeight="false" outlineLevel="0" collapsed="false">
      <c r="A7" s="12" t="s">
        <v>327</v>
      </c>
      <c r="B7" s="12" t="s">
        <v>328</v>
      </c>
      <c r="C7" s="24" t="n">
        <v>0.79</v>
      </c>
      <c r="D7" s="12" t="s">
        <v>186</v>
      </c>
    </row>
    <row r="8" customFormat="false" ht="15" hidden="false" customHeight="false" outlineLevel="0" collapsed="false">
      <c r="A8" s="12" t="s">
        <v>329</v>
      </c>
      <c r="B8" s="12" t="s">
        <v>330</v>
      </c>
      <c r="C8" s="23" t="n">
        <v>210880</v>
      </c>
      <c r="D8" s="12" t="s">
        <v>94</v>
      </c>
    </row>
    <row r="9" customFormat="false" ht="15" hidden="false" customHeight="false" outlineLevel="0" collapsed="false">
      <c r="A9" s="12" t="s">
        <v>331</v>
      </c>
      <c r="B9" s="12" t="s">
        <v>332</v>
      </c>
      <c r="C9" s="23" t="n">
        <v>220171</v>
      </c>
      <c r="D9" s="12" t="s">
        <v>94</v>
      </c>
    </row>
    <row r="10" customFormat="false" ht="15" hidden="false" customHeight="false" outlineLevel="0" collapsed="false">
      <c r="A10" s="12" t="s">
        <v>333</v>
      </c>
      <c r="B10" s="12" t="s">
        <v>334</v>
      </c>
      <c r="C10" s="16" t="n">
        <f aca="false">$C$8+$C$9</f>
        <v>431051</v>
      </c>
      <c r="D10" s="12" t="s">
        <v>335</v>
      </c>
    </row>
    <row r="11" customFormat="false" ht="15" hidden="false" customHeight="false" outlineLevel="0" collapsed="false">
      <c r="A11" s="12" t="s">
        <v>336</v>
      </c>
      <c r="B11" s="12" t="s">
        <v>337</v>
      </c>
      <c r="C11" s="17" t="n">
        <f aca="false">$C$10/($C$6*$C$43)</f>
        <v>0.831502700617284</v>
      </c>
      <c r="D11" s="12" t="s">
        <v>335</v>
      </c>
    </row>
    <row r="12" customFormat="false" ht="15" hidden="false" customHeight="false" outlineLevel="0" collapsed="false">
      <c r="A12" s="12" t="s">
        <v>338</v>
      </c>
      <c r="B12" s="12" t="s">
        <v>339</v>
      </c>
      <c r="C12" s="17" t="n">
        <f aca="false">$C$8/$C$10</f>
        <v>0.489222852980274</v>
      </c>
      <c r="D12" s="12" t="s">
        <v>335</v>
      </c>
    </row>
    <row r="13" customFormat="false" ht="15" hidden="false" customHeight="false" outlineLevel="0" collapsed="false">
      <c r="A13" s="12" t="s">
        <v>340</v>
      </c>
      <c r="B13" s="12" t="s">
        <v>341</v>
      </c>
      <c r="C13" s="23" t="n">
        <v>135783</v>
      </c>
      <c r="D13" s="12" t="s">
        <v>186</v>
      </c>
    </row>
    <row r="14" customFormat="false" ht="15" hidden="false" customHeight="false" outlineLevel="0" collapsed="false">
      <c r="A14" s="12" t="s">
        <v>342</v>
      </c>
      <c r="B14" s="12" t="s">
        <v>343</v>
      </c>
      <c r="C14" s="17" t="n">
        <f aca="false">$C$13/($C$7*$C$5)</f>
        <v>0.262270220204768</v>
      </c>
      <c r="D14" s="12" t="s">
        <v>335</v>
      </c>
    </row>
    <row r="15" customFormat="false" ht="15" hidden="false" customHeight="false" outlineLevel="0" collapsed="false">
      <c r="A15" s="12" t="s">
        <v>344</v>
      </c>
      <c r="B15" s="12" t="s">
        <v>345</v>
      </c>
      <c r="C15" s="23" t="n">
        <v>136496</v>
      </c>
      <c r="D15" s="12" t="s">
        <v>117</v>
      </c>
    </row>
    <row r="16" customFormat="false" ht="15" hidden="false" customHeight="false" outlineLevel="0" collapsed="false">
      <c r="A16" s="12" t="s">
        <v>346</v>
      </c>
      <c r="B16" s="12" t="s">
        <v>347</v>
      </c>
      <c r="C16" s="17" t="n">
        <f aca="false">$C$15/($C$7*$C$5)</f>
        <v>0.26364740782771</v>
      </c>
      <c r="D16" s="12" t="s">
        <v>335</v>
      </c>
    </row>
    <row r="17" customFormat="false" ht="15" hidden="false" customHeight="false" outlineLevel="0" collapsed="false">
      <c r="A17" s="12" t="s">
        <v>348</v>
      </c>
      <c r="B17" s="12" t="s">
        <v>349</v>
      </c>
      <c r="C17" s="23" t="n">
        <v>9706</v>
      </c>
      <c r="D17" s="12" t="s">
        <v>117</v>
      </c>
    </row>
    <row r="18" customFormat="false" ht="15" hidden="false" customHeight="false" outlineLevel="0" collapsed="false">
      <c r="A18" s="12" t="s">
        <v>350</v>
      </c>
      <c r="B18" s="12" t="s">
        <v>351</v>
      </c>
      <c r="C18" s="17" t="n">
        <f aca="false">$C$17/($C$7*$C$5)</f>
        <v>0.0187475218348945</v>
      </c>
      <c r="D18" s="12" t="s">
        <v>335</v>
      </c>
    </row>
    <row r="19" customFormat="false" ht="15" hidden="false" customHeight="false" outlineLevel="0" collapsed="false">
      <c r="A19" s="12" t="s">
        <v>352</v>
      </c>
      <c r="B19" s="12" t="s">
        <v>353</v>
      </c>
      <c r="C19" s="23" t="n">
        <v>180026</v>
      </c>
      <c r="D19" s="12" t="s">
        <v>117</v>
      </c>
    </row>
    <row r="20" customFormat="false" ht="15" hidden="false" customHeight="false" outlineLevel="0" collapsed="false">
      <c r="A20" s="12" t="s">
        <v>354</v>
      </c>
      <c r="B20" s="12" t="s">
        <v>355</v>
      </c>
      <c r="C20" s="17" t="n">
        <f aca="false">$C$19/($C$7*$C$5)</f>
        <v>0.347727319786597</v>
      </c>
      <c r="D20" s="12" t="s">
        <v>335</v>
      </c>
    </row>
    <row r="21" customFormat="false" ht="15" hidden="false" customHeight="false" outlineLevel="0" collapsed="false">
      <c r="A21" s="12" t="s">
        <v>356</v>
      </c>
      <c r="B21" s="12" t="s">
        <v>357</v>
      </c>
      <c r="C21" s="23" t="n">
        <v>78086</v>
      </c>
      <c r="D21" s="12" t="s">
        <v>21</v>
      </c>
    </row>
    <row r="22" customFormat="false" ht="15" hidden="false" customHeight="false" outlineLevel="0" collapsed="false">
      <c r="A22" s="12" t="s">
        <v>358</v>
      </c>
      <c r="B22" s="12" t="s">
        <v>359</v>
      </c>
      <c r="C22" s="23" t="n">
        <v>13927</v>
      </c>
      <c r="D22" s="12" t="s">
        <v>21</v>
      </c>
    </row>
    <row r="23" customFormat="false" ht="15" hidden="false" customHeight="false" outlineLevel="0" collapsed="false">
      <c r="A23" s="12" t="s">
        <v>360</v>
      </c>
      <c r="B23" s="12" t="s">
        <v>361</v>
      </c>
      <c r="C23" s="25" t="n">
        <f aca="false">$C$21/$C$22</f>
        <v>5.60680692180656</v>
      </c>
      <c r="D23" s="12" t="s">
        <v>335</v>
      </c>
    </row>
    <row r="24" customFormat="false" ht="15" hidden="false" customHeight="false" outlineLevel="0" collapsed="false">
      <c r="A24" s="12" t="s">
        <v>362</v>
      </c>
      <c r="B24" s="12" t="s">
        <v>363</v>
      </c>
      <c r="C24" s="24" t="n">
        <v>0.23</v>
      </c>
      <c r="D24" s="12" t="s">
        <v>21</v>
      </c>
    </row>
    <row r="25" customFormat="false" ht="15" hidden="false" customHeight="false" outlineLevel="0" collapsed="false">
      <c r="A25" s="12" t="s">
        <v>364</v>
      </c>
      <c r="B25" s="12" t="s">
        <v>365</v>
      </c>
      <c r="C25" s="24" t="n">
        <v>0.46</v>
      </c>
      <c r="D25" s="12" t="s">
        <v>21</v>
      </c>
    </row>
    <row r="26" customFormat="false" ht="15" hidden="false" customHeight="false" outlineLevel="0" collapsed="false">
      <c r="A26" s="12" t="s">
        <v>366</v>
      </c>
      <c r="B26" s="12" t="s">
        <v>367</v>
      </c>
      <c r="C26" s="24" t="n">
        <v>0.14</v>
      </c>
      <c r="D26" s="12" t="s">
        <v>21</v>
      </c>
    </row>
    <row r="27" customFormat="false" ht="15" hidden="false" customHeight="false" outlineLevel="0" collapsed="false">
      <c r="A27" s="12" t="s">
        <v>368</v>
      </c>
      <c r="B27" s="12" t="s">
        <v>369</v>
      </c>
      <c r="C27" s="26" t="n">
        <f aca="false">$C$25+$C$26</f>
        <v>0.6</v>
      </c>
      <c r="D27" s="12" t="s">
        <v>335</v>
      </c>
    </row>
    <row r="28" customFormat="false" ht="15" hidden="false" customHeight="false" outlineLevel="0" collapsed="false">
      <c r="A28" s="12" t="s">
        <v>370</v>
      </c>
      <c r="B28" s="12" t="s">
        <v>371</v>
      </c>
      <c r="C28" s="24" t="n">
        <v>0.15</v>
      </c>
      <c r="D28" s="12" t="s">
        <v>21</v>
      </c>
    </row>
    <row r="29" customFormat="false" ht="15" hidden="false" customHeight="false" outlineLevel="0" collapsed="false">
      <c r="A29" s="12" t="s">
        <v>372</v>
      </c>
      <c r="B29" s="12" t="s">
        <v>373</v>
      </c>
      <c r="C29" s="24" t="n">
        <v>0.02</v>
      </c>
      <c r="D29" s="12" t="s">
        <v>21</v>
      </c>
    </row>
    <row r="30" customFormat="false" ht="15" hidden="false" customHeight="false" outlineLevel="0" collapsed="false">
      <c r="A30" s="12" t="s">
        <v>374</v>
      </c>
      <c r="B30" s="12" t="s">
        <v>375</v>
      </c>
      <c r="C30" s="26" t="n">
        <f aca="false">$C$28+$C$29</f>
        <v>0.17</v>
      </c>
      <c r="D30" s="12" t="s">
        <v>335</v>
      </c>
    </row>
    <row r="31" customFormat="false" ht="15" hidden="false" customHeight="false" outlineLevel="0" collapsed="false">
      <c r="A31" s="12" t="s">
        <v>376</v>
      </c>
      <c r="B31" s="12" t="s">
        <v>377</v>
      </c>
      <c r="C31" s="24" t="n">
        <v>0.09</v>
      </c>
      <c r="D31" s="12" t="s">
        <v>72</v>
      </c>
    </row>
    <row r="32" customFormat="false" ht="15" hidden="false" customHeight="false" outlineLevel="0" collapsed="false">
      <c r="A32" s="12" t="s">
        <v>378</v>
      </c>
      <c r="B32" s="12" t="s">
        <v>379</v>
      </c>
      <c r="C32" s="24" t="n">
        <v>0.28</v>
      </c>
      <c r="D32" s="12" t="s">
        <v>72</v>
      </c>
    </row>
    <row r="33" customFormat="false" ht="15" hidden="false" customHeight="false" outlineLevel="0" collapsed="false">
      <c r="A33" s="12" t="s">
        <v>380</v>
      </c>
      <c r="B33" s="12" t="s">
        <v>381</v>
      </c>
      <c r="C33" s="26" t="n">
        <f aca="false">$C$31+$C$32</f>
        <v>0.37</v>
      </c>
      <c r="D33" s="12" t="s">
        <v>335</v>
      </c>
    </row>
    <row r="34" customFormat="false" ht="15" hidden="false" customHeight="false" outlineLevel="0" collapsed="false">
      <c r="A34" s="12" t="s">
        <v>382</v>
      </c>
      <c r="B34" s="12" t="s">
        <v>383</v>
      </c>
      <c r="C34" s="23" t="n">
        <v>60000</v>
      </c>
      <c r="D34" s="12" t="s">
        <v>67</v>
      </c>
    </row>
    <row r="35" customFormat="false" ht="15" hidden="false" customHeight="false" outlineLevel="0" collapsed="false">
      <c r="A35" s="12" t="s">
        <v>384</v>
      </c>
      <c r="B35" s="12" t="s">
        <v>385</v>
      </c>
      <c r="C35" s="23" t="n">
        <v>160000</v>
      </c>
      <c r="D35" s="12" t="s">
        <v>67</v>
      </c>
    </row>
    <row r="36" customFormat="false" ht="15" hidden="false" customHeight="false" outlineLevel="0" collapsed="false">
      <c r="A36" s="12" t="s">
        <v>386</v>
      </c>
      <c r="B36" s="12" t="s">
        <v>387</v>
      </c>
      <c r="C36" s="17" t="n">
        <f aca="false">$C$34/($C$34+$C$35)</f>
        <v>0.272727272727273</v>
      </c>
      <c r="D36" s="12" t="s">
        <v>335</v>
      </c>
    </row>
    <row r="37" customFormat="false" ht="15" hidden="false" customHeight="false" outlineLevel="0" collapsed="false">
      <c r="A37" s="12" t="s">
        <v>388</v>
      </c>
      <c r="B37" s="12" t="s">
        <v>389</v>
      </c>
      <c r="C37" s="27" t="n">
        <v>0.085</v>
      </c>
      <c r="D37" s="12" t="s">
        <v>76</v>
      </c>
    </row>
    <row r="38" customFormat="false" ht="15" hidden="false" customHeight="false" outlineLevel="0" collapsed="false">
      <c r="A38" s="12" t="s">
        <v>390</v>
      </c>
      <c r="B38" s="12" t="s">
        <v>391</v>
      </c>
      <c r="C38" s="27" t="n">
        <v>0.081</v>
      </c>
      <c r="D38" s="12" t="s">
        <v>76</v>
      </c>
    </row>
    <row r="39" customFormat="false" ht="15" hidden="false" customHeight="false" outlineLevel="0" collapsed="false">
      <c r="A39" s="12" t="s">
        <v>392</v>
      </c>
      <c r="B39" s="12" t="s">
        <v>393</v>
      </c>
      <c r="C39" s="17" t="n">
        <f aca="false">$C$37+$C$38</f>
        <v>0.166</v>
      </c>
      <c r="D39" s="12" t="s">
        <v>335</v>
      </c>
    </row>
    <row r="40" customFormat="false" ht="15" hidden="false" customHeight="false" outlineLevel="0" collapsed="false">
      <c r="A40" s="12" t="s">
        <v>394</v>
      </c>
      <c r="B40" s="12" t="s">
        <v>395</v>
      </c>
      <c r="C40" s="27" t="n">
        <v>0.1432</v>
      </c>
      <c r="D40" s="12" t="s">
        <v>21</v>
      </c>
    </row>
    <row r="41" customFormat="false" ht="15" hidden="false" customHeight="false" outlineLevel="0" collapsed="false">
      <c r="A41" s="12" t="s">
        <v>396</v>
      </c>
      <c r="B41" s="12" t="s">
        <v>397</v>
      </c>
      <c r="C41" s="27" t="n">
        <v>0.0095</v>
      </c>
      <c r="D41" s="12" t="s">
        <v>21</v>
      </c>
    </row>
    <row r="42" customFormat="false" ht="15" hidden="false" customHeight="false" outlineLevel="0" collapsed="false">
      <c r="A42" s="12" t="s">
        <v>398</v>
      </c>
      <c r="B42" s="12" t="s">
        <v>399</v>
      </c>
      <c r="C42" s="17" t="n">
        <f aca="false">$C$40+$C$41</f>
        <v>0.1527</v>
      </c>
      <c r="D42" s="12" t="s">
        <v>335</v>
      </c>
    </row>
    <row r="43" customFormat="false" ht="15" hidden="false" customHeight="false" outlineLevel="0" collapsed="false">
      <c r="A43" s="12" t="s">
        <v>400</v>
      </c>
      <c r="B43" s="12" t="s">
        <v>401</v>
      </c>
      <c r="C43" s="23" t="n">
        <v>640000</v>
      </c>
      <c r="D43" s="12"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70"/>
    <col collapsed="false" customWidth="true" hidden="false" outlineLevel="0" max="3" min="3" style="0" width="46"/>
    <col collapsed="false" customWidth="true" hidden="false" outlineLevel="0" max="4" min="4" style="0" width="24"/>
    <col collapsed="false" customWidth="true" hidden="false" outlineLevel="0" max="5" min="5" style="0" width="54"/>
    <col collapsed="false" customWidth="true" hidden="false" outlineLevel="0" max="6" min="6" style="0" width="60"/>
  </cols>
  <sheetData>
    <row r="1" customFormat="false" ht="15" hidden="false" customHeight="false" outlineLevel="0" collapsed="false">
      <c r="A1" s="10" t="s">
        <v>402</v>
      </c>
    </row>
    <row r="3" customFormat="false" ht="43.5" hidden="false" customHeight="true" outlineLevel="0" collapsed="false">
      <c r="A3" s="1" t="s">
        <v>320</v>
      </c>
      <c r="B3" s="1" t="s">
        <v>403</v>
      </c>
      <c r="C3" s="1" t="s">
        <v>404</v>
      </c>
      <c r="D3" s="1" t="s">
        <v>405</v>
      </c>
      <c r="E3" s="1" t="s">
        <v>406</v>
      </c>
      <c r="F3" s="1" t="s">
        <v>407</v>
      </c>
    </row>
    <row r="4" customFormat="false" ht="23.85" hidden="false" customHeight="false" outlineLevel="0" collapsed="false">
      <c r="A4" s="4" t="s">
        <v>21</v>
      </c>
      <c r="B4" s="4" t="s">
        <v>408</v>
      </c>
      <c r="C4" s="4" t="s">
        <v>409</v>
      </c>
      <c r="D4" s="4" t="s">
        <v>410</v>
      </c>
      <c r="E4" s="4" t="s">
        <v>411</v>
      </c>
      <c r="F4" s="28" t="s">
        <v>412</v>
      </c>
    </row>
    <row r="5" customFormat="false" ht="23.85" hidden="false" customHeight="false" outlineLevel="0" collapsed="false">
      <c r="A5" s="4" t="s">
        <v>57</v>
      </c>
      <c r="B5" s="4" t="s">
        <v>413</v>
      </c>
      <c r="C5" s="4" t="s">
        <v>414</v>
      </c>
      <c r="D5" s="4" t="s">
        <v>415</v>
      </c>
      <c r="E5" s="4" t="s">
        <v>416</v>
      </c>
      <c r="F5" s="28" t="s">
        <v>417</v>
      </c>
    </row>
    <row r="6" customFormat="false" ht="35.05" hidden="false" customHeight="false" outlineLevel="0" collapsed="false">
      <c r="A6" s="4" t="s">
        <v>67</v>
      </c>
      <c r="B6" s="4" t="s">
        <v>418</v>
      </c>
      <c r="C6" s="4" t="s">
        <v>419</v>
      </c>
      <c r="D6" s="4" t="s">
        <v>420</v>
      </c>
      <c r="E6" s="4" t="s">
        <v>421</v>
      </c>
      <c r="F6" s="28" t="s">
        <v>422</v>
      </c>
    </row>
    <row r="7" customFormat="false" ht="23.85" hidden="false" customHeight="false" outlineLevel="0" collapsed="false">
      <c r="A7" s="4" t="s">
        <v>423</v>
      </c>
      <c r="B7" s="4" t="s">
        <v>424</v>
      </c>
      <c r="C7" s="4" t="s">
        <v>419</v>
      </c>
      <c r="D7" s="4" t="s">
        <v>425</v>
      </c>
      <c r="E7" s="4" t="s">
        <v>426</v>
      </c>
      <c r="F7" s="28" t="s">
        <v>427</v>
      </c>
    </row>
    <row r="8" customFormat="false" ht="35.05" hidden="false" customHeight="false" outlineLevel="0" collapsed="false">
      <c r="A8" s="4" t="s">
        <v>72</v>
      </c>
      <c r="B8" s="4" t="s">
        <v>428</v>
      </c>
      <c r="C8" s="4" t="s">
        <v>429</v>
      </c>
      <c r="D8" s="4" t="s">
        <v>430</v>
      </c>
      <c r="E8" s="4" t="s">
        <v>431</v>
      </c>
      <c r="F8" s="28" t="s">
        <v>432</v>
      </c>
    </row>
    <row r="9" customFormat="false" ht="46.25" hidden="false" customHeight="false" outlineLevel="0" collapsed="false">
      <c r="A9" s="4" t="s">
        <v>117</v>
      </c>
      <c r="B9" s="4" t="s">
        <v>433</v>
      </c>
      <c r="C9" s="4" t="s">
        <v>434</v>
      </c>
      <c r="D9" s="4" t="s">
        <v>435</v>
      </c>
      <c r="E9" s="4" t="s">
        <v>436</v>
      </c>
      <c r="F9" s="28" t="s">
        <v>437</v>
      </c>
    </row>
    <row r="10" customFormat="false" ht="35.05" hidden="false" customHeight="false" outlineLevel="0" collapsed="false">
      <c r="A10" s="4" t="s">
        <v>76</v>
      </c>
      <c r="B10" s="4" t="s">
        <v>438</v>
      </c>
      <c r="C10" s="4" t="s">
        <v>439</v>
      </c>
      <c r="D10" s="4" t="s">
        <v>440</v>
      </c>
      <c r="E10" s="4" t="s">
        <v>441</v>
      </c>
      <c r="F10" s="28" t="s">
        <v>442</v>
      </c>
    </row>
    <row r="11" customFormat="false" ht="23.85" hidden="false" customHeight="false" outlineLevel="0" collapsed="false">
      <c r="A11" s="4" t="s">
        <v>105</v>
      </c>
      <c r="B11" s="4" t="s">
        <v>443</v>
      </c>
      <c r="C11" s="4" t="s">
        <v>444</v>
      </c>
      <c r="D11" s="4" t="s">
        <v>445</v>
      </c>
      <c r="E11" s="4" t="s">
        <v>446</v>
      </c>
      <c r="F11" s="28" t="s">
        <v>447</v>
      </c>
    </row>
    <row r="12" customFormat="false" ht="23.85" hidden="false" customHeight="false" outlineLevel="0" collapsed="false">
      <c r="A12" s="4" t="s">
        <v>171</v>
      </c>
      <c r="B12" s="4" t="s">
        <v>448</v>
      </c>
      <c r="C12" s="4" t="s">
        <v>449</v>
      </c>
      <c r="D12" s="4" t="s">
        <v>450</v>
      </c>
      <c r="E12" s="4" t="s">
        <v>451</v>
      </c>
      <c r="F12" s="28" t="s">
        <v>452</v>
      </c>
    </row>
    <row r="13" customFormat="false" ht="35.05" hidden="false" customHeight="false" outlineLevel="0" collapsed="false">
      <c r="A13" s="4" t="s">
        <v>94</v>
      </c>
      <c r="B13" s="4" t="s">
        <v>453</v>
      </c>
      <c r="C13" s="4" t="s">
        <v>454</v>
      </c>
      <c r="D13" s="4" t="s">
        <v>455</v>
      </c>
      <c r="E13" s="4" t="s">
        <v>456</v>
      </c>
      <c r="F13" s="28" t="s">
        <v>457</v>
      </c>
    </row>
    <row r="14" customFormat="false" ht="23.85" hidden="false" customHeight="false" outlineLevel="0" collapsed="false">
      <c r="A14" s="4" t="s">
        <v>186</v>
      </c>
      <c r="B14" s="4" t="s">
        <v>458</v>
      </c>
      <c r="C14" s="4" t="s">
        <v>459</v>
      </c>
      <c r="D14" s="4" t="s">
        <v>460</v>
      </c>
      <c r="E14" s="4" t="s">
        <v>461</v>
      </c>
      <c r="F14" s="28" t="s">
        <v>462</v>
      </c>
    </row>
    <row r="15" customFormat="false" ht="35.05" hidden="false" customHeight="false" outlineLevel="0" collapsed="false">
      <c r="A15" s="4" t="s">
        <v>198</v>
      </c>
      <c r="B15" s="4" t="s">
        <v>463</v>
      </c>
      <c r="C15" s="4" t="s">
        <v>464</v>
      </c>
      <c r="D15" s="4" t="s">
        <v>465</v>
      </c>
      <c r="E15" s="4" t="s">
        <v>466</v>
      </c>
      <c r="F15" s="28" t="s">
        <v>467</v>
      </c>
    </row>
    <row r="16" customFormat="false" ht="35.05" hidden="false" customHeight="false" outlineLevel="0" collapsed="false">
      <c r="A16" s="4" t="s">
        <v>99</v>
      </c>
      <c r="B16" s="4" t="s">
        <v>468</v>
      </c>
      <c r="C16" s="4" t="s">
        <v>469</v>
      </c>
      <c r="D16" s="4" t="s">
        <v>450</v>
      </c>
      <c r="E16" s="4" t="s">
        <v>470</v>
      </c>
      <c r="F16" s="28" t="s">
        <v>471</v>
      </c>
    </row>
    <row r="17" customFormat="false" ht="23.85" hidden="false" customHeight="false" outlineLevel="0" collapsed="false">
      <c r="A17" s="4" t="s">
        <v>472</v>
      </c>
      <c r="B17" s="4" t="s">
        <v>473</v>
      </c>
      <c r="C17" s="4" t="s">
        <v>474</v>
      </c>
      <c r="D17" s="4" t="s">
        <v>475</v>
      </c>
      <c r="E17" s="4" t="s">
        <v>476</v>
      </c>
      <c r="F17" s="28" t="s">
        <v>477</v>
      </c>
    </row>
    <row r="18" customFormat="false" ht="23.85" hidden="false" customHeight="false" outlineLevel="0" collapsed="false">
      <c r="A18" s="4" t="s">
        <v>478</v>
      </c>
      <c r="B18" s="4" t="s">
        <v>479</v>
      </c>
      <c r="C18" s="4" t="s">
        <v>474</v>
      </c>
      <c r="D18" s="4" t="s">
        <v>480</v>
      </c>
      <c r="E18" s="4" t="s">
        <v>481</v>
      </c>
      <c r="F18" s="28" t="s">
        <v>482</v>
      </c>
    </row>
    <row r="19" customFormat="false" ht="23.85" hidden="false" customHeight="false" outlineLevel="0" collapsed="false">
      <c r="A19" s="4" t="s">
        <v>49</v>
      </c>
      <c r="B19" s="4" t="s">
        <v>483</v>
      </c>
      <c r="C19" s="4" t="s">
        <v>484</v>
      </c>
      <c r="D19" s="4" t="s">
        <v>485</v>
      </c>
      <c r="E19" s="4" t="s">
        <v>486</v>
      </c>
      <c r="F19" s="28" t="s">
        <v>487</v>
      </c>
    </row>
    <row r="20" customFormat="false" ht="23.85" hidden="false" customHeight="false" outlineLevel="0" collapsed="false">
      <c r="A20" s="4" t="s">
        <v>488</v>
      </c>
      <c r="B20" s="4" t="s">
        <v>489</v>
      </c>
      <c r="C20" s="4" t="s">
        <v>490</v>
      </c>
      <c r="D20" s="4" t="s">
        <v>491</v>
      </c>
      <c r="E20" s="4" t="s">
        <v>492</v>
      </c>
      <c r="F20" s="28" t="s">
        <v>493</v>
      </c>
    </row>
    <row r="21" customFormat="false" ht="23.85" hidden="false" customHeight="false" outlineLevel="0" collapsed="false">
      <c r="A21" s="4" t="s">
        <v>494</v>
      </c>
      <c r="B21" s="4" t="s">
        <v>495</v>
      </c>
      <c r="C21" s="4" t="s">
        <v>474</v>
      </c>
      <c r="D21" s="4" t="s">
        <v>496</v>
      </c>
      <c r="E21" s="4" t="s">
        <v>497</v>
      </c>
      <c r="F21" s="28" t="s">
        <v>498</v>
      </c>
    </row>
  </sheetData>
  <hyperlinks>
    <hyperlink ref="F4" r:id="rId1" display="https://repository.impact-initiatives.org/document/impact/5949aa0e/reach_jor_report_zaatari_camp_population_count_february2015_1.pdf"/>
    <hyperlink ref="F5" r:id="rId2" display="https://repository.impact-initiatives.org/document/impact/1578312c/reach_jor_factsheet_zaataricamp_winterizationassessment_shelternfis_aug2016_1.pdf"/>
    <hyperlink ref="F6" r:id="rId3" display="https://m.reliefweb.int/report/956161"/>
    <hyperlink ref="F7" r:id="rId4" display="https://m.reliefweb.int/report/2465204"/>
    <hyperlink ref="F8" r:id="rId5" display="https://erf.org.eg/app/uploads/2018/04/1184_Final.pdf"/>
    <hyperlink ref="F9" r:id="rId6" display="https://erf.org.eg/app/uploads/2019/02/12881.pdf"/>
    <hyperlink ref="F10" r:id="rId7" display="https://fafo.no/images/pub/2019/20701.pdf"/>
    <hyperlink ref="F11" r:id="rId8" display="https://repository.impact-initiatives.org/document/reach/45b5fee0/reach_jor_wfp_cfsme2016_final_presentation.pdf"/>
    <hyperlink ref="F12" r:id="rId9" display="https://haqqi.info/en/haqqi/research/vulnerability-assessment-framework-baseline-survey-may-2015"/>
    <hyperlink ref="F13" r:id="rId10" display="https://docs.wfp.org/api/documents/80497a979b1b449984087a3216fdd98f/download/"/>
    <hyperlink ref="F14" r:id="rId11" display="https://reachalliance.org/wp-content/uploads/2017/03/JORDAN_CaseStudy_ReachProject2017.pdf"/>
    <hyperlink ref="F15" r:id="rId12" display="https://pmc.ncbi.nlm.nih.gov/articles/PMC4830531"/>
    <hyperlink ref="F16" r:id="rId13" display="https://www.jointdatacenter.org/literature_review/the-impact-of-living-arrangements-in-camp-versus-out-of-camp-on-the-quality-of-life-case-study-of-syrian-refugees-in-jordan/"/>
    <hyperlink ref="F17" r:id="rId14" display="https://www.thenewhumanitarian.org/node/254075"/>
    <hyperlink ref="F18" r:id="rId15" display="https://syriadirect.org/as-syrian-refugees-leave-zaatari-some-bring-their-caravans-with-them/"/>
    <hyperlink ref="F19" r:id="rId16" display="https://reliefweb.int/report/jordan/al-za-atari-camp-population-profiling-al-mafraq-governorate-jordan-camp-population"/>
    <hyperlink ref="F20" r:id="rId17" display="https://docs.wfp.org/api/documents/fae7aff6c26f4dd090dd8caa2bc23ef7/download/"/>
    <hyperlink ref="F21" r:id="rId18" display="https://www.pbs.org/newshour/show/worlds-largest-syrian-refugee-camp-has-developed-its-own-econom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29" t="s">
        <v>499</v>
      </c>
    </row>
    <row r="2" customFormat="false" ht="46.25" hidden="false" customHeight="false" outlineLevel="0" collapsed="false">
      <c r="A2" s="30" t="s">
        <v>500</v>
      </c>
    </row>
    <row r="3" customFormat="false" ht="15" hidden="false" customHeight="false" outlineLevel="0" collapsed="false">
      <c r="A3" s="30"/>
    </row>
    <row r="4" customFormat="false" ht="15" hidden="false" customHeight="false" outlineLevel="0" collapsed="false">
      <c r="A4" s="31" t="s">
        <v>501</v>
      </c>
    </row>
    <row r="5" customFormat="false" ht="23.85" hidden="false" customHeight="false" outlineLevel="0" collapsed="false">
      <c r="A5" s="30" t="s">
        <v>502</v>
      </c>
    </row>
    <row r="6" customFormat="false" ht="23.85" hidden="false" customHeight="false" outlineLevel="0" collapsed="false">
      <c r="A6" s="30" t="s">
        <v>503</v>
      </c>
    </row>
    <row r="7" customFormat="false" ht="23.85" hidden="false" customHeight="false" outlineLevel="0" collapsed="false">
      <c r="A7" s="30" t="s">
        <v>504</v>
      </c>
    </row>
    <row r="8" customFormat="false" ht="15" hidden="false" customHeight="false" outlineLevel="0" collapsed="false">
      <c r="A8" s="30" t="s">
        <v>505</v>
      </c>
    </row>
    <row r="9" customFormat="false" ht="35.05" hidden="false" customHeight="false" outlineLevel="0" collapsed="false">
      <c r="A9" s="30" t="s">
        <v>506</v>
      </c>
    </row>
    <row r="10" customFormat="false" ht="79.85" hidden="false" customHeight="false" outlineLevel="0" collapsed="false">
      <c r="A10" s="30" t="s">
        <v>507</v>
      </c>
    </row>
    <row r="11" customFormat="false" ht="15" hidden="false" customHeight="false" outlineLevel="0" collapsed="false">
      <c r="A11" s="30"/>
    </row>
    <row r="12" customFormat="false" ht="15" hidden="false" customHeight="false" outlineLevel="0" collapsed="false">
      <c r="A12" s="31" t="s">
        <v>508</v>
      </c>
    </row>
    <row r="13" customFormat="false" ht="15" hidden="false" customHeight="false" outlineLevel="0" collapsed="false">
      <c r="A13" s="30" t="s">
        <v>509</v>
      </c>
    </row>
    <row r="14" customFormat="false" ht="15" hidden="false" customHeight="false" outlineLevel="0" collapsed="false">
      <c r="A14" s="30" t="s">
        <v>510</v>
      </c>
    </row>
    <row r="15" customFormat="false" ht="15" hidden="false" customHeight="false" outlineLevel="0" collapsed="false">
      <c r="A15" s="30" t="s">
        <v>511</v>
      </c>
    </row>
    <row r="16" customFormat="false" ht="23.85" hidden="false" customHeight="false" outlineLevel="0" collapsed="false">
      <c r="A16" s="30" t="s">
        <v>512</v>
      </c>
    </row>
    <row r="17" customFormat="false" ht="15" hidden="false" customHeight="false" outlineLevel="0" collapsed="false">
      <c r="A17" s="30" t="s">
        <v>513</v>
      </c>
    </row>
    <row r="18" customFormat="false" ht="23.85" hidden="false" customHeight="false" outlineLevel="0" collapsed="false">
      <c r="A18" s="30" t="s">
        <v>514</v>
      </c>
    </row>
    <row r="19" customFormat="false" ht="15" hidden="false" customHeight="false" outlineLevel="0" collapsed="false">
      <c r="A19" s="30"/>
    </row>
    <row r="20" customFormat="false" ht="15" hidden="false" customHeight="false" outlineLevel="0" collapsed="false">
      <c r="A20" s="31" t="s">
        <v>515</v>
      </c>
    </row>
    <row r="21" customFormat="false" ht="35.05" hidden="false" customHeight="false" outlineLevel="0" collapsed="false">
      <c r="A21" s="30" t="s">
        <v>516</v>
      </c>
    </row>
    <row r="22" customFormat="false" ht="15" hidden="false" customHeight="false" outlineLevel="0" collapsed="false">
      <c r="A22" s="30" t="s">
        <v>517</v>
      </c>
    </row>
    <row r="23" customFormat="false" ht="15" hidden="false" customHeight="false" outlineLevel="0" collapsed="false">
      <c r="A23" s="30" t="s">
        <v>518</v>
      </c>
    </row>
    <row r="24" customFormat="false" ht="15" hidden="false" customHeight="false" outlineLevel="0" collapsed="false">
      <c r="A24" s="30"/>
    </row>
    <row r="25" customFormat="false" ht="15" hidden="false" customHeight="false" outlineLevel="0" collapsed="false">
      <c r="A25" s="31" t="s">
        <v>519</v>
      </c>
    </row>
    <row r="26" customFormat="false" ht="23.85" hidden="false" customHeight="false" outlineLevel="0" collapsed="false">
      <c r="A26" s="30" t="s">
        <v>520</v>
      </c>
    </row>
    <row r="27" customFormat="false" ht="15" hidden="false" customHeight="false" outlineLevel="0" collapsed="false">
      <c r="A27" s="30"/>
    </row>
    <row r="28" customFormat="false" ht="15" hidden="false" customHeight="false" outlineLevel="0" collapsed="false">
      <c r="A28" s="31" t="s">
        <v>521</v>
      </c>
    </row>
    <row r="29" customFormat="false" ht="68.65" hidden="false" customHeight="false" outlineLevel="0" collapsed="false">
      <c r="A29" s="30" t="s">
        <v>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2026-10-24T06:18:21Z</dcterms:created>
  <dc:creator>openpyxl</dc:creator>
  <dc:description/>
  <dc:language>en-US</dc:language>
  <cp:lastModifiedBy/>
  <dcterms:modified xsi:type="dcterms:W3CDTF">2026-10-24T06:18:21Z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