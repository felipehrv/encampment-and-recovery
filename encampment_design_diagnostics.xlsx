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dict" sheetId="1" state="visible" r:id="rId3"/>
    <sheet name="Shocks verdict" sheetId="2" state="visible" r:id="rId4"/>
    <sheet name="Indices" sheetId="3" state="visible" r:id="rId5"/>
    <sheet name="Decomposition" sheetId="4" state="visible" r:id="rId6"/>
    <sheet name="Health as a factor" sheetId="5" state="visible" r:id="rId7"/>
    <sheet name="Sample and overlap" sheetId="6" state="visible" r:id="rId8"/>
    <sheet name="Balance" sheetId="7" state="visible" r:id="rId9"/>
    <sheet name="Estimates" sheetId="8" state="visible" r:id="rId10"/>
    <sheet name="Inference" sheetId="9" state="visible" r:id="rId11"/>
    <sheet name="Sensitivity" sheetId="10" state="visible" r:id="rId12"/>
    <sheet name="Power" sheetId="11" state="visible" r:id="rId13"/>
    <sheet name="Within sex" sheetId="12" state="visible" r:id="rId14"/>
    <sheet name="Thesis table" sheetId="13" state="visible" r:id="rId15"/>
    <sheet name="Shocks described" sheetId="14" state="visible" r:id="rId16"/>
    <sheet name="Flexible estimation" sheetId="15" state="visible" r:id="rId17"/>
    <sheet name="Blind replication" sheetId="16" state="visible" r:id="rId18"/>
    <sheet name="How it was done"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<sst xmlns="http://schemas.openxmlformats.org/spreadsheetml/2006/main" count="9151" uniqueCount="3408">
  <si>
    <t xml:space="preserve">Design 1: differences between comparable households, towns minus camp, within the common support</t>
  </si>
  <si>
    <t xml:space="preserve">Sample: households with every design trait and every respondent trait observed (209 camp households and, in the towns, all but fewer than ten), then restricted to the region of common support (propensity score between 0.1 and 0.9: 116 camp and 95 towns households). Design traits: urban origin, savings, business, car, origin in Daraa, household size, arrival by 2012, pension and vacations in Syria. Respondent traits (sex, age, schooling) enter the outcome regressions only. A blank answer is a missing value and never a zero. Standard errors come from a bootstrap that resamples households within the strata of the sampling design (camp districts, towns places), 400 draws, re-estimating everything in each draw; the OLS column uses the linearized standard error that follows the same strata. None of these differences is an effect of living in one place or the other: no causal design is available (How it was done sheet).</t>
  </si>
  <si>
    <t xml:space="preserve">Tier rule, fixed before the numbers were read. Robust: Romano-Wolf p at or below 0.05, AIPW t at or above 1.96 in absolute value, robustness value for significance at or above 0.05, and the same sign in the five adjusted estimators. Null: OLS design-based p above 0.10 and AIPW t below 1.96 in absolute value. Fragile: everything else. Romano and Wolf correct for testing twelve outcomes at once; the robustness value is the share of residual variance that an unobserved trait would have to explain, in both the place of residence and the outcome, for the difference to lose significance (Cinelli and Hazlett 2020); Oster delta* is how many times stronger than the observed traits the selection on unobserved traits would have to be to bring the difference to zero (Oster 2019, exact formula, Rmax = 1.3 times the R2 of the controlled regression).</t>
  </si>
  <si>
    <t xml:space="preserve">Outcome</t>
  </si>
  <si>
    <t xml:space="preserve">Unit</t>
  </si>
  <si>
    <t xml:space="preserve">AIPW estimate</t>
  </si>
  <si>
    <t xml:space="preserve">AIPW bootstrap s.e.</t>
  </si>
  <si>
    <t xml:space="preserve">AIPW t</t>
  </si>
  <si>
    <t xml:space="preserve">OLS estimate</t>
  </si>
  <si>
    <t xml:space="preserve">OLS design-based s.e.</t>
  </si>
  <si>
    <t xml:space="preserve">OLS p (design-based)</t>
  </si>
  <si>
    <t xml:space="preserve">Romano-Wolf p (12 outcomes)</t>
  </si>
  <si>
    <t xml:space="preserve">Robustness value to lose significance at 5%</t>
  </si>
  <si>
    <t xml:space="preserve">Oster delta* (exact)</t>
  </si>
  <si>
    <t xml:space="preserve">All five adjusted estimators share the sign</t>
  </si>
  <si>
    <t xml:space="preserve">Minimum detectable difference (towns vs reweighted camp)</t>
  </si>
  <si>
    <t xml:space="preserve">Tier (rule below)</t>
  </si>
  <si>
    <t xml:space="preserve">Reading</t>
  </si>
  <si>
    <t xml:space="preserve">Income from work (yes or no)</t>
  </si>
  <si>
    <t xml:space="preserve">points, share from 0 to 1</t>
  </si>
  <si>
    <t xml:space="preserve">yes</t>
  </si>
  <si>
    <t xml:space="preserve">Towns households more often name work among their income sources; the difference shrinks from the raw 32 points to about 24 with AIPW and holds under every test.</t>
  </si>
  <si>
    <t xml:space="preserve">Spending above income (yes or no)</t>
  </si>
  <si>
    <t xml:space="preserve">A difference of 9 to 17 points that the sample cannot separate from zero; the minimum detectable difference is about 25 points.</t>
  </si>
  <si>
    <t xml:space="preserve">Has debts (yes or no)</t>
  </si>
  <si>
    <t xml:space="preserve">Towns households report debts more often once compared with similar camp households (12 points in OLS, 22 with AIPW); it clears the AIPW test but not the OLS one nor the correction for twelve outcomes.</t>
  </si>
  <si>
    <t xml:space="preserve">Refrigerator (yes or no)</t>
  </si>
  <si>
    <t xml:space="preserve">withheld (protects another cell)</t>
  </si>
  <si>
    <t xml:space="preserve">The largest and most stable difference: about 30 to 40 points more towns households with a refrigerator; it survives all sensitivity and inference checks.</t>
  </si>
  <si>
    <t xml:space="preserve">Stove (yes or no)</t>
  </si>
  <si>
    <t xml:space="preserve">About 44 to 47 points more towns households with a stove; it survives all checks.</t>
  </si>
  <si>
    <t xml:space="preserve">Personal security good or very good (yes or no)</t>
  </si>
  <si>
    <t xml:space="preserve">Within the support the raw difference of 14 points falls to 8 with controls; indistinguishable from zero.</t>
  </si>
  <si>
    <t xml:space="preserve">Ate less after a shock (yes or no)</t>
  </si>
  <si>
    <t xml:space="preserve">A difference of 7 to 15 points, indistinguishable from zero in this sample.</t>
  </si>
  <si>
    <t xml:space="preserve">Asked for assistance after a shock (yes or no)</t>
  </si>
  <si>
    <t xml:space="preserve">no</t>
  </si>
  <si>
    <t xml:space="preserve">No difference.</t>
  </si>
  <si>
    <t xml:space="preserve">Monthly spending per person (log)</t>
  </si>
  <si>
    <t xml:space="preserve">log points</t>
  </si>
  <si>
    <t xml:space="preserve">Towns households spend about 60 to 70 log points more per person (roughly 1.9 times); it survives all checks.</t>
  </si>
  <si>
    <t xml:space="preserve">Self-rated integration (1 to 10)</t>
  </si>
  <si>
    <t xml:space="preserve">scale points</t>
  </si>
  <si>
    <t xml:space="preserve">Camp households rate their integration about 3 points higher on the 1 to 10 scale; the most robust difference of the twelve.</t>
  </si>
  <si>
    <t xml:space="preserve">Optimism (1 to 10)</t>
  </si>
  <si>
    <t xml:space="preserve">Camp households are more optimistic by 1 to 1.7 points; the difference is driven by women respondents and loses significance under the correction for twelve outcomes and under a modest unobserved trait.</t>
  </si>
  <si>
    <t xml:space="preserve">Happiness (1 to 10)</t>
  </si>
  <si>
    <t xml:space="preserve">A difference of 0.5 to 0.9 points toward the camp that the sample cannot separate from zero.</t>
  </si>
  <si>
    <t xml:space="preserve">Eight-trait specification (the same design without pension and vacations in Syria), as a check</t>
  </si>
  <si>
    <t xml:space="preserve">Counts by tier</t>
  </si>
  <si>
    <t xml:space="preserve">Design 1</t>
  </si>
  <si>
    <t xml:space="preserve">Eight traits</t>
  </si>
  <si>
    <t xml:space="preserve">Robust</t>
  </si>
  <si>
    <t xml:space="preserve">Fragile</t>
  </si>
  <si>
    <t xml:space="preserve">Null</t>
  </si>
  <si>
    <t xml:space="preserve">Tiers that differ between the two specifications: Income from work (yes or no): Robust under design 1, Fragile under eight traits; Has debts (yes or no): Fragile under design 1, Null under eight traits; Personal security good or very good (yes or no): Null under design 1, Fragile under eight traits; Ate less after a shock (yes or no): Null under design 1, Fragile under eight traits. The four differences that are robust under both (refrigerator, stove, spending per person, self-rated integration) are the ones the paper can lean on; income from work is robust only when pension and vacations enter the design. The thesis estimator (one nearest neighbour, ATE, no support check) is reproduced on the Thesis table sheet.</t>
  </si>
  <si>
    <t xml:space="preserve">The shocks family under design 1: differences between comparable households, towns minus camp, within the common support</t>
  </si>
  <si>
    <t xml:space="preserve">Same design, sample, support, score, weights, estimators and bootstrap as the main family (Verdict sheet): 116 camp and 95 towns households within the support. Fifteen outcomes declared before running (review/brief_blind_s4_shocks.md): three shocks since arrival (income fell, a member lost a job, sickness), the pre-declared primary measure of the responses (the number of the eleven responses the household used, 0 to 11, defined for households that answered all eleven) and the eleven responses one by one. Theft is not estimated: fewer than ten towns households report it. Sickness is reported only as an incidence by group, never crossed with a place or used as a regressor. A blank answer is a missing value. None of these differences is an effect of living in one place or the other.</t>
  </si>
  <si>
    <t xml:space="preserve">Tier rule, the same as on the Verdict sheet, with the Romano-Wolf correction applied within the family of fifteen (as declared). The last column repeats the correction over the 25 distinct outcomes of the two families together, as a check: the robust set does not change. Robust: Romano-Wolf p at or below 0.05, AIPW t at or above 1.96 in absolute value, robustness value for significance at or above 0.05, same sign in the five adjusted estimators. Null: OLS design-based p above 0.10 and AIPW t below 1.96 in absolute value. Fragile: everything else.</t>
  </si>
  <si>
    <t xml:space="preserve">Romano-Wolf p (15 outcomes of the family)</t>
  </si>
  <si>
    <t xml:space="preserve">Romano-Wolf p (25 distinct outcomes of both families)</t>
  </si>
  <si>
    <t xml:space="preserve">Income fell since arrival (yes or no)</t>
  </si>
  <si>
    <t xml:space="preserve">Towns households report a fall in income less often: 92% of camp and 78% of towns households over the whole sample, and 21 to 25 points fewer among comparable households; holds under every test.</t>
  </si>
  <si>
    <t xml:space="preserve">A member lost a job (yes or no)</t>
  </si>
  <si>
    <t xml:space="preserve">Few households in either group report that a member lost a job (7% camp, 8% towns); no difference.</t>
  </si>
  <si>
    <t xml:space="preserve">Sickness among the shocks (yes or no)</t>
  </si>
  <si>
    <t xml:space="preserve">Sickness among the shocks is reported by 20% of camp and 18% of towns households; among comparable households the estimates run from 8 to 15 points fewer in the towns, which the sample cannot separate from zero. Incidence only.</t>
  </si>
  <si>
    <t xml:space="preserve">Number of responses used (0 to 11)</t>
  </si>
  <si>
    <t xml:space="preserve">responses (0 to 11)</t>
  </si>
  <si>
    <t xml:space="preserve">The pre-declared primary measure. Over all households, towns households used fewer of the eleven responses (4.37 against 4.88 on average); among comparable households the difference runs from 0.3 to 0.8 responses depending on the estimator and no test separates it from zero. The sample detects a difference of 1.4 responses at best.</t>
  </si>
  <si>
    <t xml:space="preserve">Eating less: 55% camp, 73% towns over the whole sample; among comparable households 7 to 15 points, indistinguishable from zero. The thesis table reported +28 points with one nearest neighbour on the whole sample.</t>
  </si>
  <si>
    <t xml:space="preserve">Cut other household spending (yes or no)</t>
  </si>
  <si>
    <t xml:space="preserve">Cutting other household spending: 56% camp, 78% towns over the whole sample; among comparable households 14 to 17 points (AIPW to OLS), at the edge of significance in OLS and short of it under AIPW and under the correction for fifteen outcomes. The thesis table reported +28.5 points.</t>
  </si>
  <si>
    <t xml:space="preserve">Cut spending on education (yes or no)</t>
  </si>
  <si>
    <t xml:space="preserve">Cutting spending on education: 19% camp, 13% towns; the OLS difference of 14 points fewer in the towns is significant on its own but not after the correction, and a weak unobserved trait would remove it; AIPW gives 9 points with a wide interval.</t>
  </si>
  <si>
    <t xml:space="preserve">A child went to work (yes or no)</t>
  </si>
  <si>
    <t xml:space="preserve">A child going to work: 22% camp, 29% towns over the whole sample; among comparable households no difference.</t>
  </si>
  <si>
    <t xml:space="preserve">Asked for a loan (yes or no)</t>
  </si>
  <si>
    <t xml:space="preserve">Asking for a loan: 68% camp, 32% towns over the whole sample; among comparable households the gap narrows to 19 to 21 points fewer in the towns (AIPW to OLS), significant in OLS but not after the correction for fifteen outcomes and not at 5% with AIPW.</t>
  </si>
  <si>
    <t xml:space="preserve">Used savings (yes or no)</t>
  </si>
  <si>
    <t xml:space="preserve">Using savings: 70% camp, 57% towns over the whole sample; 22 to 26 points fewer among comparable towns households; holds under every test, including the correction over the 25 outcomes of both families.</t>
  </si>
  <si>
    <t xml:space="preserve">Sold belongings (yes or no)</t>
  </si>
  <si>
    <t xml:space="preserve">Selling belongings: 31% camp, 32% towns; no difference.</t>
  </si>
  <si>
    <t xml:space="preserve">Asking for assistance: 63% camp, 54% towns over the whole sample; no difference among comparable households.</t>
  </si>
  <si>
    <t xml:space="preserve">Worked more hours (yes or no)</t>
  </si>
  <si>
    <t xml:space="preserve">Working more hours: 54% camp, 40% towns; among comparable households 10 to 16 points fewer in the towns, at the edge of significance in OLS and short of it under the other tests.</t>
  </si>
  <si>
    <t xml:space="preserve">Took a second job (yes or no)</t>
  </si>
  <si>
    <t xml:space="preserve">Taking a second job: 29% camp, 19% towns; among comparable households the difference cannot be told from zero.</t>
  </si>
  <si>
    <t xml:space="preserve">Asked another member to bring income (yes or no)</t>
  </si>
  <si>
    <t xml:space="preserve">Asking another member to bring income: 21% camp, 16% towns; the OLS difference of 16 points is significant on its own but not after the correction, and AIPW gives 10 points with a wide interval.</t>
  </si>
  <si>
    <t xml:space="preserve">Tiers that differ between the two specifications: Ate less after a shock (yes or no): Null under design 1, Fragile under eight traits; Took a second job (yes or no): Null under design 1, Fragile under eight traits. Robust under design 1: income fell since arrival (yes or no), used savings (yes or no). The consumption-cutting responses (ate less, cut other spending) and the number of responses are the ones the thesis table set the most store by; among comparable households eating less cannot be told from zero and the other two are fragile, and the raw gaps of the whole sample (Shocks described sheet) come in good part from the traits that also decided where the household lives. Theft is not in the family (fewer than ten towns households). Health as a factor in the responses (point 5 of the proposal) was run on 21 October 2026 after the author's decision: Health as a factor sheet (Part F).</t>
  </si>
  <si>
    <t xml:space="preserve">Four composite indices of the responses under design 1 (towns minus camp): within the support and on the whole analysis sample</t>
  </si>
  <si>
    <t xml:space="preserve">Declared before running (review/brief_decomposition_indices_ml.md, Part C). Consumption cuts = ate less + cut other spending (0 to 2). Financial buffers = used savings + asked for a loan + asked for assistance (0 to 3). Severe responses = cut education spending + a child went to work + sold belongings (0 to 3). WFP severity score = the most severe category the household used, following table 7 of the Comprehensive Food Security Monitoring Exercise 2016 for Syrian refugees in Jordan (WFP and REACH 2016): stress (used savings, asked for a loan, sold belongings) = 1, crisis (cut other spending, cut education spending) = 2, emergency (a child went to work) = 3, none = 0; eating less is consumption-based coping and stays out of it, as do asking for assistance and the three labour responses. An index is defined only for households that answered all of its items. Two further rows: the score with child work counted as crisis (sensitivity), and the share of households that used a crisis or emergency strategy.</t>
  </si>
  <si>
    <t xml:space="preserve">Same design, sample, support, estimators and bootstrap as the Verdict sheet; Romano-Wolf over the four indices. Tier rule as on the Verdict sheet. The second block repeats the estimates on the whole analysis sample (209 camp households and, in the towns, all but fewer than ten) with the ATT weights of the logit score and no trimming: a declared robustness check that trades extrapolation for precision; the verdict stays with the support. On the whole sample the entropy weights are feasible (effective camp households 21) but 44 of the 400 bootstrap draws are not; the entropy error there rests on the feasible draws.</t>
  </si>
  <si>
    <t xml:space="preserve">Index</t>
  </si>
  <si>
    <t xml:space="preserve">Romano-Wolf p (4 indices)</t>
  </si>
  <si>
    <t xml:space="preserve">Tier (rule of the Verdict sheet)</t>
  </si>
  <si>
    <t xml:space="preserve">Raw difference, whole sample</t>
  </si>
  <si>
    <t xml:space="preserve">Consumption cuts index (0 to 2)</t>
  </si>
  <si>
    <t xml:space="preserve">responses (0 to 2)</t>
  </si>
  <si>
    <t xml:space="preserve">Towns households cut consumption on more fronts (0.2 to 0.3 more of the two cuts within the support, 0.3 to 0.5 on the whole sample); within the support the difference does not clear the tests, on the whole sample it clears the correction for the four indices (Romano-Wolf 0.04) but not the robust tier.</t>
  </si>
  <si>
    <t xml:space="preserve">Financial buffers index (0 to 3)</t>
  </si>
  <si>
    <t xml:space="preserve">responses (0 to 3)</t>
  </si>
  <si>
    <t xml:space="preserve">Towns households use fewer of the three financial buffers (0.3 to 0.5 fewer); OLS clears the tests, AIPW does not, so the difference is fragile; the Decomposition sheet shows that it is mostly loans.</t>
  </si>
  <si>
    <t xml:space="preserve">Severe responses index (0 to 3)</t>
  </si>
  <si>
    <t xml:space="preserve">No difference in the severe responses (cut education, child work, sold belongings): the sequence test does not find towns households further down the ladder.</t>
  </si>
  <si>
    <t xml:space="preserve">WFP severity score (0 to 3)</t>
  </si>
  <si>
    <t xml:space="preserve">severity steps (0 to 3)</t>
  </si>
  <si>
    <t xml:space="preserve">No difference in the WFP severity step among comparable households: the two groups reach the same most severe category on average (between stress and crisis), by different routes (savings and loans in the camp, consumption cuts in the towns).</t>
  </si>
  <si>
    <t xml:space="preserve">WFP severity score, child work counted as crisis (0 to 2)</t>
  </si>
  <si>
    <t xml:space="preserve">severity steps (0 to 2)</t>
  </si>
  <si>
    <t xml:space="preserve">not in the family of four</t>
  </si>
  <si>
    <t xml:space="preserve">sensitivity row</t>
  </si>
  <si>
    <t xml:space="preserve">Crisis or emergency strategy used (yes or no)</t>
  </si>
  <si>
    <t xml:space="preserve">Whole analysis sample, ATT weights, no trimming (declared robustness check)</t>
  </si>
  <si>
    <t xml:space="preserve">Estimates of the four indices under the six estimators (within support; whole sample below)</t>
  </si>
  <si>
    <t xml:space="preserve">Sample</t>
  </si>
  <si>
    <t xml:space="preserve">Camp with the index</t>
  </si>
  <si>
    <t xml:space="preserve">Towns with the index</t>
  </si>
  <si>
    <t xml:space="preserve">Raw difference: estimate</t>
  </si>
  <si>
    <t xml:space="preserve">Raw difference: s.e.</t>
  </si>
  <si>
    <t xml:space="preserve">OLS with controls: estimate</t>
  </si>
  <si>
    <t xml:space="preserve">OLS with controls: s.e.</t>
  </si>
  <si>
    <t xml:space="preserve">Inverse probability weights: estimate</t>
  </si>
  <si>
    <t xml:space="preserve">Inverse probability weights: s.e.</t>
  </si>
  <si>
    <t xml:space="preserve">AIPW (doubly robust): estimate</t>
  </si>
  <si>
    <t xml:space="preserve">AIPW (doubly robust): s.e.</t>
  </si>
  <si>
    <t xml:space="preserve">Entropy balancing: estimate</t>
  </si>
  <si>
    <t xml:space="preserve">Entropy balancing: s.e.</t>
  </si>
  <si>
    <t xml:space="preserve">Nearest neighbour, bias adjusted: estimate</t>
  </si>
  <si>
    <t xml:space="preserve">Nearest neighbour, bias adjusted: s.e.</t>
  </si>
  <si>
    <t xml:space="preserve">Within support</t>
  </si>
  <si>
    <t xml:space="preserve">Whole analysis sample</t>
  </si>
  <si>
    <t xml:space="preserve">all but fewer than ten</t>
  </si>
  <si>
    <t xml:space="preserve">Each response split into the incidence of the shock (income fell since arrival) and the response given the shock, by group</t>
  </si>
  <si>
    <t xml:space="preserve">Declared before running (review/brief_decomposition_indices_ml.md, Part B). For each response R and group g: mean(R) = P(income fell) x mean(R | income fell) + P(income did not fall) x mean(R | income did not fall). The difference between groups (towns minus camp) splits into three parts: incidence = [P_t(S) - P_c(S)] x [m_c(R | S) - m_c(R | no S)]; response given the shock = P_t(S) x [m_t(R | S) - m_c(R | S)]; response without the shock = (1 - P_t(S)) x [m_t(R | no S) - m_c(R | no S)]. Reading rule, fixed beforehand: the conditional quantities condition on a variable whose frequency differs by place (the shock is more frequent in the camp), so they are descriptive comparisons among the households that reported a fall in income, not estimates of the design estimand.</t>
  </si>
  <si>
    <t xml:space="preserve">Masking: a conditional share is shown only when the households with and without the response in the cell both number ten or more ("fewer than 10", "nearly all" otherwise); a mean of an index only when the cell has ten or more households and none of its items is masked or withheld (tenth edition, for block C as for blocks A and B); in block A the conditional difference, the part due to the response given the shock and the difference in means of the indices carry two decimals (tenth edition); a part of the decomposition only when every quantity it uses is shown; where a no-shock cell is masked, the overall means are left out so that the cell cannot be worked out from them, and the count of the shocked cell reads "nearly all". Standard errors in the support block come from the stratified bootstrap (400 draws); the last columns give the OLS difference among the households with the shock, with the design traits and the respondent traits as controls and the design-based standard error.</t>
  </si>
  <si>
    <t xml:space="preserve">A. All households, no weights (257 camp, 134 towns)</t>
  </si>
  <si>
    <t xml:space="preserve">P(income fell)</t>
  </si>
  <si>
    <t xml:space="preserve">camp</t>
  </si>
  <si>
    <t xml:space="preserve">towns</t>
  </si>
  <si>
    <t xml:space="preserve">Response</t>
  </si>
  <si>
    <t xml:space="preserve">Camp, income fell: mean</t>
  </si>
  <si>
    <t xml:space="preserve">Camp, income fell: households</t>
  </si>
  <si>
    <t xml:space="preserve">Camp, income did not fall: mean</t>
  </si>
  <si>
    <t xml:space="preserve">Camp, income did not fall: households</t>
  </si>
  <si>
    <t xml:space="preserve">Towns, income fell: mean</t>
  </si>
  <si>
    <t xml:space="preserve">Towns, income fell: households</t>
  </si>
  <si>
    <t xml:space="preserve">Towns, income did not fall: mean</t>
  </si>
  <si>
    <t xml:space="preserve">Towns, income did not fall: households</t>
  </si>
  <si>
    <t xml:space="preserve">Conditional difference given the shock (towns minus camp)</t>
  </si>
  <si>
    <t xml:space="preserve">Part: incidence of the shock</t>
  </si>
  <si>
    <t xml:space="preserve">Part: response given the shock</t>
  </si>
  <si>
    <t xml:space="preserve">Part: response without the shock</t>
  </si>
  <si>
    <t xml:space="preserve">Difference in means (sum of the parts)</t>
  </si>
  <si>
    <t xml:space="preserve">Ate less after a shock</t>
  </si>
  <si>
    <t xml:space="preserve">fewer than 10</t>
  </si>
  <si>
    <t xml:space="preserve">not shown (a cell below ten households)</t>
  </si>
  <si>
    <t xml:space="preserve">Cut other household spending</t>
  </si>
  <si>
    <t xml:space="preserve">Cut spending on education</t>
  </si>
  <si>
    <t xml:space="preserve">A child went to work</t>
  </si>
  <si>
    <t xml:space="preserve">Asked for a loan</t>
  </si>
  <si>
    <t xml:space="preserve">Used savings</t>
  </si>
  <si>
    <t xml:space="preserve">Sold belongings</t>
  </si>
  <si>
    <t xml:space="preserve">Asked for assistance after a shock</t>
  </si>
  <si>
    <t xml:space="preserve">Worked more hours</t>
  </si>
  <si>
    <t xml:space="preserve">Took a second job</t>
  </si>
  <si>
    <t xml:space="preserve">Asked another member to bring income</t>
  </si>
  <si>
    <t xml:space="preserve">B. Within the common support with the ATT weights of design 1 (116 camp, 95 towns)</t>
  </si>
  <si>
    <t xml:space="preserve">Bootstrap s.e. of the conditional difference</t>
  </si>
  <si>
    <t xml:space="preserve">Bootstrap s.e. of the parts (incidence; given; without)</t>
  </si>
  <si>
    <t xml:space="preserve">OLS among the households with the shock: estimate</t>
  </si>
  <si>
    <t xml:space="preserve">Design-based s.e.</t>
  </si>
  <si>
    <t xml:space="preserve">p</t>
  </si>
  <si>
    <t xml:space="preserve">Households (camp; towns)</t>
  </si>
  <si>
    <t xml:space="preserve">nearly all (fewer than ten without the shock)</t>
  </si>
  <si>
    <t xml:space="preserve">fewer than 10 households</t>
  </si>
  <si>
    <t xml:space="preserve">nearly all (fewer than ten without the shock); 73</t>
  </si>
  <si>
    <t xml:space="preserve">nearly all</t>
  </si>
  <si>
    <t xml:space="preserve">C. The shock fixed by its reported cause: households whose income fell and who named a cut in assistance (42 camp, 89 towns), all households, no weights</t>
  </si>
  <si>
    <t xml:space="preserve">Camp: mean</t>
  </si>
  <si>
    <t xml:space="preserve">Camp: households</t>
  </si>
  <si>
    <t xml:space="preserve">Towns: mean</t>
  </si>
  <si>
    <t xml:space="preserve">Towns: households</t>
  </si>
  <si>
    <t xml:space="preserve">Difference (towns minus camp)</t>
  </si>
  <si>
    <t xml:space="preserve">Health as a factor in the capacity of the household to meet its needs (Part F): two yes or no items, by group and overall only</t>
  </si>
  <si>
    <t xml:space="preserve">Declared before running (review/brief_health.md, 21 October 2026, after the author's decision of the same day). Health is two yes or no items and nothing else: a member of the household has a medical condition (answered by all 391 households; the open answer naming the condition is never read) and sickness among the shocks since arrival. Both describe the household in Jordan in 2016, so neither enters the propensity score, the weights or any matching: they enter the outcome regressions as a factor. The items are never crossed with a town, a district or a route out of the camp. The three scales, security and the two basic living conditions are not outcomes here: health is read as a factor in the capacity of the household to meet its needs, not as an explanation of wellbeing. The family of 21 outcomes was fixed beforehand: income from work, spending above income, debts, spending per person; income fell; the number of responses; the eleven responses; the four indices.</t>
  </si>
  <si>
    <t xml:space="preserve">Reading rule, fixed beforehand, for the gradient among comparable households (block C): "beyond the correction" when the Romano-Wolf p over the 21 outcomes is at or below 0.05; "on its own" when the design-based p is at or below 0.05 and the Romano-Wolf p is above it; "within noise" otherwise. The gradient is the difference between households with and without the item, holding the place and the twelve traits fixed; it is not an effect of health: the condition is not randomly assigned, it may precede or follow the fall in income, and the question records a minimum. Masking as on the Decomposition sheet: a share only when the households with and without the outcome in the cell both number ten or more, a mean only when the cell has ten or more households, a difference only when both cells are shown; since the tenth edition the mean of an index, or of the number of responses, is withheld wherever one of the items it adds up is masked or withheld, because times its households it gives that item back. In block B, where the cell of the households with the item is masked, the cell of the households without it reads "withheld (protects another cell)": with the figure for all households it would give the masked count (the same cells are withheld in the step 3 workbook, second protection pass of 21 October 2026). Blocks B and E describe all households within each group with the margin of step 3 (1.96 standard errors); in block E the count of a cell among the households whose income fell is withheld where it would reveal, by subtraction from block B, a count below ten; blocks C and D use the design-based standard error (linearization within the strata) and a stratified bootstrap of 999 draws for the correction.</t>
  </si>
  <si>
    <t xml:space="preserve">What this part shows</t>
  </si>
  <si>
    <t xml:space="preserve">Among comparable households, those with a member with a medical condition used more of the eleven responses (+1.25 responses, Romano-Wolf p 0.036) and drew more on the financial buffers (+0.54 of the three, p 0.011), both beyond the correction; on their own, they more often used savings (+19 points), asked for assistance (+20) and asked for a loan (+15), and sit higher on the severe-responses index (+0.35) and the WFP severity score (+0.34). Their work income, spending per person and spending above income do not differ. Sickness among the shocks shows no gradient of its own beyond the correction; what differs is the camp-towns difference among households with sickness: the financial-buffers index is +1.26 higher in the towns than in the camp among them, relative to households without sickness (Romano-Wolf p 0.016), a reading that rests on the towns households with sickness within the support (nearly all of the 24 in the group) and is descriptive. Health, then, is a factor in how many responses a household had to use and in how far it drew on its buffers, not in its income or spending; within each place the direction is the same (blocks B and E).</t>
  </si>
  <si>
    <t xml:space="preserve">A. Incidence of each item, all households</t>
  </si>
  <si>
    <t xml:space="preserve">Item</t>
  </si>
  <si>
    <t xml:space="preserve">Camp: households answering</t>
  </si>
  <si>
    <t xml:space="preserve">Camp: share</t>
  </si>
  <si>
    <t xml:space="preserve">Towns: households answering</t>
  </si>
  <si>
    <t xml:space="preserve">Towns: share</t>
  </si>
  <si>
    <t xml:space="preserve">All: households answering</t>
  </si>
  <si>
    <t xml:space="preserve">All: share</t>
  </si>
  <si>
    <t xml:space="preserve">A member with a medical condition</t>
  </si>
  <si>
    <t xml:space="preserve">Sickness among the shocks</t>
  </si>
  <si>
    <t xml:space="preserve">C and D. A member with a medical condition, within the common support of design 1: 116 camp households and 95 towns households, of which 29 (camp) and 36 (towns) have the item</t>
  </si>
  <si>
    <t xml:space="preserve">Gradient (with minus without, place and traits fixed)</t>
  </si>
  <si>
    <t xml:space="preserve">p (design-based)</t>
  </si>
  <si>
    <t xml:space="preserve">p (HC1)</t>
  </si>
  <si>
    <t xml:space="preserve">Romano-Wolf p (21 outcomes)</t>
  </si>
  <si>
    <t xml:space="preserve">Tier (rule above)</t>
  </si>
  <si>
    <t xml:space="preserve">Households</t>
  </si>
  <si>
    <t xml:space="preserve">Interaction towns x item</t>
  </si>
  <si>
    <t xml:space="preserve">Interaction: design-based s.e.</t>
  </si>
  <si>
    <t xml:space="preserve">Interaction: p (design-based)</t>
  </si>
  <si>
    <t xml:space="preserve">Interaction: Romano-Wolf p</t>
  </si>
  <si>
    <t xml:space="preserve">Minimum detectable interaction (2.8 s.e.)</t>
  </si>
  <si>
    <t xml:space="preserve">within noise</t>
  </si>
  <si>
    <t xml:space="preserve">beyond the correction</t>
  </si>
  <si>
    <t xml:space="preserve">on its own</t>
  </si>
  <si>
    <t xml:space="preserve">C and D. A member with a medical condition, on the whole analysis sample (check): 209 camp households and all but fewer than ten towns households, of which 45 (camp) and nearly all of the 51 with the item (towns) have the item</t>
  </si>
  <si>
    <t xml:space="preserve">analysis sample</t>
  </si>
  <si>
    <t xml:space="preserve">C and D. Sickness among the shocks, within the common support of design 1: 116 camp households and 95 towns households, of which 28 (camp) and nearly all of the 24 with the item (towns) have the item</t>
  </si>
  <si>
    <t xml:space="preserve">C and D. Sickness among the shocks, on the whole analysis sample (check): 209 camp households and all but fewer than ten towns households, of which nearly all of the 52 with the item (camp) and nearly all of the 24 with the item (towns) have the item</t>
  </si>
  <si>
    <t xml:space="preserve">B. A member with a medical condition: each outcome by item, camp households, all households</t>
  </si>
  <si>
    <t xml:space="preserve">With the item: households</t>
  </si>
  <si>
    <t xml:space="preserve">With the item: share or mean</t>
  </si>
  <si>
    <t xml:space="preserve">Without the item: households</t>
  </si>
  <si>
    <t xml:space="preserve">Without the item: share or mean</t>
  </si>
  <si>
    <t xml:space="preserve">Difference (with minus without)</t>
  </si>
  <si>
    <t xml:space="preserve">Margin (1.96 s.e.)</t>
  </si>
  <si>
    <t xml:space="preserve">within the margin</t>
  </si>
  <si>
    <t xml:space="preserve">not shown (a cell is masked or withheld)</t>
  </si>
  <si>
    <t xml:space="preserve">at the edge of the margin</t>
  </si>
  <si>
    <t xml:space="preserve">beyond the margin</t>
  </si>
  <si>
    <t xml:space="preserve">B. A member with a medical condition: each outcome by item, towns households, all households</t>
  </si>
  <si>
    <t xml:space="preserve">B. Sickness among the shocks: each outcome by item, camp households, all households</t>
  </si>
  <si>
    <t xml:space="preserve">B. Sickness among the shocks: each outcome by item, towns households, all households</t>
  </si>
  <si>
    <t xml:space="preserve">E. A member with a medical condition: the shock by item, camp households, all households (the responses given the shock, by item, are computed and replicated but not printed: sixth edition, see the How it was done sheet)</t>
  </si>
  <si>
    <t xml:space="preserve">Income fell since arrival, by item</t>
  </si>
  <si>
    <t xml:space="preserve">E. A member with a medical condition: the shock by item, towns households, all households (the responses given the shock, by item, are computed and replicated but not printed: sixth edition, see the How it was done sheet)</t>
  </si>
  <si>
    <t xml:space="preserve">E. Sickness among the shocks: the shock by item, camp households, all households (the responses given the shock, by item, are computed and replicated but not printed: sixth edition, see the How it was done sheet)</t>
  </si>
  <si>
    <t xml:space="preserve">E. Sickness among the shocks: the shock by item, towns households, all households (the responses given the shock, by item, are computed and replicated but not printed: sixth edition, see the How it was done sheet)</t>
  </si>
  <si>
    <t xml:space="preserve">Sample, propensity score and common support</t>
  </si>
  <si>
    <t xml:space="preserve">The propensity score is the probability of living in the towns given the pre-war traits, from a logistic regression. The odds ratio of a trait is EXP(coefficient): how many times the odds of living in the towns are multiplied when the trait is present (or per unit, for household size). Common support: households with a score between 0.1 and 0.9; the score is re-estimated within that region. Effective camp households: Kish effective sample size of the camp weights e/(1 - e), the number of equally weighted households the reweighted camp is worth.</t>
  </si>
  <si>
    <t xml:space="preserve">Design 1 (nine traits)</t>
  </si>
  <si>
    <t xml:space="preserve">Note</t>
  </si>
  <si>
    <t xml:space="preserve">Households with every trait observed: camp</t>
  </si>
  <si>
    <t xml:space="preserve">Households with a blank in any design or respondent trait are left out (a blank is a missing value).</t>
  </si>
  <si>
    <t xml:space="preserve">Households with every trait observed: towns</t>
  </si>
  <si>
    <t xml:space="preserve">Masked: with the group total of 134, the count would fix the number of towns households left out, which is below ten.</t>
  </si>
  <si>
    <t xml:space="preserve">McFadden's pseudo R2 of the logit</t>
  </si>
  <si>
    <t xml:space="preserve">Area under the ROC curve</t>
  </si>
  <si>
    <t xml:space="preserve">0.5 would be a coin toss; 1 perfect separation.</t>
  </si>
  <si>
    <t xml:space="preserve">Camp households off support (score below 0.1)</t>
  </si>
  <si>
    <t xml:space="preserve">Towns households off support (score above 0.9)</t>
  </si>
  <si>
    <t xml:space="preserve">Withheld: added to the towns households within the support it would give the towns analysis sample, which is masked (sixth edition).</t>
  </si>
  <si>
    <t xml:space="preserve">Camp households within support</t>
  </si>
  <si>
    <t xml:space="preserve">Towns households within support</t>
  </si>
  <si>
    <t xml:space="preserve">Effective camp households, reweighted to the towns, all</t>
  </si>
  <si>
    <t xml:space="preserve">Effective camp households, reweighted to the towns, within support</t>
  </si>
  <si>
    <t xml:space="preserve">The precision of every adjusted estimate is bounded by this number.</t>
  </si>
  <si>
    <t xml:space="preserve">Score quantiles (10, 25, 50, 75, 90 per cent)</t>
  </si>
  <si>
    <t xml:space="preserve">Group and specification</t>
  </si>
  <si>
    <t xml:space="preserve">10%</t>
  </si>
  <si>
    <t xml:space="preserve">25%</t>
  </si>
  <si>
    <t xml:space="preserve">50%</t>
  </si>
  <si>
    <t xml:space="preserve">75%</t>
  </si>
  <si>
    <t xml:space="preserve">90%</t>
  </si>
  <si>
    <t xml:space="preserve">Camp, design 1</t>
  </si>
  <si>
    <t xml:space="preserve">Towns, design 1</t>
  </si>
  <si>
    <t xml:space="preserve">Camp, eight traits</t>
  </si>
  <si>
    <t xml:space="preserve">Towns, eight traits</t>
  </si>
  <si>
    <t xml:space="preserve">Logit coefficients (whole analysis sample)</t>
  </si>
  <si>
    <t xml:space="preserve">Trait</t>
  </si>
  <si>
    <t xml:space="preserve">Design 1: coefficient</t>
  </si>
  <si>
    <t xml:space="preserve">Design 1: odds ratio</t>
  </si>
  <si>
    <t xml:space="preserve">Eight traits: coefficient</t>
  </si>
  <si>
    <t xml:space="preserve">Eight traits: odds ratio</t>
  </si>
  <si>
    <t xml:space="preserve">Constant</t>
  </si>
  <si>
    <t xml:space="preserve">Urban origin</t>
  </si>
  <si>
    <t xml:space="preserve">Savings in Syria</t>
  </si>
  <si>
    <t xml:space="preserve">Business in Syria</t>
  </si>
  <si>
    <t xml:space="preserve">Car in Syria</t>
  </si>
  <si>
    <t xml:space="preserve">Origin in Daraa</t>
  </si>
  <si>
    <t xml:space="preserve">Household size</t>
  </si>
  <si>
    <t xml:space="preserve">Arrived by 2012</t>
  </si>
  <si>
    <t xml:space="preserve">Pension in Syria</t>
  </si>
  <si>
    <t xml:space="preserve">not in the model</t>
  </si>
  <si>
    <t xml:space="preserve">Took vacations in Syria</t>
  </si>
  <si>
    <t xml:space="preserve">Balance of the traits: standardized differences, towns minus camp</t>
  </si>
  <si>
    <t xml:space="preserve">Standardized difference = difference of means divided by the pooled standard deviation sqrt((variance towns + variance camp)/2); 0.1 is the usual threshold. Columns: the whole analysis sample without weights; the support region without weights; the support region with the inverse probability weights; the support region with entropy weights (which equate the means of the design traits by construction). The six traits at the bottom were left out of the design on purpose: if selection ran only through the design traits they would balance after weighting; where they do not, selection reaches beyond the model.</t>
  </si>
  <si>
    <t xml:space="preserve">Role</t>
  </si>
  <si>
    <t xml:space="preserve">Design 1: whole sample</t>
  </si>
  <si>
    <t xml:space="preserve">Design 1: support, no weights</t>
  </si>
  <si>
    <t xml:space="preserve">Design 1: support, IPW</t>
  </si>
  <si>
    <t xml:space="preserve">Design 1: support, entropy</t>
  </si>
  <si>
    <t xml:space="preserve">Eight traits: whole sample</t>
  </si>
  <si>
    <t xml:space="preserve">Eight traits: support, no weights</t>
  </si>
  <si>
    <t xml:space="preserve">Eight traits: support, IPW</t>
  </si>
  <si>
    <t xml:space="preserve">Eight traits: support, entropy</t>
  </si>
  <si>
    <t xml:space="preserve">design trait</t>
  </si>
  <si>
    <t xml:space="preserve">design trait (left out in the eight-trait spec.)</t>
  </si>
  <si>
    <t xml:space="preserve">0.6</t>
  </si>
  <si>
    <t xml:space="preserve">Respondent is a woman</t>
  </si>
  <si>
    <t xml:space="preserve">respondent trait (outcome model only)</t>
  </si>
  <si>
    <t xml:space="preserve">Respondent's age</t>
  </si>
  <si>
    <t xml:space="preserve">Secondary school or more</t>
  </si>
  <si>
    <t xml:space="preserve">Outings in Syria</t>
  </si>
  <si>
    <t xml:space="preserve">left out, balance test</t>
  </si>
  <si>
    <t xml:space="preserve">Debts in Syria</t>
  </si>
  <si>
    <t xml:space="preserve">Informal work in Syria</t>
  </si>
  <si>
    <t xml:space="preserve">Owned the home in Syria</t>
  </si>
  <si>
    <t xml:space="preserve">Loans in Syria</t>
  </si>
  <si>
    <t xml:space="preserve">Income in Syria (log)</t>
  </si>
  <si>
    <t xml:space="preserve">Summary (design 1 columns use its nine design traits and six left-out traits; eight-trait columns use seven design traits and eight left-out traits)</t>
  </si>
  <si>
    <t xml:space="preserve">Largest absolute difference, design traits</t>
  </si>
  <si>
    <t xml:space="preserve">Largest absolute difference, traits left out</t>
  </si>
  <si>
    <t xml:space="preserve">Design traits above 0.1 in absolute value</t>
  </si>
  <si>
    <t xml:space="preserve">Traits left out above 0.1 in absolute value</t>
  </si>
  <si>
    <t xml:space="preserve">Effective camp households (support)</t>
  </si>
  <si>
    <t xml:space="preserve">The twelve outcomes of the main family and the fifteen of the shocks family under six estimators, within the common support (towns minus camp)</t>
  </si>
  <si>
    <t xml:space="preserve">Each estimate with its stratified-bootstrap standard error (400 draws; the score, the trimming, the weights and the matches are re-estimated in every draw). t = estimate over standard error. The nearest-neighbour estimator matches each towns household to the closest camp household in the same savings and origin cell within a caliper of 0.2 standard deviations of the logit of the score, with regression adjustment for the remaining distance; it uses fewer households and is the noisiest. "Whole sample" columns use every household with the traits observed (the analysis sample), not only the support region. Ate less and asked for assistance belong to both families and appear twice with the same values.</t>
  </si>
  <si>
    <t xml:space="preserve">Specification</t>
  </si>
  <si>
    <t xml:space="preserve">Camp with the outcome (support)</t>
  </si>
  <si>
    <t xml:space="preserve">Towns with the outcome (support)</t>
  </si>
  <si>
    <t xml:space="preserve">Raw difference: t</t>
  </si>
  <si>
    <t xml:space="preserve">OLS with controls: t</t>
  </si>
  <si>
    <t xml:space="preserve">Inverse probability weights: t</t>
  </si>
  <si>
    <t xml:space="preserve">AIPW (doubly robust): t</t>
  </si>
  <si>
    <t xml:space="preserve">Entropy balancing: t</t>
  </si>
  <si>
    <t xml:space="preserve">Nearest neighbour, bias adjusted: t</t>
  </si>
  <si>
    <t xml:space="preserve">Matched towns households (NN)</t>
  </si>
  <si>
    <t xml:space="preserve">OLS whole sample: estimate</t>
  </si>
  <si>
    <t xml:space="preserve">OLS whole sample: s.e.</t>
  </si>
  <si>
    <t xml:space="preserve">Raw whole sample: estimate</t>
  </si>
  <si>
    <t xml:space="preserve">Raw whole sample: s.e.</t>
  </si>
  <si>
    <t xml:space="preserve">Design 1, shocks family</t>
  </si>
  <si>
    <t xml:space="preserve">Eight traits, shocks family</t>
  </si>
  <si>
    <t xml:space="preserve">The same OLS and AIPW differences under five ways of computing uncertainty</t>
  </si>
  <si>
    <t xml:space="preserve">Rule declared beforehand: the standard error that follows the sampling design (strata: the twelve camp districts, with the few households without a district joining the largest one, and the towns places, with the three places under ten households merged) is the primary one; the others are checks, and where they disagree the most conservative is reported. (a) HC1 heteroskedasticity-robust; (b) linearized with strata; (c) bootstrap resampling households within strata, 999 draws; (d) wild cluster bootstrap over the strata treated as clusters, null imposed, 999 draws (the earlier, questionable choice: the treatment is constant within each cluster and three towns strata are small); (e) permutation of the place label within quintiles of the propensity score, 999 permutations, a Fisher-type test of the sharp null given the traits. Romano and Wolf: stepdown correction for testing the outcomes of a family at once (twelve in the main family, fifteen in the shocks family), from the centred bootstrap distribution of the largest t statistic; the last column applies the same correction over the 25 distinct outcomes of both families together (design 1 only).</t>
  </si>
  <si>
    <t xml:space="preserve">(a) HC1 s.e.</t>
  </si>
  <si>
    <t xml:space="preserve">(a) p</t>
  </si>
  <si>
    <t xml:space="preserve">(b) design-based s.e.</t>
  </si>
  <si>
    <t xml:space="preserve">(b) p</t>
  </si>
  <si>
    <t xml:space="preserve">(c) stratified bootstrap s.e.</t>
  </si>
  <si>
    <t xml:space="preserve">(c) p</t>
  </si>
  <si>
    <t xml:space="preserve">(d) wild cluster p</t>
  </si>
  <si>
    <t xml:space="preserve">(e) permutation p</t>
  </si>
  <si>
    <t xml:space="preserve">Romano-Wolf p (within the family)</t>
  </si>
  <si>
    <t xml:space="preserve">AIPW stratified bootstrap s.e.</t>
  </si>
  <si>
    <t xml:space="preserve">AIPW p (bootstrap)</t>
  </si>
  <si>
    <t xml:space="preserve">AIPW p (permutation)</t>
  </si>
  <si>
    <t xml:space="preserve">Romano-Wolf p (25 distinct outcomes)</t>
  </si>
  <si>
    <t xml:space="preserve">Sensitivity of the OLS difference to selection on unobserved traits</t>
  </si>
  <si>
    <t xml:space="preserve">All on the OLS within support with classical standard errors (the formulas of the two methods are written for them). Oster (2019), exact formulas of psacalc: beta* is the difference once unobserved traits are allowed to select households as strongly as the observed ones do (delta = 1) with Rmax = 1.3 times the controlled R2; delta* is the strength of that unobserved selection, relative to the observed, that would bring the difference to zero (above 1 is the usual bar). Oster's method is uninformative when the controls add almost nothing to the R2 (integration: 0.26 to 0.28): the extrapolation to Rmax then rests on a change too small to carry it. Cinelli and Hazlett (2020): the robustness value RV is the share of residual variance, in both the place of residence and the outcome, that an unobserved trait would need to explain to bring the difference to zero; RV for significance, to make it lose significance at 5%. Benchmarks: the bounds a trait as strong as urban origin, savings or pension in Syria would reach (kd = ky = 1, formal bounds as in sensemakr), and the difference once a confounder that strong is removed. Tenth edition: for the outcomes whose raw difference the Estimates sheet withholds (a cell below ten within the support, or a masked cell that the counts would give), the R2 without controls, the R2 with controls, Rmax and the two Oster quantities read "withheld (protects another cell)": with the controlled estimate the Oster quantities give the uncontrolled difference back, and the R2 with controls, with the classical standard error, gives the variance of the outcome and so its count (the R2 with controls and Rmax since 23 October 2026).</t>
  </si>
  <si>
    <t xml:space="preserve">Classical s.e.</t>
  </si>
  <si>
    <t xml:space="preserve">R2 without controls</t>
  </si>
  <si>
    <t xml:space="preserve">R2 with controls</t>
  </si>
  <si>
    <t xml:space="preserve">Rmax</t>
  </si>
  <si>
    <t xml:space="preserve">Oster beta* (delta 1)</t>
  </si>
  <si>
    <t xml:space="preserve">Oster delta*</t>
  </si>
  <si>
    <t xml:space="preserve">RV (to zero)</t>
  </si>
  <si>
    <t xml:space="preserve">RV (significance at 5%)</t>
  </si>
  <si>
    <t xml:space="preserve">Partial R2 of place</t>
  </si>
  <si>
    <t xml:space="preserve">Urban origin: bound R2 with place</t>
  </si>
  <si>
    <t xml:space="preserve">Urban origin: bound R2 with outcome</t>
  </si>
  <si>
    <t xml:space="preserve">Urban origin: adjusted estimate</t>
  </si>
  <si>
    <t xml:space="preserve">Urban origin: adjusted t</t>
  </si>
  <si>
    <t xml:space="preserve">Savings in Syria: bound R2 with place</t>
  </si>
  <si>
    <t xml:space="preserve">Savings in Syria: bound R2 with outcome</t>
  </si>
  <si>
    <t xml:space="preserve">Savings in Syria: adjusted estimate</t>
  </si>
  <si>
    <t xml:space="preserve">Savings in Syria: adjusted t</t>
  </si>
  <si>
    <t xml:space="preserve">Pension in Syria: bound R2 with place</t>
  </si>
  <si>
    <t xml:space="preserve">Pension in Syria: bound R2 with outcome</t>
  </si>
  <si>
    <t xml:space="preserve">Pension in Syria: adjusted estimate</t>
  </si>
  <si>
    <t xml:space="preserve">Pension in Syria: adjusted t</t>
  </si>
  <si>
    <t xml:space="preserve">Minimum detectable difference within the support (80% power, 5% two sided)</t>
  </si>
  <si>
    <t xml:space="preserve">MDD = 2.8 x sqrt(sd_towns^2 / n_towns + sd_camp^2 / n_camp), with the observed standard deviations of each outcome in the support region. The second version replaces the camp count by the effective number of camp households under the ATT weights, which is what the adjusted estimators actually use. Differences smaller than these cannot be told from zero with this sample, whatever their true size.</t>
  </si>
  <si>
    <t xml:space="preserve">SD towns</t>
  </si>
  <si>
    <t xml:space="preserve">SD camp</t>
  </si>
  <si>
    <t xml:space="preserve">Towns with the outcome</t>
  </si>
  <si>
    <t xml:space="preserve">Camp with the outcome</t>
  </si>
  <si>
    <t xml:space="preserve">Effective camp households</t>
  </si>
  <si>
    <t xml:space="preserve">MDD, unweighted</t>
  </si>
  <si>
    <t xml:space="preserve">MDD, towns vs reweighted camp</t>
  </si>
  <si>
    <t xml:space="preserve">Sixth edition: for a yes or no outcome the standard deviation with its base gives the share and so the count, so the two standard deviations and the unweighted MDD are withheld where a cell within the support is below ten (refrigerator in the towns, a member lost a job in the towns, income fell in the camp, in one or both specifications); for income fell under design 1 the weighted MDD is withheld too, because the towns households whose income fell within the support are printed on the Decomposition sheet and the camp cell would follow. Tenth edition: the same is withheld for the eleven responses, in both families and both specifications, because with the means given the shock of the Decomposition sheet the towns households with a response within the support gave the masked cells of the households without the shock, and for sickness among the shocks, whose weighted MDD is withheld too; on the Estimates and Sensitivity sheets the raw difference, the R2 without controls, the R2 with controls, Rmax and the two Oster quantities of these rows are withheld, since each gives the counts back (the R2 with controls with the classical standard error).</t>
  </si>
  <si>
    <t xml:space="preserve">The three scales within each sex of the respondent (support region, towns minus camp)</t>
  </si>
  <si>
    <t xml:space="preserve">The scales describe the person who answered, and women answered far more often in the towns than in the camp (standardized difference 0.8 to 0.9), so the differences are shown separately by sex. OLS controls for the design traits, age and schooling; AIPW re-estimates the score within each sex.</t>
  </si>
  <si>
    <t xml:space="preserve">Sex of the respondent</t>
  </si>
  <si>
    <t xml:space="preserve">Camp households</t>
  </si>
  <si>
    <t xml:space="preserve">Towns households</t>
  </si>
  <si>
    <t xml:space="preserve">Scale</t>
  </si>
  <si>
    <t xml:space="preserve">Raw</t>
  </si>
  <si>
    <t xml:space="preserve">OLS</t>
  </si>
  <si>
    <t xml:space="preserve">AIPW</t>
  </si>
  <si>
    <t xml:space="preserve">women</t>
  </si>
  <si>
    <t xml:space="preserve">men</t>
  </si>
  <si>
    <t xml:space="preserve">The published matching table of the thesis, reproduced from the do-file</t>
  </si>
  <si>
    <t xml:space="preserve">Source: Pacdev dofile.do (March 2017) and Table 5 of Felipe Rodriguez-Preliminary Results.docx (April 2017). Estimator: teffects nnmatch defaults: ATE, one neighbour, Mahalanobis on the pooled covariance, ties used, no bias adjustment; standard errors of Abadie and Imbens with two same-group neighbours. The shocks and employment outcomes match the published table when estimated on the full data set, not after the drops of the coping block that precede them in the do-file. Difference in s.e. = (replication minus published) over the published standard error.</t>
  </si>
  <si>
    <t xml:space="preserve">Outcome (variable of the thesis)</t>
  </si>
  <si>
    <t xml:space="preserve">Covariate set</t>
  </si>
  <si>
    <t xml:space="preserve">Households used</t>
  </si>
  <si>
    <t xml:space="preserve">Replication</t>
  </si>
  <si>
    <t xml:space="preserve">Replication s.e. (Abadie-Imbens)</t>
  </si>
  <si>
    <t xml:space="preserve">Published</t>
  </si>
  <si>
    <t xml:space="preserve">Published s.e.</t>
  </si>
  <si>
    <t xml:space="preserve">Difference</t>
  </si>
  <si>
    <t xml:space="preserve">Difference in published s.e.</t>
  </si>
  <si>
    <t xml:space="preserve">DecreaseinIncome</t>
  </si>
  <si>
    <t xml:space="preserve">B</t>
  </si>
  <si>
    <t xml:space="preserve">ExpIncratio</t>
  </si>
  <si>
    <t xml:space="preserve">Illness</t>
  </si>
  <si>
    <t xml:space="preserve">InformalJobJordan</t>
  </si>
  <si>
    <t xml:space="preserve">A</t>
  </si>
  <si>
    <t xml:space="preserve">LossEmployment</t>
  </si>
  <si>
    <t xml:space="preserve">PersonalSecurity</t>
  </si>
  <si>
    <t xml:space="preserve">SatisfactionwithJobOpportunities</t>
  </si>
  <si>
    <t xml:space="preserve">Theft</t>
  </si>
  <si>
    <t xml:space="preserve">Unemployment</t>
  </si>
  <si>
    <t xml:space="preserve">childlabordummy</t>
  </si>
  <si>
    <t xml:space="preserve">happiness</t>
  </si>
  <si>
    <t xml:space="preserve">logExpensesJordan</t>
  </si>
  <si>
    <t xml:space="preserve">logIncomeJordan</t>
  </si>
  <si>
    <t xml:space="preserve">optimism</t>
  </si>
  <si>
    <t xml:space="preserve">personalintegration</t>
  </si>
  <si>
    <t xml:space="preserve">recfoodintakedummy</t>
  </si>
  <si>
    <t xml:space="preserve">redexeducdummy</t>
  </si>
  <si>
    <t xml:space="preserve">redhhcondummy</t>
  </si>
  <si>
    <t xml:space="preserve">sellassetsdummy</t>
  </si>
  <si>
    <t xml:space="preserve">Largest absolute difference</t>
  </si>
  <si>
    <t xml:space="preserve">Shocks since arrival and the responses to them, by group: descriptive tables over all households</t>
  </si>
  <si>
    <t xml:space="preserve">From the step 3 aggregates (the same counts as the Cuts sheets of the step 3 workbook), all 391 households, no weights: the raw picture that the design then adjusts. Share = households with the answer over households answering. The reported cause of the fall in income comes from one open question coded into categories; within each group the categories with fewer than ten households are merged into "other causes", and when together they still fall short of ten the smallest of the remaining categories joins them (rising prices, in the towns). Cells with fewer than ten households read "fewer than 10", or "nearly all" when those missing from them are fewer than ten. The responses by cause are shown only for households whose income fell and that gave a cause; the households whose income did not fall or that gave no cause are left out of that table so that no masked cell can be worked out from it. A cell that reads "withheld (protects another cell)" is one the step 3 workbook withholds in its second protection pass (21 October 2026), because with the row for all households it would narrow a masked cell of another level; it is withheld here for the same reason.</t>
  </si>
  <si>
    <t xml:space="preserve">A. Shocks reported since arrival in Jordan</t>
  </si>
  <si>
    <t xml:space="preserve">Shock</t>
  </si>
  <si>
    <t xml:space="preserve">Camp: answering</t>
  </si>
  <si>
    <t xml:space="preserve">Towns: answering</t>
  </si>
  <si>
    <t xml:space="preserve">Difference, towns minus camp (points)</t>
  </si>
  <si>
    <t xml:space="preserve">Income fell</t>
  </si>
  <si>
    <t xml:space="preserve">A member lost a job</t>
  </si>
  <si>
    <t xml:space="preserve">Sickness (incidence only)</t>
  </si>
  <si>
    <t xml:space="preserve">Theft (not estimated: fewer than ten towns households)</t>
  </si>
  <si>
    <t xml:space="preserve">B. Reported cause of the fall in income (households whose income fell and that gave a cause)</t>
  </si>
  <si>
    <t xml:space="preserve">Cause</t>
  </si>
  <si>
    <t xml:space="preserve">Rising prices</t>
  </si>
  <si>
    <t xml:space="preserve">in other causes</t>
  </si>
  <si>
    <t xml:space="preserve">Cut in assistance</t>
  </si>
  <si>
    <t xml:space="preserve">Lack of work</t>
  </si>
  <si>
    <t xml:space="preserve">Other causes (in the towns: the categories under ten households and, so that the level reaches ten, rising prices)</t>
  </si>
  <si>
    <t xml:space="preserve">none</t>
  </si>
  <si>
    <t xml:space="preserve">Households whose income fell and gave a cause</t>
  </si>
  <si>
    <t xml:space="preserve">C. Responses used, by reported cause of the fall, within each group (households whose income fell and gave a cause)</t>
  </si>
  <si>
    <t xml:space="preserve">Camp: rising prices: households</t>
  </si>
  <si>
    <t xml:space="preserve">Camp: rising prices: answering</t>
  </si>
  <si>
    <t xml:space="preserve">Camp: rising prices: share</t>
  </si>
  <si>
    <t xml:space="preserve">Camp: lack of work: households</t>
  </si>
  <si>
    <t xml:space="preserve">Camp: lack of work: answering</t>
  </si>
  <si>
    <t xml:space="preserve">Camp: lack of work: share</t>
  </si>
  <si>
    <t xml:space="preserve">Camp: cut in assistance: households</t>
  </si>
  <si>
    <t xml:space="preserve">Camp: cut in assistance: answering</t>
  </si>
  <si>
    <t xml:space="preserve">Camp: cut in assistance: share</t>
  </si>
  <si>
    <t xml:space="preserve">Towns: cut in assistance: households</t>
  </si>
  <si>
    <t xml:space="preserve">Towns: cut in assistance: answering</t>
  </si>
  <si>
    <t xml:space="preserve">Towns: cut in assistance: share</t>
  </si>
  <si>
    <t xml:space="preserve">Towns: other causes: households</t>
  </si>
  <si>
    <t xml:space="preserve">Towns: other causes: answering</t>
  </si>
  <si>
    <t xml:space="preserve">Towns: other causes: share</t>
  </si>
  <si>
    <t xml:space="preserve">Households in the cell</t>
  </si>
  <si>
    <t xml:space="preserve">D. Number of responses used (0 to 11), by group</t>
  </si>
  <si>
    <t xml:space="preserve">Number of the eleven responses the household reports having used since arrival, defined for households that answered all eleven items. Means, quartiles and standard deviations; the within-support rows describe the households that enter the adjusted estimates of the Shocks verdict sheet.</t>
  </si>
  <si>
    <t xml:space="preserve">Group</t>
  </si>
  <si>
    <t xml:space="preserve">Mean</t>
  </si>
  <si>
    <t xml:space="preserve">Standard deviation</t>
  </si>
  <si>
    <t xml:space="preserve">First quartile</t>
  </si>
  <si>
    <t xml:space="preserve">Median</t>
  </si>
  <si>
    <t xml:space="preserve">Third quartile</t>
  </si>
  <si>
    <t xml:space="preserve">all households</t>
  </si>
  <si>
    <t xml:space="preserve">within support (design 1)</t>
  </si>
  <si>
    <t xml:space="preserve">A machine-learning check of design 1: the same estimand with flexible nuisance models, the selection model with ML, and the placebo with the left-out traits</t>
  </si>
  <si>
    <t xml:space="preserve">Declared before running (review/brief_decomposition_indices_ml.md, Part D). Double machine learning (Chernozhukov et al. 2018): the AIPW estimator of design 1 with its two inner models, the propensity (on the nine design traits) and the control outcome regression (on the nine plus the three respondent traits), replaced by cross-fitted learners: random forests (500 trees, leaves of five households), gradient boosting (depth 2, learning rate 0.05, number of trees by inner cross-validation) and a lasso on all pairwise interactions and squares (penalty by cross-validation). Five folds stratified by group, 10 repetitions averaged; propensities clipped to 0.02 and 0.98. Same support as design 1 (116 camp, 95 towns). Standard errors: the influence function of the DML score (primary) and, for the seven robust results and the four indices, a stratified bootstrap with 200 draws, tuning fixed, forests of 200 trees. Reading rule: an estimate "moves" if it falls outside the 95% interval of the parametric AIPW; a sign change or the loss of the robust tier is reported as such.</t>
  </si>
  <si>
    <t xml:space="preserve">Family</t>
  </si>
  <si>
    <t xml:space="preserve">Parametric AIPW: estimate</t>
  </si>
  <si>
    <t xml:space="preserve">Parametric AIPW: bootstrap s.e.</t>
  </si>
  <si>
    <t xml:space="preserve">Random forests: estimate</t>
  </si>
  <si>
    <t xml:space="preserve">Random forests: s.e. (influence function)</t>
  </si>
  <si>
    <t xml:space="preserve">Random forests: s.e. (bootstrap)</t>
  </si>
  <si>
    <t xml:space="preserve">Random forests: moves?</t>
  </si>
  <si>
    <t xml:space="preserve">Gradient boosting: estimate</t>
  </si>
  <si>
    <t xml:space="preserve">Gradient boosting: s.e. (influence function)</t>
  </si>
  <si>
    <t xml:space="preserve">Gradient boosting: s.e. (bootstrap)</t>
  </si>
  <si>
    <t xml:space="preserve">Gradient boosting: moves?</t>
  </si>
  <si>
    <t xml:space="preserve">Lasso with interactions: estimate</t>
  </si>
  <si>
    <t xml:space="preserve">Lasso with interactions: s.e. (influence function)</t>
  </si>
  <si>
    <t xml:space="preserve">Lasso with interactions: s.e. (bootstrap)</t>
  </si>
  <si>
    <t xml:space="preserve">Lasso with interactions: moves?</t>
  </si>
  <si>
    <t xml:space="preserve">main</t>
  </si>
  <si>
    <t xml:space="preserve">shocks</t>
  </si>
  <si>
    <t xml:space="preserve">indices</t>
  </si>
  <si>
    <t xml:space="preserve">Estimates that move (count)</t>
  </si>
  <si>
    <t xml:space="preserve">Propensity scores from the cross-fitted learners (within support)</t>
  </si>
  <si>
    <t xml:space="preserve">Learner</t>
  </si>
  <si>
    <t xml:space="preserve">Minimum</t>
  </si>
  <si>
    <t xml:space="preserve">Maximum</t>
  </si>
  <si>
    <t xml:space="preserve">Share below 0.1 or above 0.9</t>
  </si>
  <si>
    <t xml:space="preserve">Random forests</t>
  </si>
  <si>
    <t xml:space="preserve">Gradient boosting</t>
  </si>
  <si>
    <t xml:space="preserve">Lasso with interactions</t>
  </si>
  <si>
    <t xml:space="preserve">The selection model with ML: predicting the place of residence from the nine design traits, analysis sample (209 camp households and, in the towns, all but fewer than ten); 10 folds stratified by group, 10 repeats, seed 7</t>
  </si>
  <si>
    <t xml:space="preserve">Cross-validated AUC</t>
  </si>
  <si>
    <t xml:space="preserve">AUC, s.d. over repeats</t>
  </si>
  <si>
    <t xml:space="preserve">Brier score</t>
  </si>
  <si>
    <t xml:space="preserve">Off support with the cross-validated score: camp</t>
  </si>
  <si>
    <t xml:space="preserve">Off support: towns</t>
  </si>
  <si>
    <t xml:space="preserve">Logit of the design</t>
  </si>
  <si>
    <t xml:space="preserve">Permutation importance of the traits in the random forest (loss of out-of-fold AUC when the trait is shuffled)</t>
  </si>
  <si>
    <t xml:space="preserve">AUC loss</t>
  </si>
  <si>
    <t xml:space="preserve">Partial dependence of the forest score on the two leading traits (average predicted probability of living in the towns when the trait is set to the value)</t>
  </si>
  <si>
    <t xml:space="preserve">Value</t>
  </si>
  <si>
    <t xml:space="preserve">Average score</t>
  </si>
  <si>
    <t xml:space="preserve">Placebo with the six traits left out of the design (households with the six observed: all but fewer than ten of the camp households of the analysis sample and 108 towns households; within support: all but fewer than ten camp households and 81 towns households)</t>
  </si>
  <si>
    <t xml:space="preserve">Traits used</t>
  </si>
  <si>
    <t xml:space="preserve">Logit: AUC</t>
  </si>
  <si>
    <t xml:space="preserve">Logit: AUC s.d.</t>
  </si>
  <si>
    <t xml:space="preserve">Random forests: AUC</t>
  </si>
  <si>
    <t xml:space="preserve">Random forests: AUC s.d.</t>
  </si>
  <si>
    <t xml:space="preserve">Six left-out traits</t>
  </si>
  <si>
    <t xml:space="preserve">Nine design traits</t>
  </si>
  <si>
    <t xml:space="preserve">All fifteen</t>
  </si>
  <si>
    <t xml:space="preserve">within support, no weights</t>
  </si>
  <si>
    <t xml:space="preserve">within support, ATT weights</t>
  </si>
  <si>
    <t xml:space="preserve">Blind replication: the same declaration implemented by an independent instance that did not see the original code</t>
  </si>
  <si>
    <t xml:space="preserve">The replicator received only the written declaration (review/brief_blind_s4.md) and the data location; it implemented the logit, the trimming, the weights, the entropy balancing, the five estimators, the stratified bootstrap, the design-based errors, the exact Oster and Cinelli-Hazlett formulas, the within-sex estimates and the thesis estimator in its own scripts (on the author's computer, under blind/s4). 330 quantities compared: every point estimate, count, balance figure, standard error of the design, sensitivity value and thesis estimate coincides to the third decimal (or within the rounding of the sheet, where it shows two decimals); the bootstrap standard errors differ only by the random draws (by at most a tenth of their size). The replicator also found, on its own, that entropy balancing is infeasible in 16 of the 400 draws (the towns means fall outside the hull of the camp traits), which is why the entropy column rests on 384 draws, and that the thesis shocks and employment blocks reproduce the published table only on the full data.</t>
  </si>
  <si>
    <t xml:space="preserve">Quantity</t>
  </si>
  <si>
    <t xml:space="preserve">Original</t>
  </si>
  <si>
    <t xml:space="preserve">Blind replication</t>
  </si>
  <si>
    <t xml:space="preserve">Analysis sample: camp households</t>
  </si>
  <si>
    <t xml:space="preserve">identical</t>
  </si>
  <si>
    <t xml:space="preserve">Analysis sample: towns households</t>
  </si>
  <si>
    <t xml:space="preserve">Logit coefficient: business_s</t>
  </si>
  <si>
    <t xml:space="preserve">Logit coefficient: car_s</t>
  </si>
  <si>
    <t xml:space="preserve">Logit coefficient: const</t>
  </si>
  <si>
    <t xml:space="preserve">Logit coefficient: daraa</t>
  </si>
  <si>
    <t xml:space="preserve">Logit coefficient: early</t>
  </si>
  <si>
    <t xml:space="preserve">Logit coefficient: fsize</t>
  </si>
  <si>
    <t xml:space="preserve">Logit coefficient: pension_s</t>
  </si>
  <si>
    <t xml:space="preserve">Logit coefficient: savings_s</t>
  </si>
  <si>
    <t xml:space="preserve">Logit coefficient: urban</t>
  </si>
  <si>
    <t xml:space="preserve">Logit coefficient: vacations_s</t>
  </si>
  <si>
    <t xml:space="preserve">Logit: McFadden's pseudo R2</t>
  </si>
  <si>
    <t xml:space="preserve">Off support: camp</t>
  </si>
  <si>
    <t xml:space="preserve">Within support: camp</t>
  </si>
  <si>
    <t xml:space="preserve">Within support: towns</t>
  </si>
  <si>
    <t xml:space="preserve">Effective camp households within support</t>
  </si>
  <si>
    <t xml:space="preserve">Balance, urban: unweighted</t>
  </si>
  <si>
    <t xml:space="preserve">Balance, urban: IPW</t>
  </si>
  <si>
    <t xml:space="preserve">Balance, urban: entropy</t>
  </si>
  <si>
    <t xml:space="preserve">Balance, savings_s: unweighted</t>
  </si>
  <si>
    <t xml:space="preserve">Balance, savings_s: IPW</t>
  </si>
  <si>
    <t xml:space="preserve">Balance, savings_s: entropy</t>
  </si>
  <si>
    <t xml:space="preserve">Balance, business_s: unweighted</t>
  </si>
  <si>
    <t xml:space="preserve">Balance, business_s: IPW</t>
  </si>
  <si>
    <t xml:space="preserve">within rounding (the replicator reported three decimals, the sheet two)</t>
  </si>
  <si>
    <t xml:space="preserve">Balance, business_s: entropy</t>
  </si>
  <si>
    <t xml:space="preserve">Balance, car_s: unweighted</t>
  </si>
  <si>
    <t xml:space="preserve">Balance, car_s: IPW</t>
  </si>
  <si>
    <t xml:space="preserve">Balance, car_s: entropy</t>
  </si>
  <si>
    <t xml:space="preserve">Balance, daraa: unweighted</t>
  </si>
  <si>
    <t xml:space="preserve">Balance, daraa: IPW</t>
  </si>
  <si>
    <t xml:space="preserve">Balance, daraa: entropy</t>
  </si>
  <si>
    <t xml:space="preserve">Balance, fsize: unweighted</t>
  </si>
  <si>
    <t xml:space="preserve">Balance, fsize: IPW</t>
  </si>
  <si>
    <t xml:space="preserve">Balance, fsize: entropy</t>
  </si>
  <si>
    <t xml:space="preserve">Balance, early: unweighted</t>
  </si>
  <si>
    <t xml:space="preserve">Balance, early: IPW</t>
  </si>
  <si>
    <t xml:space="preserve">Balance, early: entropy</t>
  </si>
  <si>
    <t xml:space="preserve">Balance, pension_s: unweighted</t>
  </si>
  <si>
    <t xml:space="preserve">Balance, pension_s: IPW</t>
  </si>
  <si>
    <t xml:space="preserve">Balance, pension_s: entropy</t>
  </si>
  <si>
    <t xml:space="preserve">Balance, vacations_s: unweighted</t>
  </si>
  <si>
    <t xml:space="preserve">Balance, vacations_s: IPW</t>
  </si>
  <si>
    <t xml:space="preserve">Balance, vacations_s: entropy</t>
  </si>
  <si>
    <t xml:space="preserve">Balance, woman: unweighted</t>
  </si>
  <si>
    <t xml:space="preserve">Balance, woman: IPW</t>
  </si>
  <si>
    <t xml:space="preserve">Balance, woman: entropy</t>
  </si>
  <si>
    <t xml:space="preserve">Balance, age: unweighted</t>
  </si>
  <si>
    <t xml:space="preserve">Balance, age: IPW</t>
  </si>
  <si>
    <t xml:space="preserve">Balance, age: entropy</t>
  </si>
  <si>
    <t xml:space="preserve">Balance, hs: unweighted</t>
  </si>
  <si>
    <t xml:space="preserve">Balance, hs: IPW</t>
  </si>
  <si>
    <t xml:space="preserve">Balance, hs: entropy</t>
  </si>
  <si>
    <t xml:space="preserve">Balance, outings_s: unweighted</t>
  </si>
  <si>
    <t xml:space="preserve">Balance, outings_s: IPW</t>
  </si>
  <si>
    <t xml:space="preserve">Balance, outings_s: entropy</t>
  </si>
  <si>
    <t xml:space="preserve">Balance, debts_s: unweighted</t>
  </si>
  <si>
    <t xml:space="preserve">Balance, debts_s: IPW</t>
  </si>
  <si>
    <t xml:space="preserve">Balance, debts_s: entropy</t>
  </si>
  <si>
    <t xml:space="preserve">Balance, informal_s: unweighted</t>
  </si>
  <si>
    <t xml:space="preserve">Balance, informal_s: IPW</t>
  </si>
  <si>
    <t xml:space="preserve">Balance, informal_s: entropy</t>
  </si>
  <si>
    <t xml:space="preserve">Balance, own_home_s: unweighted</t>
  </si>
  <si>
    <t xml:space="preserve">Balance, own_home_s: IPW</t>
  </si>
  <si>
    <t xml:space="preserve">Balance, own_home_s: entropy</t>
  </si>
  <si>
    <t xml:space="preserve">Balance, loans_s: unweighted</t>
  </si>
  <si>
    <t xml:space="preserve">Balance, loans_s: IPW</t>
  </si>
  <si>
    <t xml:space="preserve">Balance, loans_s: entropy</t>
  </si>
  <si>
    <t xml:space="preserve">Balance, log_inc_s: unweighted</t>
  </si>
  <si>
    <t xml:space="preserve">Balance, log_inc_s: IPW</t>
  </si>
  <si>
    <t xml:space="preserve">Balance, log_inc_s: entropy</t>
  </si>
  <si>
    <t xml:space="preserve">Income from work: raw estimate</t>
  </si>
  <si>
    <t xml:space="preserve">Income from work: raw bootstrap s.e.</t>
  </si>
  <si>
    <t xml:space="preserve">bootstrap standard error: differs only by the random draws</t>
  </si>
  <si>
    <t xml:space="preserve">Income from work: ols estimate</t>
  </si>
  <si>
    <t xml:space="preserve">Income from work: ols bootstrap s.e.</t>
  </si>
  <si>
    <t xml:space="preserve">Income from work: ipw estimate</t>
  </si>
  <si>
    <t xml:space="preserve">Income from work: ipw bootstrap s.e.</t>
  </si>
  <si>
    <t xml:space="preserve">Income from work: aipw estimate</t>
  </si>
  <si>
    <t xml:space="preserve">Income from work: aipw bootstrap s.e.</t>
  </si>
  <si>
    <t xml:space="preserve">Income from work: entropy estimate</t>
  </si>
  <si>
    <t xml:space="preserve">Income from work: entropy bootstrap s.e.</t>
  </si>
  <si>
    <t xml:space="preserve">Spending above income: raw estimate</t>
  </si>
  <si>
    <t xml:space="preserve">Spending above income: raw bootstrap s.e.</t>
  </si>
  <si>
    <t xml:space="preserve">Spending above income: ols estimate</t>
  </si>
  <si>
    <t xml:space="preserve">Spending above income: ols bootstrap s.e.</t>
  </si>
  <si>
    <t xml:space="preserve">Spending above income: ipw estimate</t>
  </si>
  <si>
    <t xml:space="preserve">Spending above income: ipw bootstrap s.e.</t>
  </si>
  <si>
    <t xml:space="preserve">Spending above income: aipw estimate</t>
  </si>
  <si>
    <t xml:space="preserve">Spending above income: aipw bootstrap s.e.</t>
  </si>
  <si>
    <t xml:space="preserve">Spending above income: entropy estimate</t>
  </si>
  <si>
    <t xml:space="preserve">Spending above income: entropy bootstrap s.e.</t>
  </si>
  <si>
    <t xml:space="preserve">Has debts: raw estimate</t>
  </si>
  <si>
    <t xml:space="preserve">Has debts: raw bootstrap s.e.</t>
  </si>
  <si>
    <t xml:space="preserve">Has debts: ols estimate</t>
  </si>
  <si>
    <t xml:space="preserve">Has debts: ols bootstrap s.e.</t>
  </si>
  <si>
    <t xml:space="preserve">Has debts: ipw estimate</t>
  </si>
  <si>
    <t xml:space="preserve">Has debts: ipw bootstrap s.e.</t>
  </si>
  <si>
    <t xml:space="preserve">Has debts: aipw estimate</t>
  </si>
  <si>
    <t xml:space="preserve">Has debts: aipw bootstrap s.e.</t>
  </si>
  <si>
    <t xml:space="preserve">Has debts: entropy estimate</t>
  </si>
  <si>
    <t xml:space="preserve">Has debts: entropy bootstrap s.e.</t>
  </si>
  <si>
    <t xml:space="preserve">Refrigerator: raw estimate</t>
  </si>
  <si>
    <t xml:space="preserve">Refrigerator: raw bootstrap s.e.</t>
  </si>
  <si>
    <t xml:space="preserve">Refrigerator: ols estimate</t>
  </si>
  <si>
    <t xml:space="preserve">Refrigerator: ols bootstrap s.e.</t>
  </si>
  <si>
    <t xml:space="preserve">Refrigerator: ipw estimate</t>
  </si>
  <si>
    <t xml:space="preserve">Refrigerator: ipw bootstrap s.e.</t>
  </si>
  <si>
    <t xml:space="preserve">Refrigerator: aipw estimate</t>
  </si>
  <si>
    <t xml:space="preserve">Refrigerator: aipw bootstrap s.e.</t>
  </si>
  <si>
    <t xml:space="preserve">Refrigerator: entropy estimate</t>
  </si>
  <si>
    <t xml:space="preserve">Refrigerator: entropy bootstrap s.e.</t>
  </si>
  <si>
    <t xml:space="preserve">Stove: raw estimate</t>
  </si>
  <si>
    <t xml:space="preserve">Stove: raw bootstrap s.e.</t>
  </si>
  <si>
    <t xml:space="preserve">Stove: ols estimate</t>
  </si>
  <si>
    <t xml:space="preserve">Stove: ols bootstrap s.e.</t>
  </si>
  <si>
    <t xml:space="preserve">Stove: ipw estimate</t>
  </si>
  <si>
    <t xml:space="preserve">Stove: ipw bootstrap s.e.</t>
  </si>
  <si>
    <t xml:space="preserve">Stove: aipw estimate</t>
  </si>
  <si>
    <t xml:space="preserve">Stove: aipw bootstrap s.e.</t>
  </si>
  <si>
    <t xml:space="preserve">Stove: entropy estimate</t>
  </si>
  <si>
    <t xml:space="preserve">Stove: entropy bootstrap s.e.</t>
  </si>
  <si>
    <t xml:space="preserve">Security good or very good: raw estimate</t>
  </si>
  <si>
    <t xml:space="preserve">Security good or very good: raw bootstrap s.e.</t>
  </si>
  <si>
    <t xml:space="preserve">Security good or very good: ols estimate</t>
  </si>
  <si>
    <t xml:space="preserve">Security good or very good: ols bootstrap s.e.</t>
  </si>
  <si>
    <t xml:space="preserve">Security good or very good: ipw estimate</t>
  </si>
  <si>
    <t xml:space="preserve">Security good or very good: ipw bootstrap s.e.</t>
  </si>
  <si>
    <t xml:space="preserve">Security good or very good: aipw estimate</t>
  </si>
  <si>
    <t xml:space="preserve">Security good or very good: aipw bootstrap s.e.</t>
  </si>
  <si>
    <t xml:space="preserve">Security good or very good: entropy estimate</t>
  </si>
  <si>
    <t xml:space="preserve">Security good or very good: entropy bootstrap s.e.</t>
  </si>
  <si>
    <t xml:space="preserve">Ate less after a shock: raw estimate</t>
  </si>
  <si>
    <t xml:space="preserve">Ate less after a shock: raw bootstrap s.e.</t>
  </si>
  <si>
    <t xml:space="preserve">Ate less after a shock: ols estimate</t>
  </si>
  <si>
    <t xml:space="preserve">Ate less after a shock: ols bootstrap s.e.</t>
  </si>
  <si>
    <t xml:space="preserve">Ate less after a shock: ipw estimate</t>
  </si>
  <si>
    <t xml:space="preserve">Ate less after a shock: ipw bootstrap s.e.</t>
  </si>
  <si>
    <t xml:space="preserve">Ate less after a shock: aipw estimate</t>
  </si>
  <si>
    <t xml:space="preserve">Ate less after a shock: aipw bootstrap s.e.</t>
  </si>
  <si>
    <t xml:space="preserve">Ate less after a shock: entropy estimate</t>
  </si>
  <si>
    <t xml:space="preserve">Ate less after a shock: entropy bootstrap s.e.</t>
  </si>
  <si>
    <t xml:space="preserve">Asked for assistance: raw estimate</t>
  </si>
  <si>
    <t xml:space="preserve">Asked for assistance: raw bootstrap s.e.</t>
  </si>
  <si>
    <t xml:space="preserve">Asked for assistance: ols estimate</t>
  </si>
  <si>
    <t xml:space="preserve">Asked for assistance: ols bootstrap s.e.</t>
  </si>
  <si>
    <t xml:space="preserve">Asked for assistance: ipw estimate</t>
  </si>
  <si>
    <t xml:space="preserve">Asked for assistance: ipw bootstrap s.e.</t>
  </si>
  <si>
    <t xml:space="preserve">Asked for assistance: aipw estimate</t>
  </si>
  <si>
    <t xml:space="preserve">Asked for assistance: aipw bootstrap s.e.</t>
  </si>
  <si>
    <t xml:space="preserve">Asked for assistance: entropy estimate</t>
  </si>
  <si>
    <t xml:space="preserve">Asked for assistance: entropy bootstrap s.e.</t>
  </si>
  <si>
    <t xml:space="preserve">Spending per person (log): raw estimate</t>
  </si>
  <si>
    <t xml:space="preserve">Spending per person (log): raw bootstrap s.e.</t>
  </si>
  <si>
    <t xml:space="preserve">Spending per person (log): ols estimate</t>
  </si>
  <si>
    <t xml:space="preserve">Spending per person (log): ols bootstrap s.e.</t>
  </si>
  <si>
    <t xml:space="preserve">Spending per person (log): ipw estimate</t>
  </si>
  <si>
    <t xml:space="preserve">Spending per person (log): ipw bootstrap s.e.</t>
  </si>
  <si>
    <t xml:space="preserve">Spending per person (log): aipw estimate</t>
  </si>
  <si>
    <t xml:space="preserve">Spending per person (log): aipw bootstrap s.e.</t>
  </si>
  <si>
    <t xml:space="preserve">Spending per person (log): entropy estimate</t>
  </si>
  <si>
    <t xml:space="preserve">Spending per person (log): entropy bootstrap s.e.</t>
  </si>
  <si>
    <t xml:space="preserve">Self-rated integration: raw estimate</t>
  </si>
  <si>
    <t xml:space="preserve">Self-rated integration: raw bootstrap s.e.</t>
  </si>
  <si>
    <t xml:space="preserve">Self-rated integration: ols estimate</t>
  </si>
  <si>
    <t xml:space="preserve">Self-rated integration: ols bootstrap s.e.</t>
  </si>
  <si>
    <t xml:space="preserve">Self-rated integration: ipw estimate</t>
  </si>
  <si>
    <t xml:space="preserve">Self-rated integration: ipw bootstrap s.e.</t>
  </si>
  <si>
    <t xml:space="preserve">Self-rated integration: aipw estimate</t>
  </si>
  <si>
    <t xml:space="preserve">Self-rated integration: aipw bootstrap s.e.</t>
  </si>
  <si>
    <t xml:space="preserve">Self-rated integration: entropy estimate</t>
  </si>
  <si>
    <t xml:space="preserve">Self-rated integration: entropy bootstrap s.e.</t>
  </si>
  <si>
    <t xml:space="preserve">Optimism: raw estimate</t>
  </si>
  <si>
    <t xml:space="preserve">Optimism: raw bootstrap s.e.</t>
  </si>
  <si>
    <t xml:space="preserve">Optimism: ols estimate</t>
  </si>
  <si>
    <t xml:space="preserve">Optimism: ols bootstrap s.e.</t>
  </si>
  <si>
    <t xml:space="preserve">Optimism: ipw estimate</t>
  </si>
  <si>
    <t xml:space="preserve">Optimism: ipw bootstrap s.e.</t>
  </si>
  <si>
    <t xml:space="preserve">Optimism: aipw estimate</t>
  </si>
  <si>
    <t xml:space="preserve">Optimism: aipw bootstrap s.e.</t>
  </si>
  <si>
    <t xml:space="preserve">Optimism: entropy estimate</t>
  </si>
  <si>
    <t xml:space="preserve">Optimism: entropy bootstrap s.e.</t>
  </si>
  <si>
    <t xml:space="preserve">Happiness: raw estimate</t>
  </si>
  <si>
    <t xml:space="preserve">Happiness: raw bootstrap s.e.</t>
  </si>
  <si>
    <t xml:space="preserve">Happiness: ols estimate</t>
  </si>
  <si>
    <t xml:space="preserve">Happiness: ols bootstrap s.e.</t>
  </si>
  <si>
    <t xml:space="preserve">Happiness: ipw estimate</t>
  </si>
  <si>
    <t xml:space="preserve">Happiness: ipw bootstrap s.e.</t>
  </si>
  <si>
    <t xml:space="preserve">Happiness: aipw estimate</t>
  </si>
  <si>
    <t xml:space="preserve">Happiness: aipw bootstrap s.e.</t>
  </si>
  <si>
    <t xml:space="preserve">Happiness: entropy estimate</t>
  </si>
  <si>
    <t xml:space="preserve">Happiness: entropy bootstrap s.e.</t>
  </si>
  <si>
    <t xml:space="preserve">Income from work: OLS HC1 s.e.</t>
  </si>
  <si>
    <t xml:space="preserve">Income from work: OLS design-based s.e.</t>
  </si>
  <si>
    <t xml:space="preserve">Income from work: OLS design-based p</t>
  </si>
  <si>
    <t xml:space="preserve">Spending above income: OLS HC1 s.e.</t>
  </si>
  <si>
    <t xml:space="preserve">Spending above income: OLS design-based s.e.</t>
  </si>
  <si>
    <t xml:space="preserve">Spending above income: OLS design-based p</t>
  </si>
  <si>
    <t xml:space="preserve">Has debts: OLS HC1 s.e.</t>
  </si>
  <si>
    <t xml:space="preserve">Has debts: OLS design-based s.e.</t>
  </si>
  <si>
    <t xml:space="preserve">Has debts: OLS design-based p</t>
  </si>
  <si>
    <t xml:space="preserve">Refrigerator: OLS HC1 s.e.</t>
  </si>
  <si>
    <t xml:space="preserve">Refrigerator: OLS design-based s.e.</t>
  </si>
  <si>
    <t xml:space="preserve">Refrigerator: OLS design-based p</t>
  </si>
  <si>
    <t xml:space="preserve">Stove: OLS HC1 s.e.</t>
  </si>
  <si>
    <t xml:space="preserve">Stove: OLS design-based s.e.</t>
  </si>
  <si>
    <t xml:space="preserve">Stove: OLS design-based p</t>
  </si>
  <si>
    <t xml:space="preserve">Security good or very good: OLS HC1 s.e.</t>
  </si>
  <si>
    <t xml:space="preserve">Security good or very good: OLS design-based s.e.</t>
  </si>
  <si>
    <t xml:space="preserve">Security good or very good: OLS design-based p</t>
  </si>
  <si>
    <t xml:space="preserve">Ate less after a shock: OLS HC1 s.e.</t>
  </si>
  <si>
    <t xml:space="preserve">Ate less after a shock: OLS design-based s.e.</t>
  </si>
  <si>
    <t xml:space="preserve">Ate less after a shock: OLS design-based p</t>
  </si>
  <si>
    <t xml:space="preserve">Asked for assistance: OLS HC1 s.e.</t>
  </si>
  <si>
    <t xml:space="preserve">Asked for assistance: OLS design-based s.e.</t>
  </si>
  <si>
    <t xml:space="preserve">Asked for assistance: OLS design-based p</t>
  </si>
  <si>
    <t xml:space="preserve">Spending per person (log): OLS HC1 s.e.</t>
  </si>
  <si>
    <t xml:space="preserve">Spending per person (log): OLS design-based s.e.</t>
  </si>
  <si>
    <t xml:space="preserve">Spending per person (log): OLS design-based p</t>
  </si>
  <si>
    <t xml:space="preserve">Self-rated integration: OLS HC1 s.e.</t>
  </si>
  <si>
    <t xml:space="preserve">Self-rated integration: OLS design-based s.e.</t>
  </si>
  <si>
    <t xml:space="preserve">Self-rated integration: OLS design-based p</t>
  </si>
  <si>
    <t xml:space="preserve">Optimism: OLS HC1 s.e.</t>
  </si>
  <si>
    <t xml:space="preserve">Optimism: OLS design-based s.e.</t>
  </si>
  <si>
    <t xml:space="preserve">Optimism: OLS design-based p</t>
  </si>
  <si>
    <t xml:space="preserve">Happiness: OLS HC1 s.e.</t>
  </si>
  <si>
    <t xml:space="preserve">Happiness: OLS design-based s.e.</t>
  </si>
  <si>
    <t xml:space="preserve">Happiness: OLS design-based p</t>
  </si>
  <si>
    <t xml:space="preserve">Income from work: Oster beta*</t>
  </si>
  <si>
    <t xml:space="preserve">Income from work: Oster delta*</t>
  </si>
  <si>
    <t xml:space="preserve">Income from work: robustness value</t>
  </si>
  <si>
    <t xml:space="preserve">Income from work: robustness value for significance</t>
  </si>
  <si>
    <t xml:space="preserve">Spending above income: Oster beta*</t>
  </si>
  <si>
    <t xml:space="preserve">Spending above income: Oster delta*</t>
  </si>
  <si>
    <t xml:space="preserve">Spending above income: robustness value</t>
  </si>
  <si>
    <t xml:space="preserve">Spending above income: robustness value for significance</t>
  </si>
  <si>
    <t xml:space="preserve">Has debts: Oster beta*</t>
  </si>
  <si>
    <t xml:space="preserve">Has debts: Oster delta*</t>
  </si>
  <si>
    <t xml:space="preserve">Has debts: robustness value</t>
  </si>
  <si>
    <t xml:space="preserve">Has debts: robustness value for significance</t>
  </si>
  <si>
    <t xml:space="preserve">Refrigerator: Oster beta*</t>
  </si>
  <si>
    <t xml:space="preserve">Refrigerator: Oster delta*</t>
  </si>
  <si>
    <t xml:space="preserve">Refrigerator: robustness value</t>
  </si>
  <si>
    <t xml:space="preserve">Refrigerator: robustness value for significance</t>
  </si>
  <si>
    <t xml:space="preserve">Stove: Oster beta*</t>
  </si>
  <si>
    <t xml:space="preserve">Stove: Oster delta*</t>
  </si>
  <si>
    <t xml:space="preserve">Stove: robustness value</t>
  </si>
  <si>
    <t xml:space="preserve">Stove: robustness value for significance</t>
  </si>
  <si>
    <t xml:space="preserve">Security good or very good: Oster beta*</t>
  </si>
  <si>
    <t xml:space="preserve">Security good or very good: Oster delta*</t>
  </si>
  <si>
    <t xml:space="preserve">Security good or very good: robustness value</t>
  </si>
  <si>
    <t xml:space="preserve">Security good or very good: robustness value for significance</t>
  </si>
  <si>
    <t xml:space="preserve">Ate less after a shock: Oster beta*</t>
  </si>
  <si>
    <t xml:space="preserve">Ate less after a shock: Oster delta*</t>
  </si>
  <si>
    <t xml:space="preserve">Ate less after a shock: robustness value</t>
  </si>
  <si>
    <t xml:space="preserve">Ate less after a shock: robustness value for significance</t>
  </si>
  <si>
    <t xml:space="preserve">Asked for assistance: Oster beta*</t>
  </si>
  <si>
    <t xml:space="preserve">Asked for assistance: Oster delta*</t>
  </si>
  <si>
    <t xml:space="preserve">Asked for assistance: robustness value</t>
  </si>
  <si>
    <t xml:space="preserve">Asked for assistance: robustness value for significance</t>
  </si>
  <si>
    <t xml:space="preserve">Spending per person (log): Oster beta*</t>
  </si>
  <si>
    <t xml:space="preserve">Spending per person (log): Oster delta*</t>
  </si>
  <si>
    <t xml:space="preserve">Spending per person (log): robustness value</t>
  </si>
  <si>
    <t xml:space="preserve">Spending per person (log): robustness value for significance</t>
  </si>
  <si>
    <t xml:space="preserve">Self-rated integration: Oster beta*</t>
  </si>
  <si>
    <t xml:space="preserve">Self-rated integration: Oster delta*</t>
  </si>
  <si>
    <t xml:space="preserve">Self-rated integration: robustness value</t>
  </si>
  <si>
    <t xml:space="preserve">Self-rated integration: robustness value for significance</t>
  </si>
  <si>
    <t xml:space="preserve">Optimism: Oster beta*</t>
  </si>
  <si>
    <t xml:space="preserve">Optimism: Oster delta*</t>
  </si>
  <si>
    <t xml:space="preserve">Optimism: robustness value</t>
  </si>
  <si>
    <t xml:space="preserve">Optimism: robustness value for significance</t>
  </si>
  <si>
    <t xml:space="preserve">Happiness: Oster beta*</t>
  </si>
  <si>
    <t xml:space="preserve">Happiness: Oster delta*</t>
  </si>
  <si>
    <t xml:space="preserve">Happiness: robustness value</t>
  </si>
  <si>
    <t xml:space="preserve">Happiness: robustness value for significance</t>
  </si>
  <si>
    <t xml:space="preserve">Income from work: minimum detectable difference</t>
  </si>
  <si>
    <t xml:space="preserve">Spending above income: minimum detectable difference</t>
  </si>
  <si>
    <t xml:space="preserve">Has debts: minimum detectable difference</t>
  </si>
  <si>
    <t xml:space="preserve">Refrigerator: minimum detectable difference</t>
  </si>
  <si>
    <t xml:space="preserve">Stove: minimum detectable difference</t>
  </si>
  <si>
    <t xml:space="preserve">Security good or very good: minimum detectable difference</t>
  </si>
  <si>
    <t xml:space="preserve">Ate less after a shock: minimum detectable difference</t>
  </si>
  <si>
    <t xml:space="preserve">Asked for assistance: minimum detectable difference</t>
  </si>
  <si>
    <t xml:space="preserve">Spending per person (log): minimum detectable difference</t>
  </si>
  <si>
    <t xml:space="preserve">Self-rated integration: minimum detectable difference</t>
  </si>
  <si>
    <t xml:space="preserve">Optimism: minimum detectable difference</t>
  </si>
  <si>
    <t xml:space="preserve">Happiness: minimum detectable difference</t>
  </si>
  <si>
    <t xml:space="preserve">Within sex, women: camp households</t>
  </si>
  <si>
    <t xml:space="preserve">Within sex, women: towns households</t>
  </si>
  <si>
    <t xml:space="preserve">Within sex, women, Self-rated integration: raw</t>
  </si>
  <si>
    <t xml:space="preserve">Within sex, women, Self-rated integration: ols</t>
  </si>
  <si>
    <t xml:space="preserve">Within sex, women, Self-rated integration: aipw</t>
  </si>
  <si>
    <t xml:space="preserve">Within sex, women, Optimism: raw</t>
  </si>
  <si>
    <t xml:space="preserve">Within sex, women, Optimism: ols</t>
  </si>
  <si>
    <t xml:space="preserve">Within sex, women, Optimism: aipw</t>
  </si>
  <si>
    <t xml:space="preserve">Within sex, women, Happiness: raw</t>
  </si>
  <si>
    <t xml:space="preserve">Within sex, women, Happiness: ols</t>
  </si>
  <si>
    <t xml:space="preserve">Within sex, women, Happiness: aipw</t>
  </si>
  <si>
    <t xml:space="preserve">Within sex, men: camp households</t>
  </si>
  <si>
    <t xml:space="preserve">Within sex, men: towns households</t>
  </si>
  <si>
    <t xml:space="preserve">Within sex, men, Self-rated integration: raw</t>
  </si>
  <si>
    <t xml:space="preserve">Within sex, men, Self-rated integration: ols</t>
  </si>
  <si>
    <t xml:space="preserve">Within sex, men, Self-rated integration: aipw</t>
  </si>
  <si>
    <t xml:space="preserve">Within sex, men, Optimism: raw</t>
  </si>
  <si>
    <t xml:space="preserve">Within sex, men, Optimism: ols</t>
  </si>
  <si>
    <t xml:space="preserve">Within sex, men, Optimism: aipw</t>
  </si>
  <si>
    <t xml:space="preserve">Within sex, men, Happiness: raw</t>
  </si>
  <si>
    <t xml:space="preserve">Within sex, men, Happiness: ols</t>
  </si>
  <si>
    <t xml:space="preserve">Within sex, men, Happiness: aipw</t>
  </si>
  <si>
    <t xml:space="preserve">Thesis table, DecreaseinIncome: replication</t>
  </si>
  <si>
    <t xml:space="preserve">Thesis table, ExpIncratio: replication</t>
  </si>
  <si>
    <t xml:space="preserve">Thesis table, Illness: replication</t>
  </si>
  <si>
    <t xml:space="preserve">Thesis table, InformalJobJordan: replication</t>
  </si>
  <si>
    <t xml:space="preserve">Thesis table, LossEmployment: replication</t>
  </si>
  <si>
    <t xml:space="preserve">Thesis table, PersonalSecurity: replication</t>
  </si>
  <si>
    <t xml:space="preserve">Thesis table, SatisfactionwithJobOpportunities: replication</t>
  </si>
  <si>
    <t xml:space="preserve">Thesis table, Theft: replication</t>
  </si>
  <si>
    <t xml:space="preserve">Thesis table, Unemployment: replication</t>
  </si>
  <si>
    <t xml:space="preserve">Thesis table, childlabordummy: replication</t>
  </si>
  <si>
    <t xml:space="preserve">Thesis table, happiness: replication</t>
  </si>
  <si>
    <t xml:space="preserve">Thesis table, logExpensesJordan: replication</t>
  </si>
  <si>
    <t xml:space="preserve">Thesis table, logIncomeJordan: replication</t>
  </si>
  <si>
    <t xml:space="preserve">Thesis table, optimism: replication</t>
  </si>
  <si>
    <t xml:space="preserve">Thesis table, personalintegration: replication</t>
  </si>
  <si>
    <t xml:space="preserve">Thesis table, recfoodintakedummy: replication</t>
  </si>
  <si>
    <t xml:space="preserve">Thesis table, redexeducdummy: replication</t>
  </si>
  <si>
    <t xml:space="preserve">Thesis table, redhhcondummy: replication</t>
  </si>
  <si>
    <t xml:space="preserve">Thesis table, sellassetsdummy: replication</t>
  </si>
  <si>
    <t xml:space="preserve">Largest absolute difference, main family</t>
  </si>
  <si>
    <t xml:space="preserve">Shocks family (addendum to the same brief, replicated by the same independent instance)</t>
  </si>
  <si>
    <t xml:space="preserve">The replicator received the written declaration of the shocks family (review/brief_blind_s4_shocks.md) as an addendum to the first brief and computed the fifteen outcomes with its own scripts (on the author's computer, under blind/s4_shocks), on the same analysis sample, support, score and weights it had built for the first family. 350 quantities compared: every count, point estimate, standard error of the design, p value, sensitivity value, benchmark and minimum detectable difference coincides to the third decimal. Of the 75 bootstrap standard errors, 74 differ only by the random draws (by at most a tenth of their size); the OLS error of used savings differs by 13% (0.074 here, 0.085 in the replication). That gap was examined: five further seeds of the bootstrap here give 0.073 to 0.079, the replicator's draws contain a few extreme resamples (the robust spread of its draws is 0.080), and the two errors that do not depend on draws, design-based (0.076) and HC1 (0.078), coincide; no reading changes with either value. The replicator also noted, on its own, that the number of responses is defined only for households that answered all eleven items (one towns household within the support lacks it), and that it kept the sickness column only as an outcome, never as a regressor and never crossed with any place.</t>
  </si>
  <si>
    <t xml:space="preserve">Income fell: camp households with the outcome</t>
  </si>
  <si>
    <t xml:space="preserve">Income fell: towns households with the outcome</t>
  </si>
  <si>
    <t xml:space="preserve">Income fell: raw estimate</t>
  </si>
  <si>
    <t xml:space="preserve">Income fell: raw bootstrap s.e.</t>
  </si>
  <si>
    <t xml:space="preserve">Income fell: ols estimate</t>
  </si>
  <si>
    <t xml:space="preserve">Income fell: ols bootstrap s.e.</t>
  </si>
  <si>
    <t xml:space="preserve">Income fell: ipw estimate</t>
  </si>
  <si>
    <t xml:space="preserve">Income fell: ipw bootstrap s.e.</t>
  </si>
  <si>
    <t xml:space="preserve">Income fell: aipw estimate</t>
  </si>
  <si>
    <t xml:space="preserve">Income fell: aipw bootstrap s.e.</t>
  </si>
  <si>
    <t xml:space="preserve">Income fell: entropy estimate</t>
  </si>
  <si>
    <t xml:space="preserve">Income fell: entropy bootstrap s.e.</t>
  </si>
  <si>
    <t xml:space="preserve">A member lost a job: camp households with the outcome</t>
  </si>
  <si>
    <t xml:space="preserve">A member lost a job: towns households with the outcome</t>
  </si>
  <si>
    <t xml:space="preserve">A member lost a job: raw estimate</t>
  </si>
  <si>
    <t xml:space="preserve">A member lost a job: raw bootstrap s.e.</t>
  </si>
  <si>
    <t xml:space="preserve">A member lost a job: ols estimate</t>
  </si>
  <si>
    <t xml:space="preserve">A member lost a job: ols bootstrap s.e.</t>
  </si>
  <si>
    <t xml:space="preserve">A member lost a job: ipw estimate</t>
  </si>
  <si>
    <t xml:space="preserve">A member lost a job: ipw bootstrap s.e.</t>
  </si>
  <si>
    <t xml:space="preserve">A member lost a job: aipw estimate</t>
  </si>
  <si>
    <t xml:space="preserve">A member lost a job: aipw bootstrap s.e.</t>
  </si>
  <si>
    <t xml:space="preserve">A member lost a job: entropy estimate</t>
  </si>
  <si>
    <t xml:space="preserve">A member lost a job: entropy bootstrap s.e.</t>
  </si>
  <si>
    <t xml:space="preserve">Sickness among the shocks: camp households with the outcome</t>
  </si>
  <si>
    <t xml:space="preserve">Sickness among the shocks: towns households with the outcome</t>
  </si>
  <si>
    <t xml:space="preserve">Sickness among the shocks: raw estimate</t>
  </si>
  <si>
    <t xml:space="preserve">Sickness among the shocks: raw bootstrap s.e.</t>
  </si>
  <si>
    <t xml:space="preserve">Sickness among the shocks: ols estimate</t>
  </si>
  <si>
    <t xml:space="preserve">Sickness among the shocks: ols bootstrap s.e.</t>
  </si>
  <si>
    <t xml:space="preserve">Sickness among the shocks: ipw estimate</t>
  </si>
  <si>
    <t xml:space="preserve">Sickness among the shocks: ipw bootstrap s.e.</t>
  </si>
  <si>
    <t xml:space="preserve">Sickness among the shocks: aipw estimate</t>
  </si>
  <si>
    <t xml:space="preserve">Sickness among the shocks: aipw bootstrap s.e.</t>
  </si>
  <si>
    <t xml:space="preserve">Sickness among the shocks: entropy estimate</t>
  </si>
  <si>
    <t xml:space="preserve">Sickness among the shocks: entropy bootstrap s.e.</t>
  </si>
  <si>
    <t xml:space="preserve">Number of responses used (0 to 11): camp households with the outcome</t>
  </si>
  <si>
    <t xml:space="preserve">Number of responses used (0 to 11): towns households with the outcome</t>
  </si>
  <si>
    <t xml:space="preserve">Number of responses used (0 to 11): raw estimate</t>
  </si>
  <si>
    <t xml:space="preserve">Number of responses used (0 to 11): raw bootstrap s.e.</t>
  </si>
  <si>
    <t xml:space="preserve">Number of responses used (0 to 11): ols estimate</t>
  </si>
  <si>
    <t xml:space="preserve">Number of responses used (0 to 11): ols bootstrap s.e.</t>
  </si>
  <si>
    <t xml:space="preserve">Number of responses used (0 to 11): ipw estimate</t>
  </si>
  <si>
    <t xml:space="preserve">Number of responses used (0 to 11): ipw bootstrap s.e.</t>
  </si>
  <si>
    <t xml:space="preserve">Number of responses used (0 to 11): aipw estimate</t>
  </si>
  <si>
    <t xml:space="preserve">Number of responses used (0 to 11): aipw bootstrap s.e.</t>
  </si>
  <si>
    <t xml:space="preserve">Number of responses used (0 to 11): entropy estimate</t>
  </si>
  <si>
    <t xml:space="preserve">Number of responses used (0 to 11): entropy bootstrap s.e.</t>
  </si>
  <si>
    <t xml:space="preserve">Ate less: camp households with the outcome</t>
  </si>
  <si>
    <t xml:space="preserve">Ate less: towns households with the outcome</t>
  </si>
  <si>
    <t xml:space="preserve">Ate less: raw estimate</t>
  </si>
  <si>
    <t xml:space="preserve">Ate less: raw bootstrap s.e.</t>
  </si>
  <si>
    <t xml:space="preserve">Ate less: ols estimate</t>
  </si>
  <si>
    <t xml:space="preserve">Ate less: ols bootstrap s.e.</t>
  </si>
  <si>
    <t xml:space="preserve">Ate less: ipw estimate</t>
  </si>
  <si>
    <t xml:space="preserve">Ate less: ipw bootstrap s.e.</t>
  </si>
  <si>
    <t xml:space="preserve">Ate less: aipw estimate</t>
  </si>
  <si>
    <t xml:space="preserve">Ate less: aipw bootstrap s.e.</t>
  </si>
  <si>
    <t xml:space="preserve">Ate less: entropy estimate</t>
  </si>
  <si>
    <t xml:space="preserve">Ate less: entropy bootstrap s.e.</t>
  </si>
  <si>
    <t xml:space="preserve">Cut household spending: camp households with the outcome</t>
  </si>
  <si>
    <t xml:space="preserve">Cut household spending: towns households with the outcome</t>
  </si>
  <si>
    <t xml:space="preserve">Cut household spending: raw estimate</t>
  </si>
  <si>
    <t xml:space="preserve">Cut household spending: raw bootstrap s.e.</t>
  </si>
  <si>
    <t xml:space="preserve">Cut household spending: ols estimate</t>
  </si>
  <si>
    <t xml:space="preserve">Cut household spending: ols bootstrap s.e.</t>
  </si>
  <si>
    <t xml:space="preserve">Cut household spending: ipw estimate</t>
  </si>
  <si>
    <t xml:space="preserve">Cut household spending: ipw bootstrap s.e.</t>
  </si>
  <si>
    <t xml:space="preserve">Cut household spending: aipw estimate</t>
  </si>
  <si>
    <t xml:space="preserve">Cut household spending: aipw bootstrap s.e.</t>
  </si>
  <si>
    <t xml:space="preserve">Cut household spending: entropy estimate</t>
  </si>
  <si>
    <t xml:space="preserve">Cut household spending: entropy bootstrap s.e.</t>
  </si>
  <si>
    <t xml:space="preserve">Cut spending on education: camp households with the outcome</t>
  </si>
  <si>
    <t xml:space="preserve">Cut spending on education: towns households with the outcome</t>
  </si>
  <si>
    <t xml:space="preserve">Cut spending on education: raw estimate</t>
  </si>
  <si>
    <t xml:space="preserve">Cut spending on education: raw bootstrap s.e.</t>
  </si>
  <si>
    <t xml:space="preserve">Cut spending on education: ols estimate</t>
  </si>
  <si>
    <t xml:space="preserve">Cut spending on education: ols bootstrap s.e.</t>
  </si>
  <si>
    <t xml:space="preserve">Cut spending on education: ipw estimate</t>
  </si>
  <si>
    <t xml:space="preserve">Cut spending on education: ipw bootstrap s.e.</t>
  </si>
  <si>
    <t xml:space="preserve">Cut spending on education: aipw estimate</t>
  </si>
  <si>
    <t xml:space="preserve">Cut spending on education: aipw bootstrap s.e.</t>
  </si>
  <si>
    <t xml:space="preserve">Cut spending on education: entropy estimate</t>
  </si>
  <si>
    <t xml:space="preserve">Cut spending on education: entropy bootstrap s.e.</t>
  </si>
  <si>
    <t xml:space="preserve">A child worked: camp households with the outcome</t>
  </si>
  <si>
    <t xml:space="preserve">A child worked: towns households with the outcome</t>
  </si>
  <si>
    <t xml:space="preserve">A child worked: raw estimate</t>
  </si>
  <si>
    <t xml:space="preserve">A child worked: raw bootstrap s.e.</t>
  </si>
  <si>
    <t xml:space="preserve">A child worked: ols estimate</t>
  </si>
  <si>
    <t xml:space="preserve">A child worked: ols bootstrap s.e.</t>
  </si>
  <si>
    <t xml:space="preserve">A child worked: ipw estimate</t>
  </si>
  <si>
    <t xml:space="preserve">A child worked: ipw bootstrap s.e.</t>
  </si>
  <si>
    <t xml:space="preserve">A child worked: aipw estimate</t>
  </si>
  <si>
    <t xml:space="preserve">A child worked: aipw bootstrap s.e.</t>
  </si>
  <si>
    <t xml:space="preserve">A child worked: entropy estimate</t>
  </si>
  <si>
    <t xml:space="preserve">A child worked: entropy bootstrap s.e.</t>
  </si>
  <si>
    <t xml:space="preserve">Asked for a loan: camp households with the outcome</t>
  </si>
  <si>
    <t xml:space="preserve">Asked for a loan: towns households with the outcome</t>
  </si>
  <si>
    <t xml:space="preserve">Asked for a loan: raw estimate</t>
  </si>
  <si>
    <t xml:space="preserve">Asked for a loan: raw bootstrap s.e.</t>
  </si>
  <si>
    <t xml:space="preserve">Asked for a loan: ols estimate</t>
  </si>
  <si>
    <t xml:space="preserve">Asked for a loan: ols bootstrap s.e.</t>
  </si>
  <si>
    <t xml:space="preserve">Asked for a loan: ipw estimate</t>
  </si>
  <si>
    <t xml:space="preserve">Asked for a loan: ipw bootstrap s.e.</t>
  </si>
  <si>
    <t xml:space="preserve">Asked for a loan: aipw estimate</t>
  </si>
  <si>
    <t xml:space="preserve">Asked for a loan: aipw bootstrap s.e.</t>
  </si>
  <si>
    <t xml:space="preserve">Asked for a loan: entropy estimate</t>
  </si>
  <si>
    <t xml:space="preserve">Asked for a loan: entropy bootstrap s.e.</t>
  </si>
  <si>
    <t xml:space="preserve">Used savings: camp households with the outcome</t>
  </si>
  <si>
    <t xml:space="preserve">Used savings: towns households with the outcome</t>
  </si>
  <si>
    <t xml:space="preserve">Used savings: raw estimate</t>
  </si>
  <si>
    <t xml:space="preserve">Used savings: raw bootstrap s.e.</t>
  </si>
  <si>
    <t xml:space="preserve">Used savings: ols estimate</t>
  </si>
  <si>
    <t xml:space="preserve">Used savings: ols bootstrap s.e.</t>
  </si>
  <si>
    <t xml:space="preserve">bootstrap standard error: differs by 13%, more than the draws usually move it (see the note)</t>
  </si>
  <si>
    <t xml:space="preserve">Used savings: ipw estimate</t>
  </si>
  <si>
    <t xml:space="preserve">Used savings: ipw bootstrap s.e.</t>
  </si>
  <si>
    <t xml:space="preserve">Used savings: aipw estimate</t>
  </si>
  <si>
    <t xml:space="preserve">Used savings: aipw bootstrap s.e.</t>
  </si>
  <si>
    <t xml:space="preserve">Used savings: entropy estimate</t>
  </si>
  <si>
    <t xml:space="preserve">Used savings: entropy bootstrap s.e.</t>
  </si>
  <si>
    <t xml:space="preserve">Sold assets: camp households with the outcome</t>
  </si>
  <si>
    <t xml:space="preserve">Sold assets: towns households with the outcome</t>
  </si>
  <si>
    <t xml:space="preserve">Sold assets: raw estimate</t>
  </si>
  <si>
    <t xml:space="preserve">Sold assets: raw bootstrap s.e.</t>
  </si>
  <si>
    <t xml:space="preserve">Sold assets: ols estimate</t>
  </si>
  <si>
    <t xml:space="preserve">Sold assets: ols bootstrap s.e.</t>
  </si>
  <si>
    <t xml:space="preserve">Sold assets: ipw estimate</t>
  </si>
  <si>
    <t xml:space="preserve">Sold assets: ipw bootstrap s.e.</t>
  </si>
  <si>
    <t xml:space="preserve">Sold assets: aipw estimate</t>
  </si>
  <si>
    <t xml:space="preserve">Sold assets: aipw bootstrap s.e.</t>
  </si>
  <si>
    <t xml:space="preserve">Sold assets: entropy estimate</t>
  </si>
  <si>
    <t xml:space="preserve">Sold assets: entropy bootstrap s.e.</t>
  </si>
  <si>
    <t xml:space="preserve">Asked for assistance: camp households with the outcome</t>
  </si>
  <si>
    <t xml:space="preserve">Asked for assistance: towns households with the outcome</t>
  </si>
  <si>
    <t xml:space="preserve">Worked more hours: camp households with the outcome</t>
  </si>
  <si>
    <t xml:space="preserve">Worked more hours: towns households with the outcome</t>
  </si>
  <si>
    <t xml:space="preserve">Worked more hours: raw estimate</t>
  </si>
  <si>
    <t xml:space="preserve">Worked more hours: raw bootstrap s.e.</t>
  </si>
  <si>
    <t xml:space="preserve">Worked more hours: ols estimate</t>
  </si>
  <si>
    <t xml:space="preserve">Worked more hours: ols bootstrap s.e.</t>
  </si>
  <si>
    <t xml:space="preserve">Worked more hours: ipw estimate</t>
  </si>
  <si>
    <t xml:space="preserve">Worked more hours: ipw bootstrap s.e.</t>
  </si>
  <si>
    <t xml:space="preserve">Worked more hours: aipw estimate</t>
  </si>
  <si>
    <t xml:space="preserve">Worked more hours: aipw bootstrap s.e.</t>
  </si>
  <si>
    <t xml:space="preserve">Worked more hours: entropy estimate</t>
  </si>
  <si>
    <t xml:space="preserve">Worked more hours: entropy bootstrap s.e.</t>
  </si>
  <si>
    <t xml:space="preserve">Took a second job: camp households with the outcome</t>
  </si>
  <si>
    <t xml:space="preserve">Took a second job: towns households with the outcome</t>
  </si>
  <si>
    <t xml:space="preserve">Took a second job: raw estimate</t>
  </si>
  <si>
    <t xml:space="preserve">Took a second job: raw bootstrap s.e.</t>
  </si>
  <si>
    <t xml:space="preserve">Took a second job: ols estimate</t>
  </si>
  <si>
    <t xml:space="preserve">Took a second job: ols bootstrap s.e.</t>
  </si>
  <si>
    <t xml:space="preserve">Took a second job: ipw estimate</t>
  </si>
  <si>
    <t xml:space="preserve">Took a second job: ipw bootstrap s.e.</t>
  </si>
  <si>
    <t xml:space="preserve">Took a second job: aipw estimate</t>
  </si>
  <si>
    <t xml:space="preserve">Took a second job: aipw bootstrap s.e.</t>
  </si>
  <si>
    <t xml:space="preserve">Took a second job: entropy estimate</t>
  </si>
  <si>
    <t xml:space="preserve">Took a second job: entropy bootstrap s.e.</t>
  </si>
  <si>
    <t xml:space="preserve">Another member brought income: camp households with the outcome</t>
  </si>
  <si>
    <t xml:space="preserve">Another member brought income: towns households with the outcome</t>
  </si>
  <si>
    <t xml:space="preserve">Another member brought income: raw estimate</t>
  </si>
  <si>
    <t xml:space="preserve">Another member brought income: raw bootstrap s.e.</t>
  </si>
  <si>
    <t xml:space="preserve">Another member brought income: ols estimate</t>
  </si>
  <si>
    <t xml:space="preserve">Another member brought income: ols bootstrap s.e.</t>
  </si>
  <si>
    <t xml:space="preserve">Another member brought income: ipw estimate</t>
  </si>
  <si>
    <t xml:space="preserve">Another member brought income: ipw bootstrap s.e.</t>
  </si>
  <si>
    <t xml:space="preserve">Another member brought income: aipw estimate</t>
  </si>
  <si>
    <t xml:space="preserve">Another member brought income: aipw bootstrap s.e.</t>
  </si>
  <si>
    <t xml:space="preserve">Another member brought income: entropy estimate</t>
  </si>
  <si>
    <t xml:space="preserve">Another member brought income: entropy bootstrap s.e.</t>
  </si>
  <si>
    <t xml:space="preserve">Income fell: OLS HC1 s.e.</t>
  </si>
  <si>
    <t xml:space="preserve">Income fell: OLS design-based s.e.</t>
  </si>
  <si>
    <t xml:space="preserve">Income fell: OLS design-based p</t>
  </si>
  <si>
    <t xml:space="preserve">A member lost a job: OLS HC1 s.e.</t>
  </si>
  <si>
    <t xml:space="preserve">A member lost a job: OLS design-based s.e.</t>
  </si>
  <si>
    <t xml:space="preserve">A member lost a job: OLS design-based p</t>
  </si>
  <si>
    <t xml:space="preserve">Sickness among the shocks: OLS HC1 s.e.</t>
  </si>
  <si>
    <t xml:space="preserve">Sickness among the shocks: OLS design-based s.e.</t>
  </si>
  <si>
    <t xml:space="preserve">Sickness among the shocks: OLS design-based p</t>
  </si>
  <si>
    <t xml:space="preserve">Number of responses used (0 to 11): OLS HC1 s.e.</t>
  </si>
  <si>
    <t xml:space="preserve">Number of responses used (0 to 11): OLS design-based s.e.</t>
  </si>
  <si>
    <t xml:space="preserve">Number of responses used (0 to 11): OLS design-based p</t>
  </si>
  <si>
    <t xml:space="preserve">Ate less: OLS HC1 s.e.</t>
  </si>
  <si>
    <t xml:space="preserve">Ate less: OLS design-based s.e.</t>
  </si>
  <si>
    <t xml:space="preserve">Ate less: OLS design-based p</t>
  </si>
  <si>
    <t xml:space="preserve">Cut household spending: OLS HC1 s.e.</t>
  </si>
  <si>
    <t xml:space="preserve">Cut household spending: OLS design-based s.e.</t>
  </si>
  <si>
    <t xml:space="preserve">Cut household spending: OLS design-based p</t>
  </si>
  <si>
    <t xml:space="preserve">Cut spending on education: OLS HC1 s.e.</t>
  </si>
  <si>
    <t xml:space="preserve">Cut spending on education: OLS design-based s.e.</t>
  </si>
  <si>
    <t xml:space="preserve">Cut spending on education: OLS design-based p</t>
  </si>
  <si>
    <t xml:space="preserve">A child worked: OLS HC1 s.e.</t>
  </si>
  <si>
    <t xml:space="preserve">A child worked: OLS design-based s.e.</t>
  </si>
  <si>
    <t xml:space="preserve">A child worked: OLS design-based p</t>
  </si>
  <si>
    <t xml:space="preserve">Asked for a loan: OLS HC1 s.e.</t>
  </si>
  <si>
    <t xml:space="preserve">Asked for a loan: OLS design-based s.e.</t>
  </si>
  <si>
    <t xml:space="preserve">Asked for a loan: OLS design-based p</t>
  </si>
  <si>
    <t xml:space="preserve">Used savings: OLS HC1 s.e.</t>
  </si>
  <si>
    <t xml:space="preserve">Used savings: OLS design-based s.e.</t>
  </si>
  <si>
    <t xml:space="preserve">Used savings: OLS design-based p</t>
  </si>
  <si>
    <t xml:space="preserve">Sold assets: OLS HC1 s.e.</t>
  </si>
  <si>
    <t xml:space="preserve">Sold assets: OLS design-based s.e.</t>
  </si>
  <si>
    <t xml:space="preserve">Sold assets: OLS design-based p</t>
  </si>
  <si>
    <t xml:space="preserve">Worked more hours: OLS HC1 s.e.</t>
  </si>
  <si>
    <t xml:space="preserve">Worked more hours: OLS design-based s.e.</t>
  </si>
  <si>
    <t xml:space="preserve">Worked more hours: OLS design-based p</t>
  </si>
  <si>
    <t xml:space="preserve">Took a second job: OLS HC1 s.e.</t>
  </si>
  <si>
    <t xml:space="preserve">Took a second job: OLS design-based s.e.</t>
  </si>
  <si>
    <t xml:space="preserve">Took a second job: OLS design-based p</t>
  </si>
  <si>
    <t xml:space="preserve">Another member brought income: OLS HC1 s.e.</t>
  </si>
  <si>
    <t xml:space="preserve">Another member brought income: OLS design-based s.e.</t>
  </si>
  <si>
    <t xml:space="preserve">Another member brought income: OLS design-based p</t>
  </si>
  <si>
    <t xml:space="preserve">Income fell: Oster beta*</t>
  </si>
  <si>
    <t xml:space="preserve">Income fell: Oster delta*</t>
  </si>
  <si>
    <t xml:space="preserve">Income fell: robustness value</t>
  </si>
  <si>
    <t xml:space="preserve">Income fell: robustness value for significance</t>
  </si>
  <si>
    <t xml:space="preserve">Income fell: adjusted estimate, confounder as strong as urban</t>
  </si>
  <si>
    <t xml:space="preserve">Income fell: adjusted estimate, confounder as strong as savings_s</t>
  </si>
  <si>
    <t xml:space="preserve">Income fell: adjusted estimate, confounder as strong as pension_s</t>
  </si>
  <si>
    <t xml:space="preserve">A member lost a job: Oster beta*</t>
  </si>
  <si>
    <t xml:space="preserve">A member lost a job: Oster delta*</t>
  </si>
  <si>
    <t xml:space="preserve">A member lost a job: robustness value</t>
  </si>
  <si>
    <t xml:space="preserve">A member lost a job: robustness value for significance</t>
  </si>
  <si>
    <t xml:space="preserve">A member lost a job: adjusted estimate, confounder as strong as urban</t>
  </si>
  <si>
    <t xml:space="preserve">A member lost a job: adjusted estimate, confounder as strong as savings_s</t>
  </si>
  <si>
    <t xml:space="preserve">A member lost a job: adjusted estimate, confounder as strong as pension_s</t>
  </si>
  <si>
    <t xml:space="preserve">Sickness among the shocks: Oster beta*</t>
  </si>
  <si>
    <t xml:space="preserve">Sickness among the shocks: Oster delta*</t>
  </si>
  <si>
    <t xml:space="preserve">Sickness among the shocks: robustness value</t>
  </si>
  <si>
    <t xml:space="preserve">Sickness among the shocks: robustness value for significance</t>
  </si>
  <si>
    <t xml:space="preserve">Sickness among the shocks: adjusted estimate, confounder as strong as urban</t>
  </si>
  <si>
    <t xml:space="preserve">Sickness among the shocks: adjusted estimate, confounder as strong as savings_s</t>
  </si>
  <si>
    <t xml:space="preserve">Sickness among the shocks: adjusted estimate, confounder as strong as pension_s</t>
  </si>
  <si>
    <t xml:space="preserve">Number of responses used (0 to 11): Oster beta*</t>
  </si>
  <si>
    <t xml:space="preserve">Number of responses used (0 to 11): Oster delta*</t>
  </si>
  <si>
    <t xml:space="preserve">Number of responses used (0 to 11): robustness value</t>
  </si>
  <si>
    <t xml:space="preserve">Number of responses used (0 to 11): robustness value for significance</t>
  </si>
  <si>
    <t xml:space="preserve">Number of responses used (0 to 11): adjusted estimate, confounder as strong as urban</t>
  </si>
  <si>
    <t xml:space="preserve">Number of responses used (0 to 11): adjusted estimate, confounder as strong as savings_s</t>
  </si>
  <si>
    <t xml:space="preserve">Number of responses used (0 to 11): adjusted estimate, confounder as strong as pension_s</t>
  </si>
  <si>
    <t xml:space="preserve">Ate less: Oster beta*</t>
  </si>
  <si>
    <t xml:space="preserve">Ate less: Oster delta*</t>
  </si>
  <si>
    <t xml:space="preserve">Ate less: robustness value</t>
  </si>
  <si>
    <t xml:space="preserve">Ate less: robustness value for significance</t>
  </si>
  <si>
    <t xml:space="preserve">Ate less: adjusted estimate, confounder as strong as urban</t>
  </si>
  <si>
    <t xml:space="preserve">Ate less: adjusted estimate, confounder as strong as savings_s</t>
  </si>
  <si>
    <t xml:space="preserve">Ate less: adjusted estimate, confounder as strong as pension_s</t>
  </si>
  <si>
    <t xml:space="preserve">Cut household spending: Oster beta*</t>
  </si>
  <si>
    <t xml:space="preserve">Cut household spending: Oster delta*</t>
  </si>
  <si>
    <t xml:space="preserve">Cut household spending: robustness value</t>
  </si>
  <si>
    <t xml:space="preserve">Cut household spending: robustness value for significance</t>
  </si>
  <si>
    <t xml:space="preserve">Cut household spending: adjusted estimate, confounder as strong as urban</t>
  </si>
  <si>
    <t xml:space="preserve">Cut household spending: adjusted estimate, confounder as strong as savings_s</t>
  </si>
  <si>
    <t xml:space="preserve">Cut household spending: adjusted estimate, confounder as strong as pension_s</t>
  </si>
  <si>
    <t xml:space="preserve">Cut spending on education: Oster beta*</t>
  </si>
  <si>
    <t xml:space="preserve">Cut spending on education: Oster delta*</t>
  </si>
  <si>
    <t xml:space="preserve">Cut spending on education: robustness value</t>
  </si>
  <si>
    <t xml:space="preserve">Cut spending on education: robustness value for significance</t>
  </si>
  <si>
    <t xml:space="preserve">Cut spending on education: adjusted estimate, confounder as strong as urban</t>
  </si>
  <si>
    <t xml:space="preserve">Cut spending on education: adjusted estimate, confounder as strong as savings_s</t>
  </si>
  <si>
    <t xml:space="preserve">Cut spending on education: adjusted estimate, confounder as strong as pension_s</t>
  </si>
  <si>
    <t xml:space="preserve">A child worked: Oster beta*</t>
  </si>
  <si>
    <t xml:space="preserve">A child worked: Oster delta*</t>
  </si>
  <si>
    <t xml:space="preserve">A child worked: robustness value</t>
  </si>
  <si>
    <t xml:space="preserve">A child worked: robustness value for significance</t>
  </si>
  <si>
    <t xml:space="preserve">A child worked: adjusted estimate, confounder as strong as urban</t>
  </si>
  <si>
    <t xml:space="preserve">A child worked: adjusted estimate, confounder as strong as savings_s</t>
  </si>
  <si>
    <t xml:space="preserve">A child worked: adjusted estimate, confounder as strong as pension_s</t>
  </si>
  <si>
    <t xml:space="preserve">Asked for a loan: Oster beta*</t>
  </si>
  <si>
    <t xml:space="preserve">Asked for a loan: Oster delta*</t>
  </si>
  <si>
    <t xml:space="preserve">Asked for a loan: robustness value</t>
  </si>
  <si>
    <t xml:space="preserve">Asked for a loan: robustness value for significance</t>
  </si>
  <si>
    <t xml:space="preserve">Asked for a loan: adjusted estimate, confounder as strong as urban</t>
  </si>
  <si>
    <t xml:space="preserve">Asked for a loan: adjusted estimate, confounder as strong as savings_s</t>
  </si>
  <si>
    <t xml:space="preserve">Asked for a loan: adjusted estimate, confounder as strong as pension_s</t>
  </si>
  <si>
    <t xml:space="preserve">Used savings: Oster beta*</t>
  </si>
  <si>
    <t xml:space="preserve">Used savings: Oster delta*</t>
  </si>
  <si>
    <t xml:space="preserve">Used savings: robustness value</t>
  </si>
  <si>
    <t xml:space="preserve">Used savings: robustness value for significance</t>
  </si>
  <si>
    <t xml:space="preserve">Used savings: adjusted estimate, confounder as strong as urban</t>
  </si>
  <si>
    <t xml:space="preserve">Used savings: adjusted estimate, confounder as strong as savings_s</t>
  </si>
  <si>
    <t xml:space="preserve">Used savings: adjusted estimate, confounder as strong as pension_s</t>
  </si>
  <si>
    <t xml:space="preserve">Sold assets: Oster beta*</t>
  </si>
  <si>
    <t xml:space="preserve">Sold assets: Oster delta*</t>
  </si>
  <si>
    <t xml:space="preserve">Sold assets: robustness value</t>
  </si>
  <si>
    <t xml:space="preserve">Sold assets: robustness value for significance</t>
  </si>
  <si>
    <t xml:space="preserve">Sold assets: adjusted estimate, confounder as strong as urban</t>
  </si>
  <si>
    <t xml:space="preserve">Sold assets: adjusted estimate, confounder as strong as savings_s</t>
  </si>
  <si>
    <t xml:space="preserve">Sold assets: adjusted estimate, confounder as strong as pension_s</t>
  </si>
  <si>
    <t xml:space="preserve">Asked for assistance: adjusted estimate, confounder as strong as urban</t>
  </si>
  <si>
    <t xml:space="preserve">Asked for assistance: adjusted estimate, confounder as strong as savings_s</t>
  </si>
  <si>
    <t xml:space="preserve">Asked for assistance: adjusted estimate, confounder as strong as pension_s</t>
  </si>
  <si>
    <t xml:space="preserve">Worked more hours: Oster beta*</t>
  </si>
  <si>
    <t xml:space="preserve">Worked more hours: Oster delta*</t>
  </si>
  <si>
    <t xml:space="preserve">Worked more hours: robustness value</t>
  </si>
  <si>
    <t xml:space="preserve">Worked more hours: robustness value for significance</t>
  </si>
  <si>
    <t xml:space="preserve">Worked more hours: adjusted estimate, confounder as strong as urban</t>
  </si>
  <si>
    <t xml:space="preserve">Worked more hours: adjusted estimate, confounder as strong as savings_s</t>
  </si>
  <si>
    <t xml:space="preserve">Worked more hours: adjusted estimate, confounder as strong as pension_s</t>
  </si>
  <si>
    <t xml:space="preserve">Took a second job: Oster beta*</t>
  </si>
  <si>
    <t xml:space="preserve">Took a second job: Oster delta*</t>
  </si>
  <si>
    <t xml:space="preserve">Took a second job: robustness value</t>
  </si>
  <si>
    <t xml:space="preserve">Took a second job: robustness value for significance</t>
  </si>
  <si>
    <t xml:space="preserve">Took a second job: adjusted estimate, confounder as strong as urban</t>
  </si>
  <si>
    <t xml:space="preserve">Took a second job: adjusted estimate, confounder as strong as savings_s</t>
  </si>
  <si>
    <t xml:space="preserve">Took a second job: adjusted estimate, confounder as strong as pension_s</t>
  </si>
  <si>
    <t xml:space="preserve">Another member brought income: Oster beta*</t>
  </si>
  <si>
    <t xml:space="preserve">Another member brought income: Oster delta*</t>
  </si>
  <si>
    <t xml:space="preserve">Another member brought income: robustness value</t>
  </si>
  <si>
    <t xml:space="preserve">Another member brought income: robustness value for significance</t>
  </si>
  <si>
    <t xml:space="preserve">Another member brought income: adjusted estimate, confounder as strong as urban</t>
  </si>
  <si>
    <t xml:space="preserve">Another member brought income: adjusted estimate, confounder as strong as savings_s</t>
  </si>
  <si>
    <t xml:space="preserve">Another member brought income: adjusted estimate, confounder as strong as pension_s</t>
  </si>
  <si>
    <t xml:space="preserve">Income fell: minimum detectable difference</t>
  </si>
  <si>
    <t xml:space="preserve">A member lost a job: minimum detectable difference</t>
  </si>
  <si>
    <t xml:space="preserve">Sickness among the shocks: minimum detectable difference</t>
  </si>
  <si>
    <t xml:space="preserve">Number of responses used (0 to 11): minimum detectable difference</t>
  </si>
  <si>
    <t xml:space="preserve">Ate less: minimum detectable difference</t>
  </si>
  <si>
    <t xml:space="preserve">Cut household spending: minimum detectable difference</t>
  </si>
  <si>
    <t xml:space="preserve">Cut spending on education: minimum detectable difference</t>
  </si>
  <si>
    <t xml:space="preserve">A child worked: minimum detectable difference</t>
  </si>
  <si>
    <t xml:space="preserve">Asked for a loan: minimum detectable difference</t>
  </si>
  <si>
    <t xml:space="preserve">Used savings: minimum detectable difference</t>
  </si>
  <si>
    <t xml:space="preserve">Sold assets: minimum detectable difference</t>
  </si>
  <si>
    <t xml:space="preserve">Worked more hours: minimum detectable difference</t>
  </si>
  <si>
    <t xml:space="preserve">Took a second job: minimum detectable difference</t>
  </si>
  <si>
    <t xml:space="preserve">Another member brought income: minimum detectable difference</t>
  </si>
  <si>
    <t xml:space="preserve">Largest absolute difference, shocks family</t>
  </si>
  <si>
    <t xml:space="preserve">Decomposition, indices and flexible estimation (third brief, replicated by the same independent instance)</t>
  </si>
  <si>
    <t xml:space="preserve">The replicator received the third written declaration (review/brief_decomposition_indices_ml.md) and computed the decomposition, the four indices and the flexible estimation with its own scripts (on the author's computer, under blind/s4_decomp; scikit-learn for the machine-learning part). 581 quantities compared. Decomposition and indices: every conditional mean, difference, part, standard error of the design, p value, sensitivity value and minimum detectable difference coincides to the third decimal, the bootstrap standard errors differ only by the random draws, and the Romano-Wolf p values differ by at most 0.06 because the two implementations studentize the statistic differently (the tiers do not change). Flexible estimation: the forest and boosting estimates coincide within a quarter of their standard errors (the learners are random), and the lasso within half (the replicator chose its penalty on a finer grid). Two things the replication caught and that were corrected before this edition: the original entropy balancing did not converge on the whole analysis sample while the replicator's did (the solver now damps the Newton step and converges to the same weights: identical estimates), and the original lasso propensity chose its penalty by accuracy, scikit-learn's default, which left 15% of the households beyond 0.1 or 0.9; the replication chose it by log loss, the criterion for a probability model, and the original now does the same (4.5% beyond those bounds). Two groups of bootstrap standard errors differ by more than the draws alone explain, for stated reasons: the entropy errors on the whole sample (18 to 33%: the two solvers declare different draws infeasible, 44 here against 58 in the replication, and the error is taken over the feasible ones) and the lasso errors in the DML check (16 to 34%: each side fixes the penalty at the median of its own point estimate, 0.43 here against 0.17 to 0.26 in the replication, and a weaker penalty gives wider draws). Neither touches a verdict: the entropy column is a check and the lasso is the weakest of the three learners. The replicator also noted that its nearest-neighbour estimator (one neighbour on the score, no bias adjustment) is not the one of the design, so that column is not compared.</t>
  </si>
  <si>
    <t xml:space="preserve">P(income fell), all households: camp</t>
  </si>
  <si>
    <t xml:space="preserve">P(income fell), all households: towns</t>
  </si>
  <si>
    <t xml:space="preserve">All households, Ate less: camp mean given the shock</t>
  </si>
  <si>
    <t xml:space="preserve">All households, Ate less: towns mean given the shock</t>
  </si>
  <si>
    <t xml:space="preserve">All households, Ate less: conditional difference given the shock</t>
  </si>
  <si>
    <t xml:space="preserve">All households, Cut other household spending: camp mean given the shock</t>
  </si>
  <si>
    <t xml:space="preserve">All households, Cut spending on education: camp mean given the shock</t>
  </si>
  <si>
    <t xml:space="preserve">All households, Cut spending on education: towns mean given the shock</t>
  </si>
  <si>
    <t xml:space="preserve">All households, Cut spending on education: conditional difference given the shock</t>
  </si>
  <si>
    <t xml:space="preserve">All households, A child went to work: camp mean given the shock</t>
  </si>
  <si>
    <t xml:space="preserve">All households, A child went to work: towns mean given the shock</t>
  </si>
  <si>
    <t xml:space="preserve">All households, A child went to work: conditional difference given the shock</t>
  </si>
  <si>
    <t xml:space="preserve">All households, Asked for a loan: camp mean given the shock</t>
  </si>
  <si>
    <t xml:space="preserve">All households, Asked for a loan: towns mean given the shock</t>
  </si>
  <si>
    <t xml:space="preserve">All households, Asked for a loan: conditional difference given the shock</t>
  </si>
  <si>
    <t xml:space="preserve">All households, Asked for a loan: camp mean without the shock</t>
  </si>
  <si>
    <t xml:space="preserve">All households, Used savings: camp mean given the shock</t>
  </si>
  <si>
    <t xml:space="preserve">All households, Used savings: towns mean given the shock</t>
  </si>
  <si>
    <t xml:space="preserve">All households, Used savings: conditional difference given the shock</t>
  </si>
  <si>
    <t xml:space="preserve">All households, Sold belongings: camp mean given the shock</t>
  </si>
  <si>
    <t xml:space="preserve">All households, Sold belongings: towns mean given the shock</t>
  </si>
  <si>
    <t xml:space="preserve">All households, Sold belongings: conditional difference given the shock</t>
  </si>
  <si>
    <t xml:space="preserve">All households, Asked for assistance: camp mean given the shock</t>
  </si>
  <si>
    <t xml:space="preserve">All households, Asked for assistance: towns mean given the shock</t>
  </si>
  <si>
    <t xml:space="preserve">All households, Asked for assistance: conditional difference given the shock</t>
  </si>
  <si>
    <t xml:space="preserve">All households, Worked more hours: camp mean given the shock</t>
  </si>
  <si>
    <t xml:space="preserve">All households, Worked more hours: towns mean given the shock</t>
  </si>
  <si>
    <t xml:space="preserve">All households, Worked more hours: conditional difference given the shock</t>
  </si>
  <si>
    <t xml:space="preserve">All households, Took a second job: camp mean given the shock</t>
  </si>
  <si>
    <t xml:space="preserve">All households, Took a second job: towns mean given the shock</t>
  </si>
  <si>
    <t xml:space="preserve">All households, Took a second job: conditional difference given the shock</t>
  </si>
  <si>
    <t xml:space="preserve">All households, Another member brought income: camp mean given the shock</t>
  </si>
  <si>
    <t xml:space="preserve">All households, Another member brought income: towns mean given the shock</t>
  </si>
  <si>
    <t xml:space="preserve">All households, Another member brought income: conditional difference given the shock</t>
  </si>
  <si>
    <t xml:space="preserve">All households, Consumption cuts index: camp mean given the shock</t>
  </si>
  <si>
    <t xml:space="preserve">All households, Consumption cuts index: towns mean given the shock</t>
  </si>
  <si>
    <t xml:space="preserve">All households, Consumption cuts index: conditional difference given the shock</t>
  </si>
  <si>
    <t xml:space="preserve">All households, Consumption cuts index: camp mean without the shock</t>
  </si>
  <si>
    <t xml:space="preserve">All households, Consumption cuts index: towns mean without the shock</t>
  </si>
  <si>
    <t xml:space="preserve">All households, Consumption cuts index: part, incidence of the shock</t>
  </si>
  <si>
    <t xml:space="preserve">within rounding</t>
  </si>
  <si>
    <t xml:space="preserve">All households, Consumption cuts index: part, response given the shock</t>
  </si>
  <si>
    <t xml:space="preserve">All households, Consumption cuts index: part, response without the shock</t>
  </si>
  <si>
    <t xml:space="preserve">All households, Consumption cuts index: difference in means</t>
  </si>
  <si>
    <t xml:space="preserve">All households, Financial buffers index: camp mean given the shock</t>
  </si>
  <si>
    <t xml:space="preserve">All households, Financial buffers index: towns mean given the shock</t>
  </si>
  <si>
    <t xml:space="preserve">All households, Financial buffers index: conditional difference given the shock</t>
  </si>
  <si>
    <t xml:space="preserve">All households, Financial buffers index: camp mean without the shock</t>
  </si>
  <si>
    <t xml:space="preserve">All households, Financial buffers index: towns mean without the shock</t>
  </si>
  <si>
    <t xml:space="preserve">All households, Financial buffers index: part, incidence of the shock</t>
  </si>
  <si>
    <t xml:space="preserve">All households, Financial buffers index: part, response given the shock</t>
  </si>
  <si>
    <t xml:space="preserve">All households, Financial buffers index: part, response without the shock</t>
  </si>
  <si>
    <t xml:space="preserve">All households, Financial buffers index: difference in means</t>
  </si>
  <si>
    <t xml:space="preserve">All households, Severe responses index: camp mean given the shock</t>
  </si>
  <si>
    <t xml:space="preserve">All households, Severe responses index: towns mean given the shock</t>
  </si>
  <si>
    <t xml:space="preserve">All households, Severe responses index: conditional difference given the shock</t>
  </si>
  <si>
    <t xml:space="preserve">All households, Severe responses index: camp mean without the shock</t>
  </si>
  <si>
    <t xml:space="preserve">All households, Severe responses index: towns mean without the shock</t>
  </si>
  <si>
    <t xml:space="preserve">All households, Severe responses index: part, incidence of the shock</t>
  </si>
  <si>
    <t xml:space="preserve">All households, Severe responses index: part, response given the shock</t>
  </si>
  <si>
    <t xml:space="preserve">All households, Severe responses index: part, response without the shock</t>
  </si>
  <si>
    <t xml:space="preserve">All households, Severe responses index: difference in means</t>
  </si>
  <si>
    <t xml:space="preserve">All households, WFP severity score: camp mean given the shock</t>
  </si>
  <si>
    <t xml:space="preserve">All households, WFP severity score: towns mean given the shock</t>
  </si>
  <si>
    <t xml:space="preserve">All households, WFP severity score: conditional difference given the shock</t>
  </si>
  <si>
    <t xml:space="preserve">All households, WFP severity score: camp mean without the shock</t>
  </si>
  <si>
    <t xml:space="preserve">All households, WFP severity score: towns mean without the shock</t>
  </si>
  <si>
    <t xml:space="preserve">All households, WFP severity score: part, incidence of the shock</t>
  </si>
  <si>
    <t xml:space="preserve">All households, WFP severity score: part, response given the shock</t>
  </si>
  <si>
    <t xml:space="preserve">All households, WFP severity score: part, response without the shock</t>
  </si>
  <si>
    <t xml:space="preserve">All households, WFP severity score: difference in means</t>
  </si>
  <si>
    <t xml:space="preserve">P(income fell), within support (camp weighted): camp</t>
  </si>
  <si>
    <t xml:space="preserve">P(income fell), within support: towns</t>
  </si>
  <si>
    <t xml:space="preserve">Within support, Ate less: camp weighted mean given the shock</t>
  </si>
  <si>
    <t xml:space="preserve">Within support, Ate less: towns mean given the shock</t>
  </si>
  <si>
    <t xml:space="preserve">Within support, Ate less: conditional difference given the shock</t>
  </si>
  <si>
    <t xml:space="preserve">Within support, Ate less: bootstrap s.e. of the conditional difference</t>
  </si>
  <si>
    <t xml:space="preserve">Within support, Ate less: OLS among the shocked, estimate</t>
  </si>
  <si>
    <t xml:space="preserve">Within support, Ate less: OLS among the shocked, design-based s.e.</t>
  </si>
  <si>
    <t xml:space="preserve">Within support, Ate less: OLS among the shocked, p</t>
  </si>
  <si>
    <t xml:space="preserve">Within support, Cut other household spending: camp weighted mean given the shock</t>
  </si>
  <si>
    <t xml:space="preserve">Within support, Cut other household spending: OLS among the shocked, estimate</t>
  </si>
  <si>
    <t xml:space="preserve">Within support, Cut other household spending: OLS among the shocked, design-based s.e.</t>
  </si>
  <si>
    <t xml:space="preserve">Within support, Cut other household spending: OLS among the shocked, p</t>
  </si>
  <si>
    <t xml:space="preserve">Within support, Cut spending on education: camp weighted mean given the shock</t>
  </si>
  <si>
    <t xml:space="preserve">Within support, Cut spending on education: towns mean given the shock</t>
  </si>
  <si>
    <t xml:space="preserve">Within support, Cut spending on education: conditional difference given the shock</t>
  </si>
  <si>
    <t xml:space="preserve">Within support, Cut spending on education: bootstrap s.e. of the conditional difference</t>
  </si>
  <si>
    <t xml:space="preserve">Within support, Cut spending on education: OLS among the shocked, estimate</t>
  </si>
  <si>
    <t xml:space="preserve">Within support, Cut spending on education: OLS among the shocked, design-based s.e.</t>
  </si>
  <si>
    <t xml:space="preserve">Within support, Cut spending on education: OLS among the shocked, p</t>
  </si>
  <si>
    <t xml:space="preserve">Within support, A child went to work: camp weighted mean given the shock</t>
  </si>
  <si>
    <t xml:space="preserve">Within support, A child went to work: towns mean given the shock</t>
  </si>
  <si>
    <t xml:space="preserve">Within support, A child went to work: conditional difference given the shock</t>
  </si>
  <si>
    <t xml:space="preserve">Within support, A child went to work: bootstrap s.e. of the conditional difference</t>
  </si>
  <si>
    <t xml:space="preserve">Within support, A child went to work: OLS among the shocked, estimate</t>
  </si>
  <si>
    <t xml:space="preserve">Within support, A child went to work: OLS among the shocked, design-based s.e.</t>
  </si>
  <si>
    <t xml:space="preserve">Within support, A child went to work: OLS among the shocked, p</t>
  </si>
  <si>
    <t xml:space="preserve">Within support, Asked for a loan: camp weighted mean given the shock</t>
  </si>
  <si>
    <t xml:space="preserve">Within support, Asked for a loan: towns mean given the shock</t>
  </si>
  <si>
    <t xml:space="preserve">Within support, Asked for a loan: conditional difference given the shock</t>
  </si>
  <si>
    <t xml:space="preserve">Within support, Asked for a loan: bootstrap s.e. of the conditional difference</t>
  </si>
  <si>
    <t xml:space="preserve">Within support, Asked for a loan: OLS among the shocked, estimate</t>
  </si>
  <si>
    <t xml:space="preserve">Within support, Asked for a loan: OLS among the shocked, design-based s.e.</t>
  </si>
  <si>
    <t xml:space="preserve">Within support, Asked for a loan: OLS among the shocked, p</t>
  </si>
  <si>
    <t xml:space="preserve">Within support, Used savings: camp weighted mean given the shock</t>
  </si>
  <si>
    <t xml:space="preserve">Within support, Used savings: towns mean given the shock</t>
  </si>
  <si>
    <t xml:space="preserve">Within support, Used savings: conditional difference given the shock</t>
  </si>
  <si>
    <t xml:space="preserve">Within support, Used savings: bootstrap s.e. of the conditional difference</t>
  </si>
  <si>
    <t xml:space="preserve">Within support, Used savings: OLS among the shocked, estimate</t>
  </si>
  <si>
    <t xml:space="preserve">Within support, Used savings: OLS among the shocked, design-based s.e.</t>
  </si>
  <si>
    <t xml:space="preserve">Within support, Used savings: OLS among the shocked, p</t>
  </si>
  <si>
    <t xml:space="preserve">Within support, Sold belongings: camp weighted mean given the shock</t>
  </si>
  <si>
    <t xml:space="preserve">Within support, Sold belongings: towns mean given the shock</t>
  </si>
  <si>
    <t xml:space="preserve">Within support, Sold belongings: conditional difference given the shock</t>
  </si>
  <si>
    <t xml:space="preserve">Within support, Sold belongings: bootstrap s.e. of the conditional difference</t>
  </si>
  <si>
    <t xml:space="preserve">Within support, Sold belongings: OLS among the shocked, estimate</t>
  </si>
  <si>
    <t xml:space="preserve">Within support, Sold belongings: OLS among the shocked, design-based s.e.</t>
  </si>
  <si>
    <t xml:space="preserve">Within support, Sold belongings: OLS among the shocked, p</t>
  </si>
  <si>
    <t xml:space="preserve">Within support, Asked for assistance: camp weighted mean given the shock</t>
  </si>
  <si>
    <t xml:space="preserve">Within support, Asked for assistance: towns mean given the shock</t>
  </si>
  <si>
    <t xml:space="preserve">Within support, Asked for assistance: conditional difference given the shock</t>
  </si>
  <si>
    <t xml:space="preserve">Within support, Asked for assistance: bootstrap s.e. of the conditional difference</t>
  </si>
  <si>
    <t xml:space="preserve">Within support, Asked for assistance: OLS among the shocked, estimate</t>
  </si>
  <si>
    <t xml:space="preserve">Within support, Asked for assistance: OLS among the shocked, design-based s.e.</t>
  </si>
  <si>
    <t xml:space="preserve">Within support, Asked for assistance: OLS among the shocked, p</t>
  </si>
  <si>
    <t xml:space="preserve">Within support, Worked more hours: camp weighted mean given the shock</t>
  </si>
  <si>
    <t xml:space="preserve">Within support, Worked more hours: towns mean given the shock</t>
  </si>
  <si>
    <t xml:space="preserve">Within support, Worked more hours: conditional difference given the shock</t>
  </si>
  <si>
    <t xml:space="preserve">Within support, Worked more hours: bootstrap s.e. of the conditional difference</t>
  </si>
  <si>
    <t xml:space="preserve">Within support, Worked more hours: OLS among the shocked, estimate</t>
  </si>
  <si>
    <t xml:space="preserve">Within support, Worked more hours: OLS among the shocked, design-based s.e.</t>
  </si>
  <si>
    <t xml:space="preserve">Within support, Worked more hours: OLS among the shocked, p</t>
  </si>
  <si>
    <t xml:space="preserve">Within support, Took a second job: camp weighted mean given the shock</t>
  </si>
  <si>
    <t xml:space="preserve">Within support, Took a second job: towns mean given the shock</t>
  </si>
  <si>
    <t xml:space="preserve">Within support, Took a second job: conditional difference given the shock</t>
  </si>
  <si>
    <t xml:space="preserve">Within support, Took a second job: bootstrap s.e. of the conditional difference</t>
  </si>
  <si>
    <t xml:space="preserve">Within support, Took a second job: OLS among the shocked, estimate</t>
  </si>
  <si>
    <t xml:space="preserve">Within support, Took a second job: OLS among the shocked, design-based s.e.</t>
  </si>
  <si>
    <t xml:space="preserve">Within support, Took a second job: OLS among the shocked, p</t>
  </si>
  <si>
    <t xml:space="preserve">Within support, Another member brought income: camp weighted mean given the shock</t>
  </si>
  <si>
    <t xml:space="preserve">Within support, Another member brought income: towns mean given the shock</t>
  </si>
  <si>
    <t xml:space="preserve">Within support, Another member brought income: conditional difference given the shock</t>
  </si>
  <si>
    <t xml:space="preserve">Within support, Another member brought income: bootstrap s.e. of the conditional difference</t>
  </si>
  <si>
    <t xml:space="preserve">Within support, Another member brought income: OLS among the shocked, estimate</t>
  </si>
  <si>
    <t xml:space="preserve">Within support, Another member brought income: OLS among the shocked, design-based s.e.</t>
  </si>
  <si>
    <t xml:space="preserve">Within support, Another member brought income: OLS among the shocked, p</t>
  </si>
  <si>
    <t xml:space="preserve">Within support, Consumption cuts index: camp weighted mean given the shock</t>
  </si>
  <si>
    <t xml:space="preserve">Within support, Consumption cuts index: towns mean given the shock</t>
  </si>
  <si>
    <t xml:space="preserve">Within support, Consumption cuts index: conditional difference given the shock</t>
  </si>
  <si>
    <t xml:space="preserve">Within support, Consumption cuts index: bootstrap s.e. of the conditional difference</t>
  </si>
  <si>
    <t xml:space="preserve">Within support, Consumption cuts index: towns mean without the shock</t>
  </si>
  <si>
    <t xml:space="preserve">Within support, Consumption cuts index: OLS among the shocked, estimate</t>
  </si>
  <si>
    <t xml:space="preserve">Within support, Consumption cuts index: OLS among the shocked, design-based s.e.</t>
  </si>
  <si>
    <t xml:space="preserve">Within support, Consumption cuts index: OLS among the shocked, p</t>
  </si>
  <si>
    <t xml:space="preserve">Within support, Financial buffers index: camp weighted mean given the shock</t>
  </si>
  <si>
    <t xml:space="preserve">Within support, Financial buffers index: towns mean given the shock</t>
  </si>
  <si>
    <t xml:space="preserve">Within support, Financial buffers index: conditional difference given the shock</t>
  </si>
  <si>
    <t xml:space="preserve">Within support, Financial buffers index: bootstrap s.e. of the conditional difference</t>
  </si>
  <si>
    <t xml:space="preserve">Within support, Financial buffers index: towns mean without the shock</t>
  </si>
  <si>
    <t xml:space="preserve">Within support, Financial buffers index: OLS among the shocked, estimate</t>
  </si>
  <si>
    <t xml:space="preserve">Within support, Financial buffers index: OLS among the shocked, design-based s.e.</t>
  </si>
  <si>
    <t xml:space="preserve">Within support, Financial buffers index: OLS among the shocked, p</t>
  </si>
  <si>
    <t xml:space="preserve">Within support, Severe responses index: camp weighted mean given the shock</t>
  </si>
  <si>
    <t xml:space="preserve">Within support, Severe responses index: towns mean given the shock</t>
  </si>
  <si>
    <t xml:space="preserve">Within support, Severe responses index: conditional difference given the shock</t>
  </si>
  <si>
    <t xml:space="preserve">Within support, Severe responses index: bootstrap s.e. of the conditional difference</t>
  </si>
  <si>
    <t xml:space="preserve">Within support, Severe responses index: towns mean without the shock</t>
  </si>
  <si>
    <t xml:space="preserve">Within support, Severe responses index: OLS among the shocked, estimate</t>
  </si>
  <si>
    <t xml:space="preserve">Within support, Severe responses index: OLS among the shocked, design-based s.e.</t>
  </si>
  <si>
    <t xml:space="preserve">Within support, Severe responses index: OLS among the shocked, p</t>
  </si>
  <si>
    <t xml:space="preserve">Within support, WFP severity score: camp weighted mean given the shock</t>
  </si>
  <si>
    <t xml:space="preserve">Within support, WFP severity score: towns mean given the shock</t>
  </si>
  <si>
    <t xml:space="preserve">Within support, WFP severity score: conditional difference given the shock</t>
  </si>
  <si>
    <t xml:space="preserve">Within support, WFP severity score: bootstrap s.e. of the conditional difference</t>
  </si>
  <si>
    <t xml:space="preserve">Within support, WFP severity score: towns mean without the shock</t>
  </si>
  <si>
    <t xml:space="preserve">Within support, WFP severity score: OLS among the shocked, estimate</t>
  </si>
  <si>
    <t xml:space="preserve">Within support, WFP severity score: OLS among the shocked, design-based s.e.</t>
  </si>
  <si>
    <t xml:space="preserve">Within support, WFP severity score: OLS among the shocked, p</t>
  </si>
  <si>
    <t xml:space="preserve">Cut in assistance named, Ate less: camp mean</t>
  </si>
  <si>
    <t xml:space="preserve">Cut in assistance named, Cut other household spending: camp mean</t>
  </si>
  <si>
    <t xml:space="preserve">Cut in assistance named, Cut spending on education: towns mean</t>
  </si>
  <si>
    <t xml:space="preserve">Cut in assistance named, A child went to work: towns mean</t>
  </si>
  <si>
    <t xml:space="preserve">Cut in assistance named, Asked for a loan: camp mean</t>
  </si>
  <si>
    <t xml:space="preserve">Cut in assistance named, Asked for a loan: towns mean</t>
  </si>
  <si>
    <t xml:space="preserve">Cut in assistance named, Used savings: camp mean</t>
  </si>
  <si>
    <t xml:space="preserve">Cut in assistance named, Used savings: towns mean</t>
  </si>
  <si>
    <t xml:space="preserve">Cut in assistance named, Sold belongings: camp mean</t>
  </si>
  <si>
    <t xml:space="preserve">Cut in assistance named, Sold belongings: towns mean</t>
  </si>
  <si>
    <t xml:space="preserve">Cut in assistance named, Asked for assistance: camp mean</t>
  </si>
  <si>
    <t xml:space="preserve">Cut in assistance named, Asked for assistance: towns mean</t>
  </si>
  <si>
    <t xml:space="preserve">Cut in assistance named, Worked more hours: camp mean</t>
  </si>
  <si>
    <t xml:space="preserve">Cut in assistance named, Worked more hours: towns mean</t>
  </si>
  <si>
    <t xml:space="preserve">Cut in assistance named, Took a second job: towns mean</t>
  </si>
  <si>
    <t xml:space="preserve">Cut in assistance named, Another member brought income: towns mean</t>
  </si>
  <si>
    <t xml:space="preserve">Cut in assistance named, Consumption cuts index: camp mean</t>
  </si>
  <si>
    <t xml:space="preserve">Cut in assistance named, Consumption cuts index: towns mean</t>
  </si>
  <si>
    <t xml:space="preserve">Cut in assistance named, Financial buffers index: camp mean</t>
  </si>
  <si>
    <t xml:space="preserve">Cut in assistance named, Financial buffers index: towns mean</t>
  </si>
  <si>
    <t xml:space="preserve">Cut in assistance named, Severe responses index: camp mean</t>
  </si>
  <si>
    <t xml:space="preserve">Cut in assistance named, Severe responses index: towns mean</t>
  </si>
  <si>
    <t xml:space="preserve">Cut in assistance named, WFP severity score: camp mean</t>
  </si>
  <si>
    <t xml:space="preserve">Cut in assistance named, WFP severity score: towns mean</t>
  </si>
  <si>
    <t xml:space="preserve">Indices, within support, Consumption cuts index: raw estimate</t>
  </si>
  <si>
    <t xml:space="preserve">Indices, within support, Consumption cuts index: raw bootstrap s.e.</t>
  </si>
  <si>
    <t xml:space="preserve">Indices, within support, Consumption cuts index: ols estimate</t>
  </si>
  <si>
    <t xml:space="preserve">Indices, within support, Consumption cuts index: ols bootstrap s.e.</t>
  </si>
  <si>
    <t xml:space="preserve">Indices, within support, Consumption cuts index: ipw estimate</t>
  </si>
  <si>
    <t xml:space="preserve">Indices, within support, Consumption cuts index: ipw bootstrap s.e.</t>
  </si>
  <si>
    <t xml:space="preserve">Indices, within support, Consumption cuts index: aipw estimate</t>
  </si>
  <si>
    <t xml:space="preserve">Indices, within support, Consumption cuts index: aipw bootstrap s.e.</t>
  </si>
  <si>
    <t xml:space="preserve">Indices, within support, Consumption cuts index: entropy estimate</t>
  </si>
  <si>
    <t xml:space="preserve">Indices, within support, Consumption cuts index: entropy bootstrap s.e.</t>
  </si>
  <si>
    <t xml:space="preserve">Indices, within support, Consumption cuts index: OLS design-based s.e.</t>
  </si>
  <si>
    <t xml:space="preserve">Indices, within support, Consumption cuts index: OLS design-based p</t>
  </si>
  <si>
    <t xml:space="preserve">Indices, within support, Consumption cuts index: Romano-Wolf p (four indices)</t>
  </si>
  <si>
    <t xml:space="preserve">Romano-Wolf: the two implementations studentize differently (design-based t re-estimated per draw in the replication, HC1 t in the original); within 0.06, same tiers</t>
  </si>
  <si>
    <t xml:space="preserve">Indices, within support, Consumption cuts index: Oster beta*</t>
  </si>
  <si>
    <t xml:space="preserve">Indices, within support, Consumption cuts index: Oster delta*</t>
  </si>
  <si>
    <t xml:space="preserve">Indices, within support, Consumption cuts index: robustness value</t>
  </si>
  <si>
    <t xml:space="preserve">Indices, within support, Consumption cuts index: robustness value for significance</t>
  </si>
  <si>
    <t xml:space="preserve">Indices, within support, Consumption cuts index: adjusted estimate, confounder as strong as urban</t>
  </si>
  <si>
    <t xml:space="preserve">Indices, within support, Consumption cuts index: adjusted estimate, confounder as strong as savings_s</t>
  </si>
  <si>
    <t xml:space="preserve">Indices, within support, Consumption cuts index: adjusted estimate, confounder as strong as pension_s</t>
  </si>
  <si>
    <t xml:space="preserve">Indices, within support, Consumption cuts index: minimum detectable difference</t>
  </si>
  <si>
    <t xml:space="preserve">Indices, within support, Financial buffers index: raw estimate</t>
  </si>
  <si>
    <t xml:space="preserve">Indices, within support, Financial buffers index: raw bootstrap s.e.</t>
  </si>
  <si>
    <t xml:space="preserve">Indices, within support, Financial buffers index: ols estimate</t>
  </si>
  <si>
    <t xml:space="preserve">Indices, within support, Financial buffers index: ols bootstrap s.e.</t>
  </si>
  <si>
    <t xml:space="preserve">Indices, within support, Financial buffers index: ipw estimate</t>
  </si>
  <si>
    <t xml:space="preserve">Indices, within support, Financial buffers index: ipw bootstrap s.e.</t>
  </si>
  <si>
    <t xml:space="preserve">Indices, within support, Financial buffers index: aipw estimate</t>
  </si>
  <si>
    <t xml:space="preserve">Indices, within support, Financial buffers index: aipw bootstrap s.e.</t>
  </si>
  <si>
    <t xml:space="preserve">Indices, within support, Financial buffers index: entropy estimate</t>
  </si>
  <si>
    <t xml:space="preserve">Indices, within support, Financial buffers index: entropy bootstrap s.e.</t>
  </si>
  <si>
    <t xml:space="preserve">Indices, within support, Financial buffers index: OLS design-based s.e.</t>
  </si>
  <si>
    <t xml:space="preserve">Indices, within support, Financial buffers index: OLS design-based p</t>
  </si>
  <si>
    <t xml:space="preserve">Indices, within support, Financial buffers index: Romano-Wolf p (four indices)</t>
  </si>
  <si>
    <t xml:space="preserve">Indices, within support, Financial buffers index: Oster beta*</t>
  </si>
  <si>
    <t xml:space="preserve">Indices, within support, Financial buffers index: Oster delta*</t>
  </si>
  <si>
    <t xml:space="preserve">Indices, within support, Financial buffers index: robustness value</t>
  </si>
  <si>
    <t xml:space="preserve">Indices, within support, Financial buffers index: robustness value for significance</t>
  </si>
  <si>
    <t xml:space="preserve">Indices, within support, Financial buffers index: adjusted estimate, confounder as strong as urban</t>
  </si>
  <si>
    <t xml:space="preserve">Indices, within support, Financial buffers index: adjusted estimate, confounder as strong as savings_s</t>
  </si>
  <si>
    <t xml:space="preserve">Indices, within support, Financial buffers index: adjusted estimate, confounder as strong as pension_s</t>
  </si>
  <si>
    <t xml:space="preserve">Indices, within support, Financial buffers index: minimum detectable difference</t>
  </si>
  <si>
    <t xml:space="preserve">Indices, within support, Severe responses index: raw estimate</t>
  </si>
  <si>
    <t xml:space="preserve">Indices, within support, Severe responses index: raw bootstrap s.e.</t>
  </si>
  <si>
    <t xml:space="preserve">Indices, within support, Severe responses index: ols estimate</t>
  </si>
  <si>
    <t xml:space="preserve">Indices, within support, Severe responses index: ols bootstrap s.e.</t>
  </si>
  <si>
    <t xml:space="preserve">Indices, within support, Severe responses index: ipw estimate</t>
  </si>
  <si>
    <t xml:space="preserve">Indices, within support, Severe responses index: ipw bootstrap s.e.</t>
  </si>
  <si>
    <t xml:space="preserve">Indices, within support, Severe responses index: aipw estimate</t>
  </si>
  <si>
    <t xml:space="preserve">Indices, within support, Severe responses index: aipw bootstrap s.e.</t>
  </si>
  <si>
    <t xml:space="preserve">Indices, within support, Severe responses index: entropy estimate</t>
  </si>
  <si>
    <t xml:space="preserve">Indices, within support, Severe responses index: entropy bootstrap s.e.</t>
  </si>
  <si>
    <t xml:space="preserve">Indices, within support, Severe responses index: OLS design-based s.e.</t>
  </si>
  <si>
    <t xml:space="preserve">Indices, within support, Severe responses index: OLS design-based p</t>
  </si>
  <si>
    <t xml:space="preserve">Indices, within support, Severe responses index: Romano-Wolf p (four indices)</t>
  </si>
  <si>
    <t xml:space="preserve">Indices, within support, Severe responses index: Oster beta*</t>
  </si>
  <si>
    <t xml:space="preserve">Indices, within support, Severe responses index: Oster delta*</t>
  </si>
  <si>
    <t xml:space="preserve">Indices, within support, Severe responses index: robustness value</t>
  </si>
  <si>
    <t xml:space="preserve">Indices, within support, Severe responses index: robustness value for significance</t>
  </si>
  <si>
    <t xml:space="preserve">Indices, within support, Severe responses index: adjusted estimate, confounder as strong as urban</t>
  </si>
  <si>
    <t xml:space="preserve">Indices, within support, Severe responses index: adjusted estimate, confounder as strong as savings_s</t>
  </si>
  <si>
    <t xml:space="preserve">Indices, within support, Severe responses index: adjusted estimate, confounder as strong as pension_s</t>
  </si>
  <si>
    <t xml:space="preserve">Indices, within support, Severe responses index: minimum detectable difference</t>
  </si>
  <si>
    <t xml:space="preserve">Indices, within support, WFP severity score: raw estimate</t>
  </si>
  <si>
    <t xml:space="preserve">Indices, within support, WFP severity score: raw bootstrap s.e.</t>
  </si>
  <si>
    <t xml:space="preserve">Indices, within support, WFP severity score: ols estimate</t>
  </si>
  <si>
    <t xml:space="preserve">Indices, within support, WFP severity score: ols bootstrap s.e.</t>
  </si>
  <si>
    <t xml:space="preserve">Indices, within support, WFP severity score: ipw estimate</t>
  </si>
  <si>
    <t xml:space="preserve">Indices, within support, WFP severity score: ipw bootstrap s.e.</t>
  </si>
  <si>
    <t xml:space="preserve">Indices, within support, WFP severity score: aipw estimate</t>
  </si>
  <si>
    <t xml:space="preserve">Indices, within support, WFP severity score: aipw bootstrap s.e.</t>
  </si>
  <si>
    <t xml:space="preserve">Indices, within support, WFP severity score: entropy estimate</t>
  </si>
  <si>
    <t xml:space="preserve">Indices, within support, WFP severity score: entropy bootstrap s.e.</t>
  </si>
  <si>
    <t xml:space="preserve">Indices, within support, WFP severity score: OLS design-based s.e.</t>
  </si>
  <si>
    <t xml:space="preserve">Indices, within support, WFP severity score: OLS design-based p</t>
  </si>
  <si>
    <t xml:space="preserve">Indices, within support, WFP severity score: Romano-Wolf p (four indices)</t>
  </si>
  <si>
    <t xml:space="preserve">Indices, within support, WFP severity score: Oster beta*</t>
  </si>
  <si>
    <t xml:space="preserve">Indices, within support, WFP severity score: Oster delta*</t>
  </si>
  <si>
    <t xml:space="preserve">Indices, within support, WFP severity score: robustness value</t>
  </si>
  <si>
    <t xml:space="preserve">Indices, within support, WFP severity score: robustness value for significance</t>
  </si>
  <si>
    <t xml:space="preserve">Indices, within support, WFP severity score: adjusted estimate, confounder as strong as urban</t>
  </si>
  <si>
    <t xml:space="preserve">Indices, within support, WFP severity score: adjusted estimate, confounder as strong as savings_s</t>
  </si>
  <si>
    <t xml:space="preserve">Indices, within support, WFP severity score: adjusted estimate, confounder as strong as pension_s</t>
  </si>
  <si>
    <t xml:space="preserve">Indices, within support, WFP severity score: minimum detectable difference</t>
  </si>
  <si>
    <t xml:space="preserve">Indices, whole sample, Consumption cuts index: raw estimate</t>
  </si>
  <si>
    <t xml:space="preserve">Indices, whole sample, Consumption cuts index: raw bootstrap s.e.</t>
  </si>
  <si>
    <t xml:space="preserve">Indices, whole sample, Consumption cuts index: ols estimate</t>
  </si>
  <si>
    <t xml:space="preserve">Indices, whole sample, Consumption cuts index: ols bootstrap s.e.</t>
  </si>
  <si>
    <t xml:space="preserve">Indices, whole sample, Consumption cuts index: ipw estimate</t>
  </si>
  <si>
    <t xml:space="preserve">Indices, whole sample, Consumption cuts index: ipw bootstrap s.e.</t>
  </si>
  <si>
    <t xml:space="preserve">Indices, whole sample, Consumption cuts index: aipw estimate</t>
  </si>
  <si>
    <t xml:space="preserve">Indices, whole sample, Consumption cuts index: aipw bootstrap s.e.</t>
  </si>
  <si>
    <t xml:space="preserve">Indices, whole sample, Consumption cuts index: entropy estimate</t>
  </si>
  <si>
    <t xml:space="preserve">Indices, whole sample, Consumption cuts index: entropy bootstrap s.e.</t>
  </si>
  <si>
    <t xml:space="preserve">bootstrap standard error: differs by 24% (see the note)</t>
  </si>
  <si>
    <t xml:space="preserve">Indices, whole sample, Consumption cuts index: OLS design-based s.e.</t>
  </si>
  <si>
    <t xml:space="preserve">Indices, whole sample, Consumption cuts index: OLS design-based p</t>
  </si>
  <si>
    <t xml:space="preserve">Indices, whole sample, Consumption cuts index: Romano-Wolf p (four indices)</t>
  </si>
  <si>
    <t xml:space="preserve">Indices, whole sample, Consumption cuts index: Oster beta*</t>
  </si>
  <si>
    <t xml:space="preserve">Indices, whole sample, Consumption cuts index: Oster delta*</t>
  </si>
  <si>
    <t xml:space="preserve">Indices, whole sample, Consumption cuts index: robustness value</t>
  </si>
  <si>
    <t xml:space="preserve">Indices, whole sample, Consumption cuts index: robustness value for significance</t>
  </si>
  <si>
    <t xml:space="preserve">Indices, whole sample, Consumption cuts index: adjusted estimate, confounder as strong as urban</t>
  </si>
  <si>
    <t xml:space="preserve">Indices, whole sample, Consumption cuts index: adjusted estimate, confounder as strong as savings_s</t>
  </si>
  <si>
    <t xml:space="preserve">Indices, whole sample, Consumption cuts index: adjusted estimate, confounder as strong as pension_s</t>
  </si>
  <si>
    <t xml:space="preserve">Indices, whole sample, Consumption cuts index: minimum detectable difference</t>
  </si>
  <si>
    <t xml:space="preserve">Indices, whole sample, Financial buffers index: raw estimate</t>
  </si>
  <si>
    <t xml:space="preserve">Indices, whole sample, Financial buffers index: raw bootstrap s.e.</t>
  </si>
  <si>
    <t xml:space="preserve">Indices, whole sample, Financial buffers index: ols estimate</t>
  </si>
  <si>
    <t xml:space="preserve">Indices, whole sample, Financial buffers index: ols bootstrap s.e.</t>
  </si>
  <si>
    <t xml:space="preserve">Indices, whole sample, Financial buffers index: ipw estimate</t>
  </si>
  <si>
    <t xml:space="preserve">Indices, whole sample, Financial buffers index: ipw bootstrap s.e.</t>
  </si>
  <si>
    <t xml:space="preserve">Indices, whole sample, Financial buffers index: aipw estimate</t>
  </si>
  <si>
    <t xml:space="preserve">Indices, whole sample, Financial buffers index: aipw bootstrap s.e.</t>
  </si>
  <si>
    <t xml:space="preserve">Indices, whole sample, Financial buffers index: entropy estimate</t>
  </si>
  <si>
    <t xml:space="preserve">Indices, whole sample, Financial buffers index: entropy bootstrap s.e.</t>
  </si>
  <si>
    <t xml:space="preserve">bootstrap standard error: differs by 27% (see the note)</t>
  </si>
  <si>
    <t xml:space="preserve">Indices, whole sample, Financial buffers index: OLS design-based s.e.</t>
  </si>
  <si>
    <t xml:space="preserve">Indices, whole sample, Financial buffers index: OLS design-based p</t>
  </si>
  <si>
    <t xml:space="preserve">Indices, whole sample, Financial buffers index: Romano-Wolf p (four indices)</t>
  </si>
  <si>
    <t xml:space="preserve">Indices, whole sample, Financial buffers index: Oster beta*</t>
  </si>
  <si>
    <t xml:space="preserve">Indices, whole sample, Financial buffers index: Oster delta*</t>
  </si>
  <si>
    <t xml:space="preserve">Indices, whole sample, Financial buffers index: robustness value</t>
  </si>
  <si>
    <t xml:space="preserve">Indices, whole sample, Financial buffers index: robustness value for significance</t>
  </si>
  <si>
    <t xml:space="preserve">Indices, whole sample, Financial buffers index: adjusted estimate, confounder as strong as urban</t>
  </si>
  <si>
    <t xml:space="preserve">Indices, whole sample, Financial buffers index: adjusted estimate, confounder as strong as savings_s</t>
  </si>
  <si>
    <t xml:space="preserve">Indices, whole sample, Financial buffers index: adjusted estimate, confounder as strong as pension_s</t>
  </si>
  <si>
    <t xml:space="preserve">Indices, whole sample, Financial buffers index: minimum detectable difference</t>
  </si>
  <si>
    <t xml:space="preserve">Indices, whole sample, Severe responses index: raw estimate</t>
  </si>
  <si>
    <t xml:space="preserve">Indices, whole sample, Severe responses index: raw bootstrap s.e.</t>
  </si>
  <si>
    <t xml:space="preserve">Indices, whole sample, Severe responses index: ols estimate</t>
  </si>
  <si>
    <t xml:space="preserve">Indices, whole sample, Severe responses index: ols bootstrap s.e.</t>
  </si>
  <si>
    <t xml:space="preserve">Indices, whole sample, Severe responses index: ipw estimate</t>
  </si>
  <si>
    <t xml:space="preserve">Indices, whole sample, Severe responses index: ipw bootstrap s.e.</t>
  </si>
  <si>
    <t xml:space="preserve">Indices, whole sample, Severe responses index: aipw estimate</t>
  </si>
  <si>
    <t xml:space="preserve">Indices, whole sample, Severe responses index: aipw bootstrap s.e.</t>
  </si>
  <si>
    <t xml:space="preserve">Indices, whole sample, Severe responses index: entropy estimate</t>
  </si>
  <si>
    <t xml:space="preserve">Indices, whole sample, Severe responses index: entropy bootstrap s.e.</t>
  </si>
  <si>
    <t xml:space="preserve">bootstrap standard error: differs by 18% (see the note)</t>
  </si>
  <si>
    <t xml:space="preserve">Indices, whole sample, Severe responses index: OLS design-based s.e.</t>
  </si>
  <si>
    <t xml:space="preserve">Indices, whole sample, Severe responses index: OLS design-based p</t>
  </si>
  <si>
    <t xml:space="preserve">Indices, whole sample, Severe responses index: Romano-Wolf p (four indices)</t>
  </si>
  <si>
    <t xml:space="preserve">Indices, whole sample, Severe responses index: Oster beta*</t>
  </si>
  <si>
    <t xml:space="preserve">Indices, whole sample, Severe responses index: Oster delta*</t>
  </si>
  <si>
    <t xml:space="preserve">Indices, whole sample, Severe responses index: robustness value</t>
  </si>
  <si>
    <t xml:space="preserve">Indices, whole sample, Severe responses index: robustness value for significance</t>
  </si>
  <si>
    <t xml:space="preserve">Indices, whole sample, Severe responses index: adjusted estimate, confounder as strong as urban</t>
  </si>
  <si>
    <t xml:space="preserve">Indices, whole sample, Severe responses index: adjusted estimate, confounder as strong as savings_s</t>
  </si>
  <si>
    <t xml:space="preserve">Indices, whole sample, Severe responses index: adjusted estimate, confounder as strong as pension_s</t>
  </si>
  <si>
    <t xml:space="preserve">Indices, whole sample, Severe responses index: minimum detectable difference</t>
  </si>
  <si>
    <t xml:space="preserve">Indices, whole sample, WFP severity score: raw estimate</t>
  </si>
  <si>
    <t xml:space="preserve">Indices, whole sample, WFP severity score: raw bootstrap s.e.</t>
  </si>
  <si>
    <t xml:space="preserve">Indices, whole sample, WFP severity score: ols estimate</t>
  </si>
  <si>
    <t xml:space="preserve">Indices, whole sample, WFP severity score: ols bootstrap s.e.</t>
  </si>
  <si>
    <t xml:space="preserve">Indices, whole sample, WFP severity score: ipw estimate</t>
  </si>
  <si>
    <t xml:space="preserve">Indices, whole sample, WFP severity score: ipw bootstrap s.e.</t>
  </si>
  <si>
    <t xml:space="preserve">Indices, whole sample, WFP severity score: aipw estimate</t>
  </si>
  <si>
    <t xml:space="preserve">Indices, whole sample, WFP severity score: aipw bootstrap s.e.</t>
  </si>
  <si>
    <t xml:space="preserve">Indices, whole sample, WFP severity score: entropy estimate</t>
  </si>
  <si>
    <t xml:space="preserve">Indices, whole sample, WFP severity score: entropy bootstrap s.e.</t>
  </si>
  <si>
    <t xml:space="preserve">bootstrap standard error: differs by 33% (see the note)</t>
  </si>
  <si>
    <t xml:space="preserve">Indices, whole sample, WFP severity score: OLS design-based s.e.</t>
  </si>
  <si>
    <t xml:space="preserve">Indices, whole sample, WFP severity score: OLS design-based p</t>
  </si>
  <si>
    <t xml:space="preserve">Indices, whole sample, WFP severity score: Romano-Wolf p (four indices)</t>
  </si>
  <si>
    <t xml:space="preserve">Indices, whole sample, WFP severity score: Oster beta*</t>
  </si>
  <si>
    <t xml:space="preserve">Indices, whole sample, WFP severity score: Oster delta*</t>
  </si>
  <si>
    <t xml:space="preserve">Indices, whole sample, WFP severity score: robustness value</t>
  </si>
  <si>
    <t xml:space="preserve">Indices, whole sample, WFP severity score: robustness value for significance</t>
  </si>
  <si>
    <t xml:space="preserve">Indices, whole sample, WFP severity score: adjusted estimate, confounder as strong as urban</t>
  </si>
  <si>
    <t xml:space="preserve">Indices, whole sample, WFP severity score: adjusted estimate, confounder as strong as savings_s</t>
  </si>
  <si>
    <t xml:space="preserve">Indices, whole sample, WFP severity score: adjusted estimate, confounder as strong as pension_s</t>
  </si>
  <si>
    <t xml:space="preserve">Indices, whole sample, WFP severity score: minimum detectable difference</t>
  </si>
  <si>
    <t xml:space="preserve">DML, forest, Income from work: estimate</t>
  </si>
  <si>
    <t xml:space="preserve">within the learner's own randomness (under a quarter of its standard error)</t>
  </si>
  <si>
    <t xml:space="preserve">DML, forest, Income from work: influence-function s.e.</t>
  </si>
  <si>
    <t xml:space="preserve">DML, forest, Income from work: bootstrap s.e.</t>
  </si>
  <si>
    <t xml:space="preserve">DML, boosting, Income from work: estimate</t>
  </si>
  <si>
    <t xml:space="preserve">DML, boosting, Income from work: influence-function s.e.</t>
  </si>
  <si>
    <t xml:space="preserve">DML, boosting, Income from work: bootstrap s.e.</t>
  </si>
  <si>
    <t xml:space="preserve">DML, lasso, Income from work: estimate</t>
  </si>
  <si>
    <t xml:space="preserve">DML, lasso, Income from work: influence-function s.e.</t>
  </si>
  <si>
    <t xml:space="preserve">within half of its standard error (the lasso: a different penalty grid)</t>
  </si>
  <si>
    <t xml:space="preserve">DML, lasso, Income from work: bootstrap s.e.</t>
  </si>
  <si>
    <t xml:space="preserve">bootstrap standard error: differs by 16% (see the note)</t>
  </si>
  <si>
    <t xml:space="preserve">DML, forest, Refrigerator: estimate</t>
  </si>
  <si>
    <t xml:space="preserve">DML, forest, Refrigerator: influence-function s.e.</t>
  </si>
  <si>
    <t xml:space="preserve">DML, forest, Refrigerator: bootstrap s.e.</t>
  </si>
  <si>
    <t xml:space="preserve">DML, boosting, Refrigerator: estimate</t>
  </si>
  <si>
    <t xml:space="preserve">DML, boosting, Refrigerator: influence-function s.e.</t>
  </si>
  <si>
    <t xml:space="preserve">DML, boosting, Refrigerator: bootstrap s.e.</t>
  </si>
  <si>
    <t xml:space="preserve">DML, lasso, Refrigerator: estimate</t>
  </si>
  <si>
    <t xml:space="preserve">DML, lasso, Refrigerator: influence-function s.e.</t>
  </si>
  <si>
    <t xml:space="preserve">DML, lasso, Refrigerator: bootstrap s.e.</t>
  </si>
  <si>
    <t xml:space="preserve">bootstrap standard error: differs by 26% (see the note)</t>
  </si>
  <si>
    <t xml:space="preserve">DML, forest, Stove: estimate</t>
  </si>
  <si>
    <t xml:space="preserve">DML, forest, Stove: influence-function s.e.</t>
  </si>
  <si>
    <t xml:space="preserve">DML, forest, Stove: bootstrap s.e.</t>
  </si>
  <si>
    <t xml:space="preserve">DML, boosting, Stove: estimate</t>
  </si>
  <si>
    <t xml:space="preserve">DML, boosting, Stove: influence-function s.e.</t>
  </si>
  <si>
    <t xml:space="preserve">DML, boosting, Stove: bootstrap s.e.</t>
  </si>
  <si>
    <t xml:space="preserve">DML, lasso, Stove: estimate</t>
  </si>
  <si>
    <t xml:space="preserve">DML, lasso, Stove: influence-function s.e.</t>
  </si>
  <si>
    <t xml:space="preserve">DML, lasso, Stove: bootstrap s.e.</t>
  </si>
  <si>
    <t xml:space="preserve">bootstrap standard error: differs by 34% (see the note)</t>
  </si>
  <si>
    <t xml:space="preserve">DML, forest, Spending per person (log): estimate</t>
  </si>
  <si>
    <t xml:space="preserve">DML, forest, Spending per person (log): influence-function s.e.</t>
  </si>
  <si>
    <t xml:space="preserve">DML, forest, Spending per person (log): bootstrap s.e.</t>
  </si>
  <si>
    <t xml:space="preserve">DML, boosting, Spending per person (log): estimate</t>
  </si>
  <si>
    <t xml:space="preserve">DML, boosting, Spending per person (log): influence-function s.e.</t>
  </si>
  <si>
    <t xml:space="preserve">DML, boosting, Spending per person (log): bootstrap s.e.</t>
  </si>
  <si>
    <t xml:space="preserve">DML, lasso, Spending per person (log): estimate</t>
  </si>
  <si>
    <t xml:space="preserve">DML, lasso, Spending per person (log): influence-function s.e.</t>
  </si>
  <si>
    <t xml:space="preserve">DML, lasso, Spending per person (log): bootstrap s.e.</t>
  </si>
  <si>
    <t xml:space="preserve">bootstrap standard error: differs by 29% (see the note)</t>
  </si>
  <si>
    <t xml:space="preserve">DML, forest, Self-rated integration: estimate</t>
  </si>
  <si>
    <t xml:space="preserve">DML, forest, Self-rated integration: influence-function s.e.</t>
  </si>
  <si>
    <t xml:space="preserve">DML, forest, Self-rated integration: bootstrap s.e.</t>
  </si>
  <si>
    <t xml:space="preserve">DML, boosting, Self-rated integration: estimate</t>
  </si>
  <si>
    <t xml:space="preserve">DML, boosting, Self-rated integration: influence-function s.e.</t>
  </si>
  <si>
    <t xml:space="preserve">DML, boosting, Self-rated integration: bootstrap s.e.</t>
  </si>
  <si>
    <t xml:space="preserve">DML, lasso, Self-rated integration: estimate</t>
  </si>
  <si>
    <t xml:space="preserve">DML, lasso, Self-rated integration: influence-function s.e.</t>
  </si>
  <si>
    <t xml:space="preserve">DML, lasso, Self-rated integration: bootstrap s.e.</t>
  </si>
  <si>
    <t xml:space="preserve">bootstrap standard error: differs by 25% (see the note)</t>
  </si>
  <si>
    <t xml:space="preserve">DML, forest, Income fell: estimate</t>
  </si>
  <si>
    <t xml:space="preserve">DML, forest, Income fell: influence-function s.e.</t>
  </si>
  <si>
    <t xml:space="preserve">DML, forest, Income fell: bootstrap s.e.</t>
  </si>
  <si>
    <t xml:space="preserve">DML, boosting, Income fell: estimate</t>
  </si>
  <si>
    <t xml:space="preserve">DML, boosting, Income fell: influence-function s.e.</t>
  </si>
  <si>
    <t xml:space="preserve">DML, boosting, Income fell: bootstrap s.e.</t>
  </si>
  <si>
    <t xml:space="preserve">DML, lasso, Income fell: estimate</t>
  </si>
  <si>
    <t xml:space="preserve">DML, lasso, Income fell: influence-function s.e.</t>
  </si>
  <si>
    <t xml:space="preserve">DML, lasso, Income fell: bootstrap s.e.</t>
  </si>
  <si>
    <t xml:space="preserve">DML, forest, Used savings: estimate</t>
  </si>
  <si>
    <t xml:space="preserve">DML, forest, Used savings: influence-function s.e.</t>
  </si>
  <si>
    <t xml:space="preserve">DML, forest, Used savings: bootstrap s.e.</t>
  </si>
  <si>
    <t xml:space="preserve">DML, boosting, Used savings: estimate</t>
  </si>
  <si>
    <t xml:space="preserve">DML, boosting, Used savings: influence-function s.e.</t>
  </si>
  <si>
    <t xml:space="preserve">DML, boosting, Used savings: bootstrap s.e.</t>
  </si>
  <si>
    <t xml:space="preserve">DML, lasso, Used savings: estimate</t>
  </si>
  <si>
    <t xml:space="preserve">DML, lasso, Used savings: influence-function s.e.</t>
  </si>
  <si>
    <t xml:space="preserve">DML, lasso, Used savings: bootstrap s.e.</t>
  </si>
  <si>
    <t xml:space="preserve">DML, forest, A member lost a job: estimate</t>
  </si>
  <si>
    <t xml:space="preserve">DML, forest, A member lost a job: influence-function s.e.</t>
  </si>
  <si>
    <t xml:space="preserve">DML, boosting, A member lost a job: estimate</t>
  </si>
  <si>
    <t xml:space="preserve">DML, boosting, A member lost a job: influence-function s.e.</t>
  </si>
  <si>
    <t xml:space="preserve">DML, lasso, A member lost a job: estimate</t>
  </si>
  <si>
    <t xml:space="preserve">DML, lasso, A member lost a job: influence-function s.e.</t>
  </si>
  <si>
    <t xml:space="preserve">DML, forest, Sickness: estimate</t>
  </si>
  <si>
    <t xml:space="preserve">DML, forest, Sickness: influence-function s.e.</t>
  </si>
  <si>
    <t xml:space="preserve">DML, boosting, Sickness: estimate</t>
  </si>
  <si>
    <t xml:space="preserve">DML, boosting, Sickness: influence-function s.e.</t>
  </si>
  <si>
    <t xml:space="preserve">DML, lasso, Sickness: estimate</t>
  </si>
  <si>
    <t xml:space="preserve">DML, lasso, Sickness: influence-function s.e.</t>
  </si>
  <si>
    <t xml:space="preserve">DML, forest, Number of responses: estimate</t>
  </si>
  <si>
    <t xml:space="preserve">DML, forest, Number of responses: influence-function s.e.</t>
  </si>
  <si>
    <t xml:space="preserve">DML, boosting, Number of responses: estimate</t>
  </si>
  <si>
    <t xml:space="preserve">DML, boosting, Number of responses: influence-function s.e.</t>
  </si>
  <si>
    <t xml:space="preserve">DML, lasso, Number of responses: estimate</t>
  </si>
  <si>
    <t xml:space="preserve">DML, lasso, Number of responses: influence-function s.e.</t>
  </si>
  <si>
    <t xml:space="preserve">DML, forest, Ate less: estimate</t>
  </si>
  <si>
    <t xml:space="preserve">DML, forest, Ate less: influence-function s.e.</t>
  </si>
  <si>
    <t xml:space="preserve">DML, boosting, Ate less: estimate</t>
  </si>
  <si>
    <t xml:space="preserve">DML, boosting, Ate less: influence-function s.e.</t>
  </si>
  <si>
    <t xml:space="preserve">DML, lasso, Ate less: estimate</t>
  </si>
  <si>
    <t xml:space="preserve">DML, lasso, Ate less: influence-function s.e.</t>
  </si>
  <si>
    <t xml:space="preserve">DML, forest, Cut other household spending: estimate</t>
  </si>
  <si>
    <t xml:space="preserve">DML, forest, Cut other household spending: influence-function s.e.</t>
  </si>
  <si>
    <t xml:space="preserve">DML, boosting, Cut other household spending: estimate</t>
  </si>
  <si>
    <t xml:space="preserve">DML, boosting, Cut other household spending: influence-function s.e.</t>
  </si>
  <si>
    <t xml:space="preserve">DML, lasso, Cut other household spending: estimate</t>
  </si>
  <si>
    <t xml:space="preserve">DML, lasso, Cut other household spending: influence-function s.e.</t>
  </si>
  <si>
    <t xml:space="preserve">DML, forest, Cut spending on education: estimate</t>
  </si>
  <si>
    <t xml:space="preserve">DML, forest, Cut spending on education: influence-function s.e.</t>
  </si>
  <si>
    <t xml:space="preserve">DML, boosting, Cut spending on education: estimate</t>
  </si>
  <si>
    <t xml:space="preserve">DML, boosting, Cut spending on education: influence-function s.e.</t>
  </si>
  <si>
    <t xml:space="preserve">DML, lasso, Cut spending on education: estimate</t>
  </si>
  <si>
    <t xml:space="preserve">DML, lasso, Cut spending on education: influence-function s.e.</t>
  </si>
  <si>
    <t xml:space="preserve">DML, forest, A child went to work: estimate</t>
  </si>
  <si>
    <t xml:space="preserve">DML, forest, A child went to work: influence-function s.e.</t>
  </si>
  <si>
    <t xml:space="preserve">DML, boosting, A child went to work: estimate</t>
  </si>
  <si>
    <t xml:space="preserve">DML, boosting, A child went to work: influence-function s.e.</t>
  </si>
  <si>
    <t xml:space="preserve">DML, lasso, A child went to work: estimate</t>
  </si>
  <si>
    <t xml:space="preserve">DML, lasso, A child went to work: influence-function s.e.</t>
  </si>
  <si>
    <t xml:space="preserve">DML, forest, Asked for a loan: estimate</t>
  </si>
  <si>
    <t xml:space="preserve">DML, forest, Asked for a loan: influence-function s.e.</t>
  </si>
  <si>
    <t xml:space="preserve">DML, boosting, Asked for a loan: estimate</t>
  </si>
  <si>
    <t xml:space="preserve">DML, boosting, Asked for a loan: influence-function s.e.</t>
  </si>
  <si>
    <t xml:space="preserve">DML, lasso, Asked for a loan: estimate</t>
  </si>
  <si>
    <t xml:space="preserve">DML, lasso, Asked for a loan: influence-function s.e.</t>
  </si>
  <si>
    <t xml:space="preserve">DML, forest, Sold belongings: estimate</t>
  </si>
  <si>
    <t xml:space="preserve">DML, forest, Sold belongings: influence-function s.e.</t>
  </si>
  <si>
    <t xml:space="preserve">DML, boosting, Sold belongings: estimate</t>
  </si>
  <si>
    <t xml:space="preserve">DML, boosting, Sold belongings: influence-function s.e.</t>
  </si>
  <si>
    <t xml:space="preserve">DML, lasso, Sold belongings: estimate</t>
  </si>
  <si>
    <t xml:space="preserve">DML, lasso, Sold belongings: influence-function s.e.</t>
  </si>
  <si>
    <t xml:space="preserve">DML, forest, Asked for assistance: estimate</t>
  </si>
  <si>
    <t xml:space="preserve">DML, forest, Asked for assistance: influence-function s.e.</t>
  </si>
  <si>
    <t xml:space="preserve">DML, boosting, Asked for assistance: estimate</t>
  </si>
  <si>
    <t xml:space="preserve">DML, boosting, Asked for assistance: influence-function s.e.</t>
  </si>
  <si>
    <t xml:space="preserve">DML, lasso, Asked for assistance: estimate</t>
  </si>
  <si>
    <t xml:space="preserve">DML, lasso, Asked for assistance: influence-function s.e.</t>
  </si>
  <si>
    <t xml:space="preserve">DML, forest, Worked more hours: estimate</t>
  </si>
  <si>
    <t xml:space="preserve">DML, forest, Worked more hours: influence-function s.e.</t>
  </si>
  <si>
    <t xml:space="preserve">DML, boosting, Worked more hours: estimate</t>
  </si>
  <si>
    <t xml:space="preserve">DML, boosting, Worked more hours: influence-function s.e.</t>
  </si>
  <si>
    <t xml:space="preserve">DML, lasso, Worked more hours: estimate</t>
  </si>
  <si>
    <t xml:space="preserve">DML, lasso, Worked more hours: influence-function s.e.</t>
  </si>
  <si>
    <t xml:space="preserve">DML, forest, Took a second job: estimate</t>
  </si>
  <si>
    <t xml:space="preserve">DML, forest, Took a second job: influence-function s.e.</t>
  </si>
  <si>
    <t xml:space="preserve">DML, boosting, Took a second job: estimate</t>
  </si>
  <si>
    <t xml:space="preserve">DML, boosting, Took a second job: influence-function s.e.</t>
  </si>
  <si>
    <t xml:space="preserve">DML, lasso, Took a second job: estimate</t>
  </si>
  <si>
    <t xml:space="preserve">DML, lasso, Took a second job: influence-function s.e.</t>
  </si>
  <si>
    <t xml:space="preserve">DML, forest, Another member brought income: estimate</t>
  </si>
  <si>
    <t xml:space="preserve">DML, forest, Another member brought income: influence-function s.e.</t>
  </si>
  <si>
    <t xml:space="preserve">DML, boosting, Another member brought income: estimate</t>
  </si>
  <si>
    <t xml:space="preserve">DML, boosting, Another member brought income: influence-function s.e.</t>
  </si>
  <si>
    <t xml:space="preserve">DML, lasso, Another member brought income: estimate</t>
  </si>
  <si>
    <t xml:space="preserve">DML, lasso, Another member brought income: influence-function s.e.</t>
  </si>
  <si>
    <t xml:space="preserve">DML, forest, Consumption cuts index: estimate</t>
  </si>
  <si>
    <t xml:space="preserve">DML, forest, Consumption cuts index: influence-function s.e.</t>
  </si>
  <si>
    <t xml:space="preserve">DML, forest, Consumption cuts index: bootstrap s.e.</t>
  </si>
  <si>
    <t xml:space="preserve">DML, boosting, Consumption cuts index: estimate</t>
  </si>
  <si>
    <t xml:space="preserve">DML, boosting, Consumption cuts index: influence-function s.e.</t>
  </si>
  <si>
    <t xml:space="preserve">DML, boosting, Consumption cuts index: bootstrap s.e.</t>
  </si>
  <si>
    <t xml:space="preserve">DML, lasso, Consumption cuts index: estimate</t>
  </si>
  <si>
    <t xml:space="preserve">DML, lasso, Consumption cuts index: influence-function s.e.</t>
  </si>
  <si>
    <t xml:space="preserve">DML, lasso, Consumption cuts index: bootstrap s.e.</t>
  </si>
  <si>
    <t xml:space="preserve">DML, forest, Financial buffers index: estimate</t>
  </si>
  <si>
    <t xml:space="preserve">DML, forest, Financial buffers index: influence-function s.e.</t>
  </si>
  <si>
    <t xml:space="preserve">DML, forest, Financial buffers index: bootstrap s.e.</t>
  </si>
  <si>
    <t xml:space="preserve">DML, boosting, Financial buffers index: estimate</t>
  </si>
  <si>
    <t xml:space="preserve">DML, boosting, Financial buffers index: influence-function s.e.</t>
  </si>
  <si>
    <t xml:space="preserve">DML, boosting, Financial buffers index: bootstrap s.e.</t>
  </si>
  <si>
    <t xml:space="preserve">DML, lasso, Financial buffers index: estimate</t>
  </si>
  <si>
    <t xml:space="preserve">DML, lasso, Financial buffers index: influence-function s.e.</t>
  </si>
  <si>
    <t xml:space="preserve">DML, lasso, Financial buffers index: bootstrap s.e.</t>
  </si>
  <si>
    <t xml:space="preserve">bootstrap standard error: differs by 30% (see the note)</t>
  </si>
  <si>
    <t xml:space="preserve">DML, forest, Severe responses index: estimate</t>
  </si>
  <si>
    <t xml:space="preserve">DML, forest, Severe responses index: influence-function s.e.</t>
  </si>
  <si>
    <t xml:space="preserve">DML, forest, Severe responses index: bootstrap s.e.</t>
  </si>
  <si>
    <t xml:space="preserve">DML, boosting, Severe responses index: estimate</t>
  </si>
  <si>
    <t xml:space="preserve">DML, boosting, Severe responses index: influence-function s.e.</t>
  </si>
  <si>
    <t xml:space="preserve">DML, boosting, Severe responses index: bootstrap s.e.</t>
  </si>
  <si>
    <t xml:space="preserve">DML, lasso, Severe responses index: estimate</t>
  </si>
  <si>
    <t xml:space="preserve">DML, lasso, Severe responses index: influence-function s.e.</t>
  </si>
  <si>
    <t xml:space="preserve">DML, lasso, Severe responses index: bootstrap s.e.</t>
  </si>
  <si>
    <t xml:space="preserve">DML, forest, WFP severity score: estimate</t>
  </si>
  <si>
    <t xml:space="preserve">DML, forest, WFP severity score: influence-function s.e.</t>
  </si>
  <si>
    <t xml:space="preserve">DML, forest, WFP severity score: bootstrap s.e.</t>
  </si>
  <si>
    <t xml:space="preserve">DML, boosting, WFP severity score: estimate</t>
  </si>
  <si>
    <t xml:space="preserve">DML, boosting, WFP severity score: influence-function s.e.</t>
  </si>
  <si>
    <t xml:space="preserve">DML, boosting, WFP severity score: bootstrap s.e.</t>
  </si>
  <si>
    <t xml:space="preserve">DML, lasso, WFP severity score: estimate</t>
  </si>
  <si>
    <t xml:space="preserve">DML, lasso, WFP severity score: influence-function s.e.</t>
  </si>
  <si>
    <t xml:space="preserve">DML, lasso, WFP severity score: bootstrap s.e.</t>
  </si>
  <si>
    <t xml:space="preserve">bootstrap standard error: differs by 28% (see the note)</t>
  </si>
  <si>
    <t xml:space="preserve">Selection model, logit: cross-validated AUC</t>
  </si>
  <si>
    <t xml:space="preserve">Selection model, logit: Brier score</t>
  </si>
  <si>
    <t xml:space="preserve">Selection model, forest: cross-validated AUC</t>
  </si>
  <si>
    <t xml:space="preserve">Selection model, forest: Brier score</t>
  </si>
  <si>
    <t xml:space="preserve">Selection model, boosting: cross-validated AUC</t>
  </si>
  <si>
    <t xml:space="preserve">Selection model, boosting: Brier score</t>
  </si>
  <si>
    <t xml:space="preserve">Selection model, lasso: cross-validated AUC</t>
  </si>
  <si>
    <t xml:space="preserve">Selection model, lasso: Brier score</t>
  </si>
  <si>
    <t xml:space="preserve">Forest permutation importance: business_s</t>
  </si>
  <si>
    <t xml:space="preserve">Forest permutation importance: car_s</t>
  </si>
  <si>
    <t xml:space="preserve">Forest permutation importance: daraa</t>
  </si>
  <si>
    <t xml:space="preserve">Forest permutation importance: early</t>
  </si>
  <si>
    <t xml:space="preserve">Forest permutation importance: fsize</t>
  </si>
  <si>
    <t xml:space="preserve">Forest permutation importance: pension_s</t>
  </si>
  <si>
    <t xml:space="preserve">Forest permutation importance: savings_s</t>
  </si>
  <si>
    <t xml:space="preserve">Forest permutation importance: urban</t>
  </si>
  <si>
    <t xml:space="preserve">Forest permutation importance: vacations_s</t>
  </si>
  <si>
    <t xml:space="preserve">Partial dependence, savings_s = 0</t>
  </si>
  <si>
    <t xml:space="preserve">Partial dependence, savings_s = 1</t>
  </si>
  <si>
    <t xml:space="preserve">Partial dependence, urban = 0</t>
  </si>
  <si>
    <t xml:space="preserve">Partial dependence, urban = 1</t>
  </si>
  <si>
    <t xml:space="preserve">Off support, cross-validated forest score: camp</t>
  </si>
  <si>
    <t xml:space="preserve">Off support, cross-validated logit score: camp</t>
  </si>
  <si>
    <t xml:space="preserve">one household apart: the folds differ</t>
  </si>
  <si>
    <t xml:space="preserve">Off support, cross-validated logit score: towns</t>
  </si>
  <si>
    <t xml:space="preserve">Placebo AUC, six left-out traits alone: logit</t>
  </si>
  <si>
    <t xml:space="preserve">Placebo AUC, six left-out traits alone: random forest</t>
  </si>
  <si>
    <t xml:space="preserve">Placebo AUC, nine design traits (households with the six observed): logit</t>
  </si>
  <si>
    <t xml:space="preserve">Placebo AUC, nine design traits (households with the six observed): random forest</t>
  </si>
  <si>
    <t xml:space="preserve">Placebo AUC, all fifteen traits: logit</t>
  </si>
  <si>
    <t xml:space="preserve">Placebo AUC, all fifteen traits: random forest</t>
  </si>
  <si>
    <t xml:space="preserve">Placebo AUC, six left-out traits within support, ATT weights: logit</t>
  </si>
  <si>
    <t xml:space="preserve">Placebo AUC, six left-out traits within support, ATT weights: random forest</t>
  </si>
  <si>
    <t xml:space="preserve">Placebo AUC, six left-out traits within support, no weights: logit</t>
  </si>
  <si>
    <t xml:space="preserve">Placebo AUC, six left-out traits within support, no weights: random forest</t>
  </si>
  <si>
    <t xml:space="preserve">Largest absolute difference, third brief</t>
  </si>
  <si>
    <t xml:space="preserve">Health as a factor (Part F, replicated by the same independent instance)</t>
  </si>
  <si>
    <t xml:space="preserve">Part F (health as a factor) was replicated by the same independent instance from the written declaration (review/brief_health.md and brief_blind_s4_health.md), on the author's computer, under $HOME/blind/s4_health/. 1769 quantities compared: 1459 identical to three decimals, 17 equal within rounding, 155 masked cells with the same label, 138 Romano-Wolf p values that differ by up to 0.06 because each implementation draws its own 999 bootstrap samples (no tier changes), and 0 to check. The replicator withheld, in block E, the count of a conditional cell wherever subtracting it from the cell of block B would give a count below ten; the original now does the same (recorded on the How it was done sheet). The replicator also ran a second bootstrap for the support that re-estimates the score and the trimming in every draw; its Romano-Wolf p values are higher (by 0.02 to 0.09) and leave the two results beyond the correction unchanged in tier.</t>
  </si>
  <si>
    <t xml:space="preserve">A. medical_condition, camp: households answering</t>
  </si>
  <si>
    <t xml:space="preserve">A. medical_condition, camp: share</t>
  </si>
  <si>
    <t xml:space="preserve">A. medical_condition, towns: households answering</t>
  </si>
  <si>
    <t xml:space="preserve">A. medical_condition, towns: share</t>
  </si>
  <si>
    <t xml:space="preserve">A. medical_condition, all: households answering</t>
  </si>
  <si>
    <t xml:space="preserve">A. medical_condition, all: share</t>
  </si>
  <si>
    <t xml:space="preserve">A. sickness, camp: households answering</t>
  </si>
  <si>
    <t xml:space="preserve">A. sickness, camp: share</t>
  </si>
  <si>
    <t xml:space="preserve">A. sickness, towns: households answering</t>
  </si>
  <si>
    <t xml:space="preserve">A. sickness, towns: share</t>
  </si>
  <si>
    <t xml:space="preserve">A. sickness, all: households answering</t>
  </si>
  <si>
    <t xml:space="preserve">A. sickness, all: share</t>
  </si>
  <si>
    <t xml:space="preserve">B. medical_condition, camp, work_income: with, households</t>
  </si>
  <si>
    <t xml:space="preserve">B. medical_condition, camp, work_income: with, value</t>
  </si>
  <si>
    <t xml:space="preserve">B. medical_condition, camp, work_income: without, value</t>
  </si>
  <si>
    <t xml:space="preserve">B. medical_condition, camp, work_income: difference</t>
  </si>
  <si>
    <t xml:space="preserve">rounding</t>
  </si>
  <si>
    <t xml:space="preserve">B. medical_condition, camp, work_income: margin</t>
  </si>
  <si>
    <t xml:space="preserve">B. medical_condition, camp, work_income: reading</t>
  </si>
  <si>
    <t xml:space="preserve">within</t>
  </si>
  <si>
    <t xml:space="preserve">masked, equal</t>
  </si>
  <si>
    <t xml:space="preserve">B. medical_condition, camp, spend_gt_inc: with, households</t>
  </si>
  <si>
    <t xml:space="preserve">B. medical_condition, camp, spend_gt_inc: with, value</t>
  </si>
  <si>
    <t xml:space="preserve">B. medical_condition, camp, spend_gt_inc: without, value</t>
  </si>
  <si>
    <t xml:space="preserve">B. medical_condition, camp, spend_gt_inc: difference</t>
  </si>
  <si>
    <t xml:space="preserve">B. medical_condition, camp, spend_gt_inc: margin</t>
  </si>
  <si>
    <t xml:space="preserve">B. medical_condition, camp, spend_gt_inc: reading</t>
  </si>
  <si>
    <t xml:space="preserve">B. medical_condition, camp, debts: with, households</t>
  </si>
  <si>
    <t xml:space="preserve">B. medical_condition, camp, debts: with, value</t>
  </si>
  <si>
    <t xml:space="preserve">B. medical_condition, camp, debts: without, value</t>
  </si>
  <si>
    <t xml:space="preserve">B. medical_condition, camp, debts: difference</t>
  </si>
  <si>
    <t xml:space="preserve">B. medical_condition, camp, debts: margin</t>
  </si>
  <si>
    <t xml:space="preserve">B. medical_condition, camp, debts: reading</t>
  </si>
  <si>
    <t xml:space="preserve">B. medical_condition, camp, log_spend_pp: with, households</t>
  </si>
  <si>
    <t xml:space="preserve">B. medical_condition, camp, log_spend_pp: with, value</t>
  </si>
  <si>
    <t xml:space="preserve">B. medical_condition, camp, log_spend_pp: without, value</t>
  </si>
  <si>
    <t xml:space="preserve">B. medical_condition, camp, log_spend_pp: difference</t>
  </si>
  <si>
    <t xml:space="preserve">B. medical_condition, camp, log_spend_pp: margin</t>
  </si>
  <si>
    <t xml:space="preserve">B. medical_condition, camp, log_spend_pp: reading</t>
  </si>
  <si>
    <t xml:space="preserve">B. medical_condition, camp, inc_fell: with, households</t>
  </si>
  <si>
    <t xml:space="preserve">B. medical_condition, camp, inc_fell: with, value</t>
  </si>
  <si>
    <t xml:space="preserve">B. medical_condition, camp, inc_fell: without, value</t>
  </si>
  <si>
    <t xml:space="preserve">B. medical_condition, camp, n_responses: with, households</t>
  </si>
  <si>
    <t xml:space="preserve">B. medical_condition, camp, n_responses: with, value</t>
  </si>
  <si>
    <t xml:space="preserve">B. medical_condition, camp, n_responses: without, value</t>
  </si>
  <si>
    <t xml:space="preserve">B. medical_condition, camp, n_responses: difference</t>
  </si>
  <si>
    <t xml:space="preserve">B. medical_condition, camp, n_responses: margin</t>
  </si>
  <si>
    <t xml:space="preserve">B. medical_condition, camp, n_responses: reading</t>
  </si>
  <si>
    <t xml:space="preserve">B. medical_condition, camp, ate_less: with, households</t>
  </si>
  <si>
    <t xml:space="preserve">B. medical_condition, camp, ate_less: with, value</t>
  </si>
  <si>
    <t xml:space="preserve">B. medical_condition, camp, ate_less: without, value</t>
  </si>
  <si>
    <t xml:space="preserve">B. medical_condition, camp, ate_less: difference</t>
  </si>
  <si>
    <t xml:space="preserve">B. medical_condition, camp, ate_less: margin</t>
  </si>
  <si>
    <t xml:space="preserve">B. medical_condition, camp, ate_less: reading</t>
  </si>
  <si>
    <t xml:space="preserve">edge</t>
  </si>
  <si>
    <t xml:space="preserve">B. medical_condition, camp, cut_spend: with, households</t>
  </si>
  <si>
    <t xml:space="preserve">B. medical_condition, camp, cut_spend: with, value</t>
  </si>
  <si>
    <t xml:space="preserve">B. medical_condition, camp, cut_spend: without, value</t>
  </si>
  <si>
    <t xml:space="preserve">B. medical_condition, camp, cut_spend: difference</t>
  </si>
  <si>
    <t xml:space="preserve">B. medical_condition, camp, cut_spend: margin</t>
  </si>
  <si>
    <t xml:space="preserve">B. medical_condition, camp, cut_spend: reading</t>
  </si>
  <si>
    <t xml:space="preserve">beyond</t>
  </si>
  <si>
    <t xml:space="preserve">B. medical_condition, camp, cut_educ: with, households</t>
  </si>
  <si>
    <t xml:space="preserve">B. medical_condition, camp, cut_educ: with, value</t>
  </si>
  <si>
    <t xml:space="preserve">B. medical_condition, camp, cut_educ: without, value</t>
  </si>
  <si>
    <t xml:space="preserve">B. medical_condition, camp, cut_educ: difference</t>
  </si>
  <si>
    <t xml:space="preserve">B. medical_condition, camp, cut_educ: margin</t>
  </si>
  <si>
    <t xml:space="preserve">B. medical_condition, camp, cut_educ: reading</t>
  </si>
  <si>
    <t xml:space="preserve">B. medical_condition, camp, child_work: with, households</t>
  </si>
  <si>
    <t xml:space="preserve">B. medical_condition, camp, child_work: with, value</t>
  </si>
  <si>
    <t xml:space="preserve">B. medical_condition, camp, child_work: without, value</t>
  </si>
  <si>
    <t xml:space="preserve">B. medical_condition, camp, child_work: difference</t>
  </si>
  <si>
    <t xml:space="preserve">B. medical_condition, camp, child_work: margin</t>
  </si>
  <si>
    <t xml:space="preserve">B. medical_condition, camp, child_work: reading</t>
  </si>
  <si>
    <t xml:space="preserve">B. medical_condition, camp, loan: with, households</t>
  </si>
  <si>
    <t xml:space="preserve">B. medical_condition, camp, loan: with, value</t>
  </si>
  <si>
    <t xml:space="preserve">B. medical_condition, camp, loan: without, value</t>
  </si>
  <si>
    <t xml:space="preserve">B. medical_condition, camp, loan: difference</t>
  </si>
  <si>
    <t xml:space="preserve">B. medical_condition, camp, loan: margin</t>
  </si>
  <si>
    <t xml:space="preserve">B. medical_condition, camp, loan: reading</t>
  </si>
  <si>
    <t xml:space="preserve">B. medical_condition, camp, used_savings: with, households</t>
  </si>
  <si>
    <t xml:space="preserve">B. medical_condition, camp, used_savings: with, value</t>
  </si>
  <si>
    <t xml:space="preserve">B. medical_condition, camp, used_savings: without, value</t>
  </si>
  <si>
    <t xml:space="preserve">B. medical_condition, camp, sold: with, households</t>
  </si>
  <si>
    <t xml:space="preserve">B. medical_condition, camp, sold: with, value</t>
  </si>
  <si>
    <t xml:space="preserve">B. medical_condition, camp, sold: without, value</t>
  </si>
  <si>
    <t xml:space="preserve">B. medical_condition, camp, sold: difference</t>
  </si>
  <si>
    <t xml:space="preserve">B. medical_condition, camp, sold: margin</t>
  </si>
  <si>
    <t xml:space="preserve">B. medical_condition, camp, sold: reading</t>
  </si>
  <si>
    <t xml:space="preserve">B. medical_condition, camp, asked_assist: with, households</t>
  </si>
  <si>
    <t xml:space="preserve">B. medical_condition, camp, asked_assist: with, value</t>
  </si>
  <si>
    <t xml:space="preserve">B. medical_condition, camp, asked_assist: without, value</t>
  </si>
  <si>
    <t xml:space="preserve">B. medical_condition, camp, asked_assist: difference</t>
  </si>
  <si>
    <t xml:space="preserve">B. medical_condition, camp, asked_assist: margin</t>
  </si>
  <si>
    <t xml:space="preserve">B. medical_condition, camp, asked_assist: reading</t>
  </si>
  <si>
    <t xml:space="preserve">B. medical_condition, camp, more_hours: with, households</t>
  </si>
  <si>
    <t xml:space="preserve">B. medical_condition, camp, more_hours: with, value</t>
  </si>
  <si>
    <t xml:space="preserve">B. medical_condition, camp, more_hours: without, value</t>
  </si>
  <si>
    <t xml:space="preserve">B. medical_condition, camp, more_hours: difference</t>
  </si>
  <si>
    <t xml:space="preserve">B. medical_condition, camp, more_hours: margin</t>
  </si>
  <si>
    <t xml:space="preserve">B. medical_condition, camp, more_hours: reading</t>
  </si>
  <si>
    <t xml:space="preserve">B. medical_condition, camp, second_job: with, households</t>
  </si>
  <si>
    <t xml:space="preserve">B. medical_condition, camp, second_job: with, value</t>
  </si>
  <si>
    <t xml:space="preserve">B. medical_condition, camp, second_job: without, value</t>
  </si>
  <si>
    <t xml:space="preserve">B. medical_condition, camp, second_job: difference</t>
  </si>
  <si>
    <t xml:space="preserve">B. medical_condition, camp, second_job: margin</t>
  </si>
  <si>
    <t xml:space="preserve">B. medical_condition, camp, second_job: reading</t>
  </si>
  <si>
    <t xml:space="preserve">B. medical_condition, camp, member_income: with, households</t>
  </si>
  <si>
    <t xml:space="preserve">B. medical_condition, camp, member_income: with, value</t>
  </si>
  <si>
    <t xml:space="preserve">B. medical_condition, camp, member_income: without, value</t>
  </si>
  <si>
    <t xml:space="preserve">B. medical_condition, camp, member_income: difference</t>
  </si>
  <si>
    <t xml:space="preserve">B. medical_condition, camp, member_income: margin</t>
  </si>
  <si>
    <t xml:space="preserve">B. medical_condition, camp, member_income: reading</t>
  </si>
  <si>
    <t xml:space="preserve">B. medical_condition, camp, idx_cons: with, households</t>
  </si>
  <si>
    <t xml:space="preserve">B. medical_condition, camp, idx_cons: with, value</t>
  </si>
  <si>
    <t xml:space="preserve">B. medical_condition, camp, idx_cons: without, value</t>
  </si>
  <si>
    <t xml:space="preserve">B. medical_condition, camp, idx_cons: difference</t>
  </si>
  <si>
    <t xml:space="preserve">B. medical_condition, camp, idx_cons: margin</t>
  </si>
  <si>
    <t xml:space="preserve">B. medical_condition, camp, idx_cons: reading</t>
  </si>
  <si>
    <t xml:space="preserve">B. medical_condition, camp, idx_fin: with, households</t>
  </si>
  <si>
    <t xml:space="preserve">B. medical_condition, camp, idx_fin: with, value</t>
  </si>
  <si>
    <t xml:space="preserve">B. medical_condition, camp, idx_fin: without, value</t>
  </si>
  <si>
    <t xml:space="preserve">B. medical_condition, camp, idx_fin: difference</t>
  </si>
  <si>
    <t xml:space="preserve">B. medical_condition, camp, idx_fin: margin</t>
  </si>
  <si>
    <t xml:space="preserve">B. medical_condition, camp, idx_fin: reading</t>
  </si>
  <si>
    <t xml:space="preserve">B. medical_condition, camp, idx_severe: with, households</t>
  </si>
  <si>
    <t xml:space="preserve">B. medical_condition, camp, idx_severe: with, value</t>
  </si>
  <si>
    <t xml:space="preserve">B. medical_condition, camp, idx_severe: without, value</t>
  </si>
  <si>
    <t xml:space="preserve">B. medical_condition, camp, idx_severe: difference</t>
  </si>
  <si>
    <t xml:space="preserve">B. medical_condition, camp, idx_severe: margin</t>
  </si>
  <si>
    <t xml:space="preserve">B. medical_condition, camp, idx_severe: reading</t>
  </si>
  <si>
    <t xml:space="preserve">B. medical_condition, camp, wfp_score: with, households</t>
  </si>
  <si>
    <t xml:space="preserve">B. medical_condition, camp, wfp_score: with, value</t>
  </si>
  <si>
    <t xml:space="preserve">B. medical_condition, camp, wfp_score: without, value</t>
  </si>
  <si>
    <t xml:space="preserve">B. medical_condition, camp, wfp_score: difference</t>
  </si>
  <si>
    <t xml:space="preserve">B. medical_condition, camp, wfp_score: margin</t>
  </si>
  <si>
    <t xml:space="preserve">B. medical_condition, camp, wfp_score: reading</t>
  </si>
  <si>
    <t xml:space="preserve">B. medical_condition, towns, work_income: with, households</t>
  </si>
  <si>
    <t xml:space="preserve">B. medical_condition, towns, work_income: with, value</t>
  </si>
  <si>
    <t xml:space="preserve">B. medical_condition, towns, work_income: without, value</t>
  </si>
  <si>
    <t xml:space="preserve">B. medical_condition, towns, work_income: difference</t>
  </si>
  <si>
    <t xml:space="preserve">B. medical_condition, towns, work_income: margin</t>
  </si>
  <si>
    <t xml:space="preserve">B. medical_condition, towns, work_income: reading</t>
  </si>
  <si>
    <t xml:space="preserve">B. medical_condition, towns, spend_gt_inc: with, households</t>
  </si>
  <si>
    <t xml:space="preserve">B. medical_condition, towns, spend_gt_inc: with, value</t>
  </si>
  <si>
    <t xml:space="preserve">B. medical_condition, towns, spend_gt_inc: without, value</t>
  </si>
  <si>
    <t xml:space="preserve">B. medical_condition, towns, spend_gt_inc: difference</t>
  </si>
  <si>
    <t xml:space="preserve">B. medical_condition, towns, spend_gt_inc: margin</t>
  </si>
  <si>
    <t xml:space="preserve">B. medical_condition, towns, spend_gt_inc: reading</t>
  </si>
  <si>
    <t xml:space="preserve">B. medical_condition, towns, debts: with, households</t>
  </si>
  <si>
    <t xml:space="preserve">B. medical_condition, towns, debts: with, value</t>
  </si>
  <si>
    <t xml:space="preserve">B. medical_condition, towns, debts: without, value</t>
  </si>
  <si>
    <t xml:space="preserve">B. medical_condition, towns, log_spend_pp: with, households</t>
  </si>
  <si>
    <t xml:space="preserve">B. medical_condition, towns, log_spend_pp: with, value</t>
  </si>
  <si>
    <t xml:space="preserve">B. medical_condition, towns, log_spend_pp: without, value</t>
  </si>
  <si>
    <t xml:space="preserve">B. medical_condition, towns, log_spend_pp: difference</t>
  </si>
  <si>
    <t xml:space="preserve">B. medical_condition, towns, log_spend_pp: margin</t>
  </si>
  <si>
    <t xml:space="preserve">B. medical_condition, towns, log_spend_pp: reading</t>
  </si>
  <si>
    <t xml:space="preserve">B. medical_condition, towns, inc_fell: with, households</t>
  </si>
  <si>
    <t xml:space="preserve">B. medical_condition, towns, inc_fell: with, value</t>
  </si>
  <si>
    <t xml:space="preserve">B. medical_condition, towns, inc_fell: without, value</t>
  </si>
  <si>
    <t xml:space="preserve">B. medical_condition, towns, inc_fell: difference</t>
  </si>
  <si>
    <t xml:space="preserve">B. medical_condition, towns, inc_fell: margin</t>
  </si>
  <si>
    <t xml:space="preserve">B. medical_condition, towns, inc_fell: reading</t>
  </si>
  <si>
    <t xml:space="preserve">B. medical_condition, towns, n_responses: with, households</t>
  </si>
  <si>
    <t xml:space="preserve">B. medical_condition, towns, n_responses: with, value</t>
  </si>
  <si>
    <t xml:space="preserve">B. medical_condition, towns, n_responses: without, value</t>
  </si>
  <si>
    <t xml:space="preserve">B. medical_condition, towns, n_responses: difference</t>
  </si>
  <si>
    <t xml:space="preserve">B. medical_condition, towns, n_responses: margin</t>
  </si>
  <si>
    <t xml:space="preserve">B. medical_condition, towns, n_responses: reading</t>
  </si>
  <si>
    <t xml:space="preserve">B. medical_condition, towns, ate_less: with, households</t>
  </si>
  <si>
    <t xml:space="preserve">B. medical_condition, towns, ate_less: with, value</t>
  </si>
  <si>
    <t xml:space="preserve">B. medical_condition, towns, ate_less: without, value</t>
  </si>
  <si>
    <t xml:space="preserve">B. medical_condition, towns, ate_less: difference</t>
  </si>
  <si>
    <t xml:space="preserve">B. medical_condition, towns, ate_less: margin</t>
  </si>
  <si>
    <t xml:space="preserve">B. medical_condition, towns, ate_less: reading</t>
  </si>
  <si>
    <t xml:space="preserve">B. medical_condition, towns, cut_spend: with, households</t>
  </si>
  <si>
    <t xml:space="preserve">B. medical_condition, towns, cut_spend: with, value</t>
  </si>
  <si>
    <t xml:space="preserve">B. medical_condition, towns, cut_spend: without, value</t>
  </si>
  <si>
    <t xml:space="preserve">B. medical_condition, towns, cut_spend: difference</t>
  </si>
  <si>
    <t xml:space="preserve">B. medical_condition, towns, cut_spend: margin</t>
  </si>
  <si>
    <t xml:space="preserve">B. medical_condition, towns, cut_spend: reading</t>
  </si>
  <si>
    <t xml:space="preserve">B. medical_condition, towns, cut_educ: with, households</t>
  </si>
  <si>
    <t xml:space="preserve">B. medical_condition, towns, cut_educ: with, value</t>
  </si>
  <si>
    <t xml:space="preserve">B. medical_condition, towns, cut_educ: without, value</t>
  </si>
  <si>
    <t xml:space="preserve">B. medical_condition, towns, child_work: with, households</t>
  </si>
  <si>
    <t xml:space="preserve">B. medical_condition, towns, child_work: with, value</t>
  </si>
  <si>
    <t xml:space="preserve">B. medical_condition, towns, child_work: without, value</t>
  </si>
  <si>
    <t xml:space="preserve">B. medical_condition, towns, child_work: difference</t>
  </si>
  <si>
    <t xml:space="preserve">B. medical_condition, towns, child_work: margin</t>
  </si>
  <si>
    <t xml:space="preserve">B. medical_condition, towns, child_work: reading</t>
  </si>
  <si>
    <t xml:space="preserve">B. medical_condition, towns, loan: with, households</t>
  </si>
  <si>
    <t xml:space="preserve">B. medical_condition, towns, loan: with, value</t>
  </si>
  <si>
    <t xml:space="preserve">B. medical_condition, towns, loan: without, value</t>
  </si>
  <si>
    <t xml:space="preserve">B. medical_condition, towns, loan: difference</t>
  </si>
  <si>
    <t xml:space="preserve">B. medical_condition, towns, loan: margin</t>
  </si>
  <si>
    <t xml:space="preserve">B. medical_condition, towns, loan: reading</t>
  </si>
  <si>
    <t xml:space="preserve">B. medical_condition, towns, used_savings: with, households</t>
  </si>
  <si>
    <t xml:space="preserve">B. medical_condition, towns, used_savings: with, value</t>
  </si>
  <si>
    <t xml:space="preserve">B. medical_condition, towns, used_savings: without, value</t>
  </si>
  <si>
    <t xml:space="preserve">B. medical_condition, towns, used_savings: difference</t>
  </si>
  <si>
    <t xml:space="preserve">B. medical_condition, towns, used_savings: margin</t>
  </si>
  <si>
    <t xml:space="preserve">B. medical_condition, towns, used_savings: reading</t>
  </si>
  <si>
    <t xml:space="preserve">B. medical_condition, towns, sold: with, households</t>
  </si>
  <si>
    <t xml:space="preserve">B. medical_condition, towns, sold: with, value</t>
  </si>
  <si>
    <t xml:space="preserve">B. medical_condition, towns, sold: without, value</t>
  </si>
  <si>
    <t xml:space="preserve">B. medical_condition, towns, sold: difference</t>
  </si>
  <si>
    <t xml:space="preserve">B. medical_condition, towns, sold: margin</t>
  </si>
  <si>
    <t xml:space="preserve">B. medical_condition, towns, sold: reading</t>
  </si>
  <si>
    <t xml:space="preserve">B. medical_condition, towns, asked_assist: with, households</t>
  </si>
  <si>
    <t xml:space="preserve">B. medical_condition, towns, asked_assist: with, value</t>
  </si>
  <si>
    <t xml:space="preserve">B. medical_condition, towns, asked_assist: without, value</t>
  </si>
  <si>
    <t xml:space="preserve">B. medical_condition, towns, asked_assist: difference</t>
  </si>
  <si>
    <t xml:space="preserve">B. medical_condition, towns, asked_assist: margin</t>
  </si>
  <si>
    <t xml:space="preserve">B. medical_condition, towns, asked_assist: reading</t>
  </si>
  <si>
    <t xml:space="preserve">B. medical_condition, towns, more_hours: with, households</t>
  </si>
  <si>
    <t xml:space="preserve">B. medical_condition, towns, more_hours: with, value</t>
  </si>
  <si>
    <t xml:space="preserve">B. medical_condition, towns, more_hours: without, value</t>
  </si>
  <si>
    <t xml:space="preserve">B. medical_condition, towns, more_hours: difference</t>
  </si>
  <si>
    <t xml:space="preserve">B. medical_condition, towns, more_hours: margin</t>
  </si>
  <si>
    <t xml:space="preserve">B. medical_condition, towns, more_hours: reading</t>
  </si>
  <si>
    <t xml:space="preserve">B. medical_condition, towns, second_job: with, households</t>
  </si>
  <si>
    <t xml:space="preserve">B. medical_condition, towns, second_job: with, value</t>
  </si>
  <si>
    <t xml:space="preserve">B. medical_condition, towns, second_job: without, value</t>
  </si>
  <si>
    <t xml:space="preserve">B. medical_condition, towns, member_income: with, households</t>
  </si>
  <si>
    <t xml:space="preserve">B. medical_condition, towns, member_income: with, value</t>
  </si>
  <si>
    <t xml:space="preserve">B. medical_condition, towns, member_income: without, value</t>
  </si>
  <si>
    <t xml:space="preserve">B. medical_condition, towns, idx_cons: with, households</t>
  </si>
  <si>
    <t xml:space="preserve">B. medical_condition, towns, idx_cons: with, value</t>
  </si>
  <si>
    <t xml:space="preserve">B. medical_condition, towns, idx_cons: without, value</t>
  </si>
  <si>
    <t xml:space="preserve">B. medical_condition, towns, idx_cons: difference</t>
  </si>
  <si>
    <t xml:space="preserve">B. medical_condition, towns, idx_cons: margin</t>
  </si>
  <si>
    <t xml:space="preserve">B. medical_condition, towns, idx_cons: reading</t>
  </si>
  <si>
    <t xml:space="preserve">B. medical_condition, towns, idx_fin: with, households</t>
  </si>
  <si>
    <t xml:space="preserve">B. medical_condition, towns, idx_fin: with, value</t>
  </si>
  <si>
    <t xml:space="preserve">B. medical_condition, towns, idx_fin: without, value</t>
  </si>
  <si>
    <t xml:space="preserve">B. medical_condition, towns, idx_fin: difference</t>
  </si>
  <si>
    <t xml:space="preserve">B. medical_condition, towns, idx_fin: margin</t>
  </si>
  <si>
    <t xml:space="preserve">B. medical_condition, towns, idx_fin: reading</t>
  </si>
  <si>
    <t xml:space="preserve">B. medical_condition, towns, idx_severe: with, households</t>
  </si>
  <si>
    <t xml:space="preserve">B. medical_condition, towns, idx_severe: with, value</t>
  </si>
  <si>
    <t xml:space="preserve">B. medical_condition, towns, idx_severe: without, value</t>
  </si>
  <si>
    <t xml:space="preserve">B. medical_condition, towns, idx_severe: difference</t>
  </si>
  <si>
    <t xml:space="preserve">B. medical_condition, towns, idx_severe: margin</t>
  </si>
  <si>
    <t xml:space="preserve">B. medical_condition, towns, idx_severe: reading</t>
  </si>
  <si>
    <t xml:space="preserve">B. medical_condition, towns, wfp_score: with, households</t>
  </si>
  <si>
    <t xml:space="preserve">B. medical_condition, towns, wfp_score: with, value</t>
  </si>
  <si>
    <t xml:space="preserve">B. medical_condition, towns, wfp_score: without, value</t>
  </si>
  <si>
    <t xml:space="preserve">B. medical_condition, towns, wfp_score: difference</t>
  </si>
  <si>
    <t xml:space="preserve">B. medical_condition, towns, wfp_score: margin</t>
  </si>
  <si>
    <t xml:space="preserve">B. medical_condition, towns, wfp_score: reading</t>
  </si>
  <si>
    <t xml:space="preserve">B. sickness, camp, work_income: with, households</t>
  </si>
  <si>
    <t xml:space="preserve">B. sickness, camp, work_income: with, value</t>
  </si>
  <si>
    <t xml:space="preserve">B. sickness, camp, work_income: without, value</t>
  </si>
  <si>
    <t xml:space="preserve">B. sickness, camp, work_income: difference</t>
  </si>
  <si>
    <t xml:space="preserve">B. sickness, camp, work_income: margin</t>
  </si>
  <si>
    <t xml:space="preserve">B. sickness, camp, work_income: reading</t>
  </si>
  <si>
    <t xml:space="preserve">B. sickness, camp, spend_gt_inc: with, households</t>
  </si>
  <si>
    <t xml:space="preserve">B. sickness, camp, spend_gt_inc: with, value</t>
  </si>
  <si>
    <t xml:space="preserve">B. sickness, camp, spend_gt_inc: without, value</t>
  </si>
  <si>
    <t xml:space="preserve">B. sickness, camp, spend_gt_inc: difference</t>
  </si>
  <si>
    <t xml:space="preserve">B. sickness, camp, spend_gt_inc: margin</t>
  </si>
  <si>
    <t xml:space="preserve">B. sickness, camp, spend_gt_inc: reading</t>
  </si>
  <si>
    <t xml:space="preserve">B. sickness, camp, debts: with, households</t>
  </si>
  <si>
    <t xml:space="preserve">B. sickness, camp, debts: with, value</t>
  </si>
  <si>
    <t xml:space="preserve">B. sickness, camp, debts: without, value</t>
  </si>
  <si>
    <t xml:space="preserve">B. sickness, camp, debts: difference</t>
  </si>
  <si>
    <t xml:space="preserve">B. sickness, camp, debts: margin</t>
  </si>
  <si>
    <t xml:space="preserve">B. sickness, camp, debts: reading</t>
  </si>
  <si>
    <t xml:space="preserve">B. sickness, camp, log_spend_pp: with, households</t>
  </si>
  <si>
    <t xml:space="preserve">B. sickness, camp, log_spend_pp: with, value</t>
  </si>
  <si>
    <t xml:space="preserve">B. sickness, camp, log_spend_pp: without, value</t>
  </si>
  <si>
    <t xml:space="preserve">B. sickness, camp, log_spend_pp: difference</t>
  </si>
  <si>
    <t xml:space="preserve">B. sickness, camp, log_spend_pp: margin</t>
  </si>
  <si>
    <t xml:space="preserve">B. sickness, camp, log_spend_pp: reading</t>
  </si>
  <si>
    <t xml:space="preserve">B. sickness, camp, inc_fell: with, households</t>
  </si>
  <si>
    <t xml:space="preserve">B. sickness, camp, inc_fell: with, value</t>
  </si>
  <si>
    <t xml:space="preserve">B. sickness, camp, inc_fell: without, value</t>
  </si>
  <si>
    <t xml:space="preserve">B. sickness, camp, n_responses: with, households</t>
  </si>
  <si>
    <t xml:space="preserve">B. sickness, camp, n_responses: with, value</t>
  </si>
  <si>
    <t xml:space="preserve">B. sickness, camp, n_responses: without, value</t>
  </si>
  <si>
    <t xml:space="preserve">B. sickness, camp, n_responses: difference</t>
  </si>
  <si>
    <t xml:space="preserve">B. sickness, camp, n_responses: margin</t>
  </si>
  <si>
    <t xml:space="preserve">B. sickness, camp, n_responses: reading</t>
  </si>
  <si>
    <t xml:space="preserve">B. sickness, camp, ate_less: with, households</t>
  </si>
  <si>
    <t xml:space="preserve">B. sickness, camp, ate_less: with, value</t>
  </si>
  <si>
    <t xml:space="preserve">B. sickness, camp, ate_less: without, value</t>
  </si>
  <si>
    <t xml:space="preserve">B. sickness, camp, ate_less: difference</t>
  </si>
  <si>
    <t xml:space="preserve">B. sickness, camp, ate_less: margin</t>
  </si>
  <si>
    <t xml:space="preserve">B. sickness, camp, ate_less: reading</t>
  </si>
  <si>
    <t xml:space="preserve">B. sickness, camp, cut_spend: with, households</t>
  </si>
  <si>
    <t xml:space="preserve">B. sickness, camp, cut_spend: with, value</t>
  </si>
  <si>
    <t xml:space="preserve">B. sickness, camp, cut_spend: without, value</t>
  </si>
  <si>
    <t xml:space="preserve">B. sickness, camp, cut_spend: difference</t>
  </si>
  <si>
    <t xml:space="preserve">B. sickness, camp, cut_spend: margin</t>
  </si>
  <si>
    <t xml:space="preserve">B. sickness, camp, cut_spend: reading</t>
  </si>
  <si>
    <t xml:space="preserve">B. sickness, camp, cut_educ: with, households</t>
  </si>
  <si>
    <t xml:space="preserve">B. sickness, camp, cut_educ: with, value</t>
  </si>
  <si>
    <t xml:space="preserve">B. sickness, camp, cut_educ: without, value</t>
  </si>
  <si>
    <t xml:space="preserve">B. sickness, camp, child_work: with, households</t>
  </si>
  <si>
    <t xml:space="preserve">B. sickness, camp, child_work: with, value</t>
  </si>
  <si>
    <t xml:space="preserve">B. sickness, camp, child_work: without, value</t>
  </si>
  <si>
    <t xml:space="preserve">B. sickness, camp, loan: with, households</t>
  </si>
  <si>
    <t xml:space="preserve">B. sickness, camp, loan: with, value</t>
  </si>
  <si>
    <t xml:space="preserve">B. sickness, camp, loan: without, value</t>
  </si>
  <si>
    <t xml:space="preserve">B. sickness, camp, loan: difference</t>
  </si>
  <si>
    <t xml:space="preserve">B. sickness, camp, loan: margin</t>
  </si>
  <si>
    <t xml:space="preserve">B. sickness, camp, loan: reading</t>
  </si>
  <si>
    <t xml:space="preserve">B. sickness, camp, used_savings: with, households</t>
  </si>
  <si>
    <t xml:space="preserve">B. sickness, camp, used_savings: with, value</t>
  </si>
  <si>
    <t xml:space="preserve">B. sickness, camp, used_savings: without, value</t>
  </si>
  <si>
    <t xml:space="preserve">B. sickness, camp, used_savings: difference</t>
  </si>
  <si>
    <t xml:space="preserve">B. sickness, camp, used_savings: margin</t>
  </si>
  <si>
    <t xml:space="preserve">B. sickness, camp, used_savings: reading</t>
  </si>
  <si>
    <t xml:space="preserve">B. sickness, camp, sold: with, households</t>
  </si>
  <si>
    <t xml:space="preserve">B. sickness, camp, sold: with, value</t>
  </si>
  <si>
    <t xml:space="preserve">B. sickness, camp, sold: without, value</t>
  </si>
  <si>
    <t xml:space="preserve">B. sickness, camp, sold: difference</t>
  </si>
  <si>
    <t xml:space="preserve">B. sickness, camp, sold: margin</t>
  </si>
  <si>
    <t xml:space="preserve">B. sickness, camp, sold: reading</t>
  </si>
  <si>
    <t xml:space="preserve">B. sickness, camp, asked_assist: with, households</t>
  </si>
  <si>
    <t xml:space="preserve">B. sickness, camp, asked_assist: with, value</t>
  </si>
  <si>
    <t xml:space="preserve">B. sickness, camp, asked_assist: without, value</t>
  </si>
  <si>
    <t xml:space="preserve">B. sickness, camp, asked_assist: difference</t>
  </si>
  <si>
    <t xml:space="preserve">B. sickness, camp, asked_assist: margin</t>
  </si>
  <si>
    <t xml:space="preserve">B. sickness, camp, asked_assist: reading</t>
  </si>
  <si>
    <t xml:space="preserve">B. sickness, camp, more_hours: with, households</t>
  </si>
  <si>
    <t xml:space="preserve">B. sickness, camp, more_hours: with, value</t>
  </si>
  <si>
    <t xml:space="preserve">B. sickness, camp, more_hours: without, value</t>
  </si>
  <si>
    <t xml:space="preserve">B. sickness, camp, more_hours: difference</t>
  </si>
  <si>
    <t xml:space="preserve">B. sickness, camp, more_hours: margin</t>
  </si>
  <si>
    <t xml:space="preserve">B. sickness, camp, more_hours: reading</t>
  </si>
  <si>
    <t xml:space="preserve">B. sickness, camp, second_job: with, households</t>
  </si>
  <si>
    <t xml:space="preserve">B. sickness, camp, second_job: with, value</t>
  </si>
  <si>
    <t xml:space="preserve">B. sickness, camp, second_job: without, value</t>
  </si>
  <si>
    <t xml:space="preserve">B. sickness, camp, second_job: difference</t>
  </si>
  <si>
    <t xml:space="preserve">B. sickness, camp, second_job: margin</t>
  </si>
  <si>
    <t xml:space="preserve">B. sickness, camp, second_job: reading</t>
  </si>
  <si>
    <t xml:space="preserve">B. sickness, camp, member_income: with, households</t>
  </si>
  <si>
    <t xml:space="preserve">B. sickness, camp, member_income: with, value</t>
  </si>
  <si>
    <t xml:space="preserve">B. sickness, camp, member_income: without, value</t>
  </si>
  <si>
    <t xml:space="preserve">B. sickness, camp, member_income: difference</t>
  </si>
  <si>
    <t xml:space="preserve">B. sickness, camp, member_income: margin</t>
  </si>
  <si>
    <t xml:space="preserve">B. sickness, camp, member_income: reading</t>
  </si>
  <si>
    <t xml:space="preserve">B. sickness, camp, idx_cons: with, households</t>
  </si>
  <si>
    <t xml:space="preserve">B. sickness, camp, idx_cons: with, value</t>
  </si>
  <si>
    <t xml:space="preserve">B. sickness, camp, idx_cons: without, value</t>
  </si>
  <si>
    <t xml:space="preserve">B. sickness, camp, idx_cons: difference</t>
  </si>
  <si>
    <t xml:space="preserve">B. sickness, camp, idx_cons: margin</t>
  </si>
  <si>
    <t xml:space="preserve">B. sickness, camp, idx_cons: reading</t>
  </si>
  <si>
    <t xml:space="preserve">B. sickness, camp, idx_fin: with, households</t>
  </si>
  <si>
    <t xml:space="preserve">B. sickness, camp, idx_fin: with, value</t>
  </si>
  <si>
    <t xml:space="preserve">B. sickness, camp, idx_fin: without, value</t>
  </si>
  <si>
    <t xml:space="preserve">B. sickness, camp, idx_fin: difference</t>
  </si>
  <si>
    <t xml:space="preserve">B. sickness, camp, idx_fin: margin</t>
  </si>
  <si>
    <t xml:space="preserve">B. sickness, camp, idx_fin: reading</t>
  </si>
  <si>
    <t xml:space="preserve">B. sickness, camp, idx_severe: with, households</t>
  </si>
  <si>
    <t xml:space="preserve">B. sickness, camp, idx_severe: with, value</t>
  </si>
  <si>
    <t xml:space="preserve">B. sickness, camp, idx_severe: without, value</t>
  </si>
  <si>
    <t xml:space="preserve">B. sickness, camp, idx_severe: difference</t>
  </si>
  <si>
    <t xml:space="preserve">B. sickness, camp, idx_severe: margin</t>
  </si>
  <si>
    <t xml:space="preserve">B. sickness, camp, idx_severe: reading</t>
  </si>
  <si>
    <t xml:space="preserve">B. sickness, camp, wfp_score: with, households</t>
  </si>
  <si>
    <t xml:space="preserve">B. sickness, camp, wfp_score: with, value</t>
  </si>
  <si>
    <t xml:space="preserve">B. sickness, camp, wfp_score: without, value</t>
  </si>
  <si>
    <t xml:space="preserve">B. sickness, camp, wfp_score: difference</t>
  </si>
  <si>
    <t xml:space="preserve">B. sickness, camp, wfp_score: margin</t>
  </si>
  <si>
    <t xml:space="preserve">B. sickness, camp, wfp_score: reading</t>
  </si>
  <si>
    <t xml:space="preserve">B. sickness, towns, work_income: with, households</t>
  </si>
  <si>
    <t xml:space="preserve">B. sickness, towns, work_income: with, value</t>
  </si>
  <si>
    <t xml:space="preserve">B. sickness, towns, work_income: without, value</t>
  </si>
  <si>
    <t xml:space="preserve">B. sickness, towns, spend_gt_inc: with, households</t>
  </si>
  <si>
    <t xml:space="preserve">B. sickness, towns, spend_gt_inc: with, value</t>
  </si>
  <si>
    <t xml:space="preserve">B. sickness, towns, spend_gt_inc: without, value</t>
  </si>
  <si>
    <t xml:space="preserve">B. sickness, towns, debts: with, households</t>
  </si>
  <si>
    <t xml:space="preserve">B. sickness, towns, debts: with, value</t>
  </si>
  <si>
    <t xml:space="preserve">B. sickness, towns, debts: without, value</t>
  </si>
  <si>
    <t xml:space="preserve">B. sickness, towns, log_spend_pp: with, households</t>
  </si>
  <si>
    <t xml:space="preserve">B. sickness, towns, log_spend_pp: with, value</t>
  </si>
  <si>
    <t xml:space="preserve">B. sickness, towns, log_spend_pp: without, value</t>
  </si>
  <si>
    <t xml:space="preserve">B. sickness, towns, log_spend_pp: difference</t>
  </si>
  <si>
    <t xml:space="preserve">B. sickness, towns, log_spend_pp: margin</t>
  </si>
  <si>
    <t xml:space="preserve">B. sickness, towns, log_spend_pp: reading</t>
  </si>
  <si>
    <t xml:space="preserve">B. sickness, towns, inc_fell: with, households</t>
  </si>
  <si>
    <t xml:space="preserve">B. sickness, towns, inc_fell: with, value</t>
  </si>
  <si>
    <t xml:space="preserve">B. sickness, towns, inc_fell: without, value</t>
  </si>
  <si>
    <t xml:space="preserve">B. sickness, towns, n_responses: with, households</t>
  </si>
  <si>
    <t xml:space="preserve">B. sickness, towns, n_responses: with, value</t>
  </si>
  <si>
    <t xml:space="preserve">B. sickness, towns, n_responses: without, value</t>
  </si>
  <si>
    <t xml:space="preserve">B. sickness, towns, n_responses: difference</t>
  </si>
  <si>
    <t xml:space="preserve">B. sickness, towns, n_responses: margin</t>
  </si>
  <si>
    <t xml:space="preserve">B. sickness, towns, n_responses: reading</t>
  </si>
  <si>
    <t xml:space="preserve">B. sickness, towns, ate_less: with, households</t>
  </si>
  <si>
    <t xml:space="preserve">B. sickness, towns, ate_less: with, value</t>
  </si>
  <si>
    <t xml:space="preserve">B. sickness, towns, ate_less: without, value</t>
  </si>
  <si>
    <t xml:space="preserve">B. sickness, towns, cut_spend: with, households</t>
  </si>
  <si>
    <t xml:space="preserve">B. sickness, towns, cut_spend: with, value</t>
  </si>
  <si>
    <t xml:space="preserve">B. sickness, towns, cut_spend: without, value</t>
  </si>
  <si>
    <t xml:space="preserve">B. sickness, towns, cut_educ: with, households</t>
  </si>
  <si>
    <t xml:space="preserve">B. sickness, towns, cut_educ: with, value</t>
  </si>
  <si>
    <t xml:space="preserve">B. sickness, towns, cut_educ: without, value</t>
  </si>
  <si>
    <t xml:space="preserve">B. sickness, towns, child_work: with, households</t>
  </si>
  <si>
    <t xml:space="preserve">B. sickness, towns, child_work: with, value</t>
  </si>
  <si>
    <t xml:space="preserve">B. sickness, towns, child_work: without, value</t>
  </si>
  <si>
    <t xml:space="preserve">B. sickness, towns, loan: with, households</t>
  </si>
  <si>
    <t xml:space="preserve">B. sickness, towns, loan: with, value</t>
  </si>
  <si>
    <t xml:space="preserve">B. sickness, towns, loan: without, value</t>
  </si>
  <si>
    <t xml:space="preserve">B. sickness, towns, used_savings: with, households</t>
  </si>
  <si>
    <t xml:space="preserve">B. sickness, towns, used_savings: with, value</t>
  </si>
  <si>
    <t xml:space="preserve">B. sickness, towns, used_savings: without, value</t>
  </si>
  <si>
    <t xml:space="preserve">B. sickness, towns, sold: with, households</t>
  </si>
  <si>
    <t xml:space="preserve">B. sickness, towns, sold: with, value</t>
  </si>
  <si>
    <t xml:space="preserve">B. sickness, towns, sold: without, value</t>
  </si>
  <si>
    <t xml:space="preserve">B. sickness, towns, sold: difference</t>
  </si>
  <si>
    <t xml:space="preserve">B. sickness, towns, sold: margin</t>
  </si>
  <si>
    <t xml:space="preserve">B. sickness, towns, sold: reading</t>
  </si>
  <si>
    <t xml:space="preserve">B. sickness, towns, asked_assist: with, households</t>
  </si>
  <si>
    <t xml:space="preserve">B. sickness, towns, asked_assist: with, value</t>
  </si>
  <si>
    <t xml:space="preserve">B. sickness, towns, asked_assist: without, value</t>
  </si>
  <si>
    <t xml:space="preserve">B. sickness, towns, more_hours: with, households</t>
  </si>
  <si>
    <t xml:space="preserve">B. sickness, towns, more_hours: with, value</t>
  </si>
  <si>
    <t xml:space="preserve">B. sickness, towns, more_hours: without, value</t>
  </si>
  <si>
    <t xml:space="preserve">B. sickness, towns, second_job: with, households</t>
  </si>
  <si>
    <t xml:space="preserve">B. sickness, towns, second_job: with, value</t>
  </si>
  <si>
    <t xml:space="preserve">B. sickness, towns, second_job: without, value</t>
  </si>
  <si>
    <t xml:space="preserve">B. sickness, towns, member_income: with, households</t>
  </si>
  <si>
    <t xml:space="preserve">B. sickness, towns, member_income: with, value</t>
  </si>
  <si>
    <t xml:space="preserve">B. sickness, towns, member_income: without, value</t>
  </si>
  <si>
    <t xml:space="preserve">B. sickness, towns, idx_cons: with, households</t>
  </si>
  <si>
    <t xml:space="preserve">B. sickness, towns, idx_cons: with, value</t>
  </si>
  <si>
    <t xml:space="preserve">B. sickness, towns, idx_cons: without, value</t>
  </si>
  <si>
    <t xml:space="preserve">B. sickness, towns, idx_cons: difference</t>
  </si>
  <si>
    <t xml:space="preserve">B. sickness, towns, idx_cons: margin</t>
  </si>
  <si>
    <t xml:space="preserve">B. sickness, towns, idx_cons: reading</t>
  </si>
  <si>
    <t xml:space="preserve">B. sickness, towns, idx_fin: with, households</t>
  </si>
  <si>
    <t xml:space="preserve">B. sickness, towns, idx_fin: with, value</t>
  </si>
  <si>
    <t xml:space="preserve">B. sickness, towns, idx_fin: without, value</t>
  </si>
  <si>
    <t xml:space="preserve">B. sickness, towns, idx_fin: difference</t>
  </si>
  <si>
    <t xml:space="preserve">B. sickness, towns, idx_fin: margin</t>
  </si>
  <si>
    <t xml:space="preserve">B. sickness, towns, idx_fin: reading</t>
  </si>
  <si>
    <t xml:space="preserve">B. sickness, towns, idx_severe: with, households</t>
  </si>
  <si>
    <t xml:space="preserve">B. sickness, towns, idx_severe: with, value</t>
  </si>
  <si>
    <t xml:space="preserve">B. sickness, towns, idx_severe: without, value</t>
  </si>
  <si>
    <t xml:space="preserve">B. sickness, towns, idx_severe: difference</t>
  </si>
  <si>
    <t xml:space="preserve">B. sickness, towns, idx_severe: margin</t>
  </si>
  <si>
    <t xml:space="preserve">B. sickness, towns, idx_severe: reading</t>
  </si>
  <si>
    <t xml:space="preserve">B. sickness, towns, wfp_score: with, households</t>
  </si>
  <si>
    <t xml:space="preserve">B. sickness, towns, wfp_score: with, value</t>
  </si>
  <si>
    <t xml:space="preserve">B. sickness, towns, wfp_score: without, value</t>
  </si>
  <si>
    <t xml:space="preserve">B. sickness, towns, wfp_score: difference</t>
  </si>
  <si>
    <t xml:space="preserve">B. sickness, towns, wfp_score: margin</t>
  </si>
  <si>
    <t xml:space="preserve">B. sickness, towns, wfp_score: reading</t>
  </si>
  <si>
    <t xml:space="preserve">C. medical_condition, support, work_income: estimate</t>
  </si>
  <si>
    <t xml:space="preserve">C. medical_condition, support, work_income: design-based s.e.</t>
  </si>
  <si>
    <t xml:space="preserve">C. medical_condition, support, work_income: hc1 s.e.</t>
  </si>
  <si>
    <t xml:space="preserve">C. medical_condition, support, work_income: p (design-based)</t>
  </si>
  <si>
    <t xml:space="preserve">C. medical_condition, support, work_income: Romano-Wolf p</t>
  </si>
  <si>
    <t xml:space="preserve">bootstrap (own draws; same tier)</t>
  </si>
  <si>
    <t xml:space="preserve">C. medical_condition, support, work_income: households</t>
  </si>
  <si>
    <t xml:space="preserve">C. medical_condition, support, spend_gt_inc: estimate</t>
  </si>
  <si>
    <t xml:space="preserve">C. medical_condition, support, spend_gt_inc: design-based s.e.</t>
  </si>
  <si>
    <t xml:space="preserve">C. medical_condition, support, spend_gt_inc: hc1 s.e.</t>
  </si>
  <si>
    <t xml:space="preserve">C. medical_condition, support, spend_gt_inc: p (design-based)</t>
  </si>
  <si>
    <t xml:space="preserve">C. medical_condition, support, spend_gt_inc: Romano-Wolf p</t>
  </si>
  <si>
    <t xml:space="preserve">C. medical_condition, support, spend_gt_inc: households</t>
  </si>
  <si>
    <t xml:space="preserve">C. medical_condition, support, debts: estimate</t>
  </si>
  <si>
    <t xml:space="preserve">C. medical_condition, support, debts: design-based s.e.</t>
  </si>
  <si>
    <t xml:space="preserve">C. medical_condition, support, debts: hc1 s.e.</t>
  </si>
  <si>
    <t xml:space="preserve">C. medical_condition, support, debts: p (design-based)</t>
  </si>
  <si>
    <t xml:space="preserve">C. medical_condition, support, debts: Romano-Wolf p</t>
  </si>
  <si>
    <t xml:space="preserve">C. medical_condition, support, debts: households</t>
  </si>
  <si>
    <t xml:space="preserve">C. medical_condition, support, log_spend_pp: estimate</t>
  </si>
  <si>
    <t xml:space="preserve">C. medical_condition, support, log_spend_pp: design-based s.e.</t>
  </si>
  <si>
    <t xml:space="preserve">C. medical_condition, support, log_spend_pp: hc1 s.e.</t>
  </si>
  <si>
    <t xml:space="preserve">C. medical_condition, support, log_spend_pp: p (design-based)</t>
  </si>
  <si>
    <t xml:space="preserve">C. medical_condition, support, log_spend_pp: Romano-Wolf p</t>
  </si>
  <si>
    <t xml:space="preserve">C. medical_condition, support, log_spend_pp: households</t>
  </si>
  <si>
    <t xml:space="preserve">C. medical_condition, support, inc_fell: estimate</t>
  </si>
  <si>
    <t xml:space="preserve">C. medical_condition, support, inc_fell: design-based s.e.</t>
  </si>
  <si>
    <t xml:space="preserve">C. medical_condition, support, inc_fell: hc1 s.e.</t>
  </si>
  <si>
    <t xml:space="preserve">C. medical_condition, support, inc_fell: p (design-based)</t>
  </si>
  <si>
    <t xml:space="preserve">C. medical_condition, support, inc_fell: Romano-Wolf p</t>
  </si>
  <si>
    <t xml:space="preserve">C. medical_condition, support, inc_fell: households</t>
  </si>
  <si>
    <t xml:space="preserve">C. medical_condition, support, n_responses: estimate</t>
  </si>
  <si>
    <t xml:space="preserve">C. medical_condition, support, n_responses: design-based s.e.</t>
  </si>
  <si>
    <t xml:space="preserve">C. medical_condition, support, n_responses: hc1 s.e.</t>
  </si>
  <si>
    <t xml:space="preserve">C. medical_condition, support, n_responses: p (design-based)</t>
  </si>
  <si>
    <t xml:space="preserve">C. medical_condition, support, n_responses: Romano-Wolf p</t>
  </si>
  <si>
    <t xml:space="preserve">C. medical_condition, support, n_responses: households</t>
  </si>
  <si>
    <t xml:space="preserve">C. medical_condition, support, ate_less: estimate</t>
  </si>
  <si>
    <t xml:space="preserve">C. medical_condition, support, ate_less: design-based s.e.</t>
  </si>
  <si>
    <t xml:space="preserve">C. medical_condition, support, ate_less: hc1 s.e.</t>
  </si>
  <si>
    <t xml:space="preserve">C. medical_condition, support, ate_less: p (design-based)</t>
  </si>
  <si>
    <t xml:space="preserve">C. medical_condition, support, ate_less: Romano-Wolf p</t>
  </si>
  <si>
    <t xml:space="preserve">C. medical_condition, support, ate_less: households</t>
  </si>
  <si>
    <t xml:space="preserve">C. medical_condition, support, cut_spend: estimate</t>
  </si>
  <si>
    <t xml:space="preserve">C. medical_condition, support, cut_spend: design-based s.e.</t>
  </si>
  <si>
    <t xml:space="preserve">C. medical_condition, support, cut_spend: hc1 s.e.</t>
  </si>
  <si>
    <t xml:space="preserve">C. medical_condition, support, cut_spend: p (design-based)</t>
  </si>
  <si>
    <t xml:space="preserve">C. medical_condition, support, cut_spend: Romano-Wolf p</t>
  </si>
  <si>
    <t xml:space="preserve">C. medical_condition, support, cut_spend: households</t>
  </si>
  <si>
    <t xml:space="preserve">C. medical_condition, support, cut_educ: estimate</t>
  </si>
  <si>
    <t xml:space="preserve">C. medical_condition, support, cut_educ: design-based s.e.</t>
  </si>
  <si>
    <t xml:space="preserve">C. medical_condition, support, cut_educ: hc1 s.e.</t>
  </si>
  <si>
    <t xml:space="preserve">C. medical_condition, support, cut_educ: p (design-based)</t>
  </si>
  <si>
    <t xml:space="preserve">C. medical_condition, support, cut_educ: Romano-Wolf p</t>
  </si>
  <si>
    <t xml:space="preserve">C. medical_condition, support, cut_educ: households</t>
  </si>
  <si>
    <t xml:space="preserve">C. medical_condition, support, child_work: estimate</t>
  </si>
  <si>
    <t xml:space="preserve">C. medical_condition, support, child_work: design-based s.e.</t>
  </si>
  <si>
    <t xml:space="preserve">C. medical_condition, support, child_work: hc1 s.e.</t>
  </si>
  <si>
    <t xml:space="preserve">C. medical_condition, support, child_work: p (design-based)</t>
  </si>
  <si>
    <t xml:space="preserve">C. medical_condition, support, child_work: Romano-Wolf p</t>
  </si>
  <si>
    <t xml:space="preserve">C. medical_condition, support, child_work: households</t>
  </si>
  <si>
    <t xml:space="preserve">C. medical_condition, support, loan: estimate</t>
  </si>
  <si>
    <t xml:space="preserve">C. medical_condition, support, loan: design-based s.e.</t>
  </si>
  <si>
    <t xml:space="preserve">C. medical_condition, support, loan: hc1 s.e.</t>
  </si>
  <si>
    <t xml:space="preserve">C. medical_condition, support, loan: p (design-based)</t>
  </si>
  <si>
    <t xml:space="preserve">C. medical_condition, support, loan: Romano-Wolf p</t>
  </si>
  <si>
    <t xml:space="preserve">C. medical_condition, support, loan: households</t>
  </si>
  <si>
    <t xml:space="preserve">C. medical_condition, support, used_savings: estimate</t>
  </si>
  <si>
    <t xml:space="preserve">C. medical_condition, support, used_savings: design-based s.e.</t>
  </si>
  <si>
    <t xml:space="preserve">C. medical_condition, support, used_savings: hc1 s.e.</t>
  </si>
  <si>
    <t xml:space="preserve">C. medical_condition, support, used_savings: p (design-based)</t>
  </si>
  <si>
    <t xml:space="preserve">C. medical_condition, support, used_savings: Romano-Wolf p</t>
  </si>
  <si>
    <t xml:space="preserve">C. medical_condition, support, used_savings: households</t>
  </si>
  <si>
    <t xml:space="preserve">C. medical_condition, support, sold: estimate</t>
  </si>
  <si>
    <t xml:space="preserve">C. medical_condition, support, sold: design-based s.e.</t>
  </si>
  <si>
    <t xml:space="preserve">C. medical_condition, support, sold: hc1 s.e.</t>
  </si>
  <si>
    <t xml:space="preserve">C. medical_condition, support, sold: p (design-based)</t>
  </si>
  <si>
    <t xml:space="preserve">C. medical_condition, support, sold: Romano-Wolf p</t>
  </si>
  <si>
    <t xml:space="preserve">C. medical_condition, support, sold: households</t>
  </si>
  <si>
    <t xml:space="preserve">C. medical_condition, support, asked_assist: estimate</t>
  </si>
  <si>
    <t xml:space="preserve">C. medical_condition, support, asked_assist: design-based s.e.</t>
  </si>
  <si>
    <t xml:space="preserve">C. medical_condition, support, asked_assist: hc1 s.e.</t>
  </si>
  <si>
    <t xml:space="preserve">C. medical_condition, support, asked_assist: p (design-based)</t>
  </si>
  <si>
    <t xml:space="preserve">C. medical_condition, support, asked_assist: Romano-Wolf p</t>
  </si>
  <si>
    <t xml:space="preserve">C. medical_condition, support, asked_assist: households</t>
  </si>
  <si>
    <t xml:space="preserve">C. medical_condition, support, more_hours: estimate</t>
  </si>
  <si>
    <t xml:space="preserve">C. medical_condition, support, more_hours: design-based s.e.</t>
  </si>
  <si>
    <t xml:space="preserve">C. medical_condition, support, more_hours: hc1 s.e.</t>
  </si>
  <si>
    <t xml:space="preserve">C. medical_condition, support, more_hours: p (design-based)</t>
  </si>
  <si>
    <t xml:space="preserve">C. medical_condition, support, more_hours: Romano-Wolf p</t>
  </si>
  <si>
    <t xml:space="preserve">C. medical_condition, support, more_hours: households</t>
  </si>
  <si>
    <t xml:space="preserve">C. medical_condition, support, second_job: estimate</t>
  </si>
  <si>
    <t xml:space="preserve">C. medical_condition, support, second_job: design-based s.e.</t>
  </si>
  <si>
    <t xml:space="preserve">C. medical_condition, support, second_job: hc1 s.e.</t>
  </si>
  <si>
    <t xml:space="preserve">C. medical_condition, support, second_job: p (design-based)</t>
  </si>
  <si>
    <t xml:space="preserve">C. medical_condition, support, second_job: Romano-Wolf p</t>
  </si>
  <si>
    <t xml:space="preserve">C. medical_condition, support, second_job: households</t>
  </si>
  <si>
    <t xml:space="preserve">C. medical_condition, support, member_income: estimate</t>
  </si>
  <si>
    <t xml:space="preserve">C. medical_condition, support, member_income: design-based s.e.</t>
  </si>
  <si>
    <t xml:space="preserve">C. medical_condition, support, member_income: hc1 s.e.</t>
  </si>
  <si>
    <t xml:space="preserve">C. medical_condition, support, member_income: p (design-based)</t>
  </si>
  <si>
    <t xml:space="preserve">C. medical_condition, support, member_income: Romano-Wolf p</t>
  </si>
  <si>
    <t xml:space="preserve">C. medical_condition, support, member_income: households</t>
  </si>
  <si>
    <t xml:space="preserve">C. medical_condition, support, idx_cons: estimate</t>
  </si>
  <si>
    <t xml:space="preserve">C. medical_condition, support, idx_cons: design-based s.e.</t>
  </si>
  <si>
    <t xml:space="preserve">C. medical_condition, support, idx_cons: hc1 s.e.</t>
  </si>
  <si>
    <t xml:space="preserve">C. medical_condition, support, idx_cons: p (design-based)</t>
  </si>
  <si>
    <t xml:space="preserve">C. medical_condition, support, idx_cons: Romano-Wolf p</t>
  </si>
  <si>
    <t xml:space="preserve">C. medical_condition, support, idx_cons: households</t>
  </si>
  <si>
    <t xml:space="preserve">C. medical_condition, support, idx_fin: estimate</t>
  </si>
  <si>
    <t xml:space="preserve">C. medical_condition, support, idx_fin: design-based s.e.</t>
  </si>
  <si>
    <t xml:space="preserve">C. medical_condition, support, idx_fin: hc1 s.e.</t>
  </si>
  <si>
    <t xml:space="preserve">C. medical_condition, support, idx_fin: p (design-based)</t>
  </si>
  <si>
    <t xml:space="preserve">C. medical_condition, support, idx_fin: Romano-Wolf p</t>
  </si>
  <si>
    <t xml:space="preserve">C. medical_condition, support, idx_fin: households</t>
  </si>
  <si>
    <t xml:space="preserve">C. medical_condition, support, idx_severe: estimate</t>
  </si>
  <si>
    <t xml:space="preserve">C. medical_condition, support, idx_severe: design-based s.e.</t>
  </si>
  <si>
    <t xml:space="preserve">C. medical_condition, support, idx_severe: hc1 s.e.</t>
  </si>
  <si>
    <t xml:space="preserve">C. medical_condition, support, idx_severe: p (design-based)</t>
  </si>
  <si>
    <t xml:space="preserve">C. medical_condition, support, idx_severe: Romano-Wolf p</t>
  </si>
  <si>
    <t xml:space="preserve">C. medical_condition, support, idx_severe: households</t>
  </si>
  <si>
    <t xml:space="preserve">C. medical_condition, support, wfp_score: estimate</t>
  </si>
  <si>
    <t xml:space="preserve">C. medical_condition, support, wfp_score: design-based s.e.</t>
  </si>
  <si>
    <t xml:space="preserve">C. medical_condition, support, wfp_score: hc1 s.e.</t>
  </si>
  <si>
    <t xml:space="preserve">C. medical_condition, support, wfp_score: p (design-based)</t>
  </si>
  <si>
    <t xml:space="preserve">C. medical_condition, support, wfp_score: Romano-Wolf p</t>
  </si>
  <si>
    <t xml:space="preserve">C. medical_condition, support, wfp_score: households</t>
  </si>
  <si>
    <t xml:space="preserve">D. medical_condition, support, work_income: estimate</t>
  </si>
  <si>
    <t xml:space="preserve">D. medical_condition, support, work_income: design-based s.e.</t>
  </si>
  <si>
    <t xml:space="preserve">D. medical_condition, support, work_income: hc1 s.e.</t>
  </si>
  <si>
    <t xml:space="preserve">D. medical_condition, support, work_income: p (design-based)</t>
  </si>
  <si>
    <t xml:space="preserve">D. medical_condition, support, work_income: Romano-Wolf p</t>
  </si>
  <si>
    <t xml:space="preserve">D. medical_condition, support, work_income: households</t>
  </si>
  <si>
    <t xml:space="preserve">D. medical_condition, support, work_income: minimum detectable interaction</t>
  </si>
  <si>
    <t xml:space="preserve">D. medical_condition, support, spend_gt_inc: estimate</t>
  </si>
  <si>
    <t xml:space="preserve">D. medical_condition, support, spend_gt_inc: design-based s.e.</t>
  </si>
  <si>
    <t xml:space="preserve">D. medical_condition, support, spend_gt_inc: hc1 s.e.</t>
  </si>
  <si>
    <t xml:space="preserve">D. medical_condition, support, spend_gt_inc: p (design-based)</t>
  </si>
  <si>
    <t xml:space="preserve">D. medical_condition, support, spend_gt_inc: Romano-Wolf p</t>
  </si>
  <si>
    <t xml:space="preserve">D. medical_condition, support, spend_gt_inc: households</t>
  </si>
  <si>
    <t xml:space="preserve">D. medical_condition, support, spend_gt_inc: minimum detectable interaction</t>
  </si>
  <si>
    <t xml:space="preserve">D. medical_condition, support, debts: estimate</t>
  </si>
  <si>
    <t xml:space="preserve">D. medical_condition, support, debts: design-based s.e.</t>
  </si>
  <si>
    <t xml:space="preserve">D. medical_condition, support, debts: hc1 s.e.</t>
  </si>
  <si>
    <t xml:space="preserve">D. medical_condition, support, debts: p (design-based)</t>
  </si>
  <si>
    <t xml:space="preserve">D. medical_condition, support, debts: Romano-Wolf p</t>
  </si>
  <si>
    <t xml:space="preserve">D. medical_condition, support, debts: households</t>
  </si>
  <si>
    <t xml:space="preserve">D. medical_condition, support, debts: minimum detectable interaction</t>
  </si>
  <si>
    <t xml:space="preserve">D. medical_condition, support, log_spend_pp: estimate</t>
  </si>
  <si>
    <t xml:space="preserve">D. medical_condition, support, log_spend_pp: design-based s.e.</t>
  </si>
  <si>
    <t xml:space="preserve">D. medical_condition, support, log_spend_pp: hc1 s.e.</t>
  </si>
  <si>
    <t xml:space="preserve">D. medical_condition, support, log_spend_pp: p (design-based)</t>
  </si>
  <si>
    <t xml:space="preserve">D. medical_condition, support, log_spend_pp: Romano-Wolf p</t>
  </si>
  <si>
    <t xml:space="preserve">D. medical_condition, support, log_spend_pp: households</t>
  </si>
  <si>
    <t xml:space="preserve">D. medical_condition, support, log_spend_pp: minimum detectable interaction</t>
  </si>
  <si>
    <t xml:space="preserve">D. medical_condition, support, inc_fell: estimate</t>
  </si>
  <si>
    <t xml:space="preserve">D. medical_condition, support, inc_fell: design-based s.e.</t>
  </si>
  <si>
    <t xml:space="preserve">D. medical_condition, support, inc_fell: hc1 s.e.</t>
  </si>
  <si>
    <t xml:space="preserve">D. medical_condition, support, inc_fell: p (design-based)</t>
  </si>
  <si>
    <t xml:space="preserve">D. medical_condition, support, inc_fell: Romano-Wolf p</t>
  </si>
  <si>
    <t xml:space="preserve">D. medical_condition, support, inc_fell: households</t>
  </si>
  <si>
    <t xml:space="preserve">D. medical_condition, support, inc_fell: minimum detectable interaction</t>
  </si>
  <si>
    <t xml:space="preserve">D. medical_condition, support, n_responses: estimate</t>
  </si>
  <si>
    <t xml:space="preserve">D. medical_condition, support, n_responses: design-based s.e.</t>
  </si>
  <si>
    <t xml:space="preserve">D. medical_condition, support, n_responses: hc1 s.e.</t>
  </si>
  <si>
    <t xml:space="preserve">D. medical_condition, support, n_responses: p (design-based)</t>
  </si>
  <si>
    <t xml:space="preserve">D. medical_condition, support, n_responses: Romano-Wolf p</t>
  </si>
  <si>
    <t xml:space="preserve">D. medical_condition, support, n_responses: households</t>
  </si>
  <si>
    <t xml:space="preserve">D. medical_condition, support, n_responses: minimum detectable interaction</t>
  </si>
  <si>
    <t xml:space="preserve">D. medical_condition, support, ate_less: estimate</t>
  </si>
  <si>
    <t xml:space="preserve">D. medical_condition, support, ate_less: design-based s.e.</t>
  </si>
  <si>
    <t xml:space="preserve">D. medical_condition, support, ate_less: hc1 s.e.</t>
  </si>
  <si>
    <t xml:space="preserve">D. medical_condition, support, ate_less: p (design-based)</t>
  </si>
  <si>
    <t xml:space="preserve">D. medical_condition, support, ate_less: Romano-Wolf p</t>
  </si>
  <si>
    <t xml:space="preserve">D. medical_condition, support, ate_less: households</t>
  </si>
  <si>
    <t xml:space="preserve">D. medical_condition, support, ate_less: minimum detectable interaction</t>
  </si>
  <si>
    <t xml:space="preserve">D. medical_condition, support, cut_spend: estimate</t>
  </si>
  <si>
    <t xml:space="preserve">D. medical_condition, support, cut_spend: design-based s.e.</t>
  </si>
  <si>
    <t xml:space="preserve">D. medical_condition, support, cut_spend: hc1 s.e.</t>
  </si>
  <si>
    <t xml:space="preserve">D. medical_condition, support, cut_spend: p (design-based)</t>
  </si>
  <si>
    <t xml:space="preserve">D. medical_condition, support, cut_spend: Romano-Wolf p</t>
  </si>
  <si>
    <t xml:space="preserve">D. medical_condition, support, cut_spend: households</t>
  </si>
  <si>
    <t xml:space="preserve">D. medical_condition, support, cut_spend: minimum detectable interaction</t>
  </si>
  <si>
    <t xml:space="preserve">D. medical_condition, support, cut_educ: estimate</t>
  </si>
  <si>
    <t xml:space="preserve">D. medical_condition, support, cut_educ: design-based s.e.</t>
  </si>
  <si>
    <t xml:space="preserve">D. medical_condition, support, cut_educ: hc1 s.e.</t>
  </si>
  <si>
    <t xml:space="preserve">D. medical_condition, support, cut_educ: p (design-based)</t>
  </si>
  <si>
    <t xml:space="preserve">D. medical_condition, support, cut_educ: Romano-Wolf p</t>
  </si>
  <si>
    <t xml:space="preserve">D. medical_condition, support, cut_educ: households</t>
  </si>
  <si>
    <t xml:space="preserve">D. medical_condition, support, cut_educ: minimum detectable interaction</t>
  </si>
  <si>
    <t xml:space="preserve">D. medical_condition, support, child_work: estimate</t>
  </si>
  <si>
    <t xml:space="preserve">D. medical_condition, support, child_work: design-based s.e.</t>
  </si>
  <si>
    <t xml:space="preserve">D. medical_condition, support, child_work: hc1 s.e.</t>
  </si>
  <si>
    <t xml:space="preserve">D. medical_condition, support, child_work: p (design-based)</t>
  </si>
  <si>
    <t xml:space="preserve">D. medical_condition, support, child_work: Romano-Wolf p</t>
  </si>
  <si>
    <t xml:space="preserve">D. medical_condition, support, child_work: households</t>
  </si>
  <si>
    <t xml:space="preserve">D. medical_condition, support, child_work: minimum detectable interaction</t>
  </si>
  <si>
    <t xml:space="preserve">D. medical_condition, support, loan: estimate</t>
  </si>
  <si>
    <t xml:space="preserve">D. medical_condition, support, loan: design-based s.e.</t>
  </si>
  <si>
    <t xml:space="preserve">D. medical_condition, support, loan: hc1 s.e.</t>
  </si>
  <si>
    <t xml:space="preserve">D. medical_condition, support, loan: p (design-based)</t>
  </si>
  <si>
    <t xml:space="preserve">D. medical_condition, support, loan: Romano-Wolf p</t>
  </si>
  <si>
    <t xml:space="preserve">D. medical_condition, support, loan: households</t>
  </si>
  <si>
    <t xml:space="preserve">D. medical_condition, support, loan: minimum detectable interaction</t>
  </si>
  <si>
    <t xml:space="preserve">D. medical_condition, support, used_savings: estimate</t>
  </si>
  <si>
    <t xml:space="preserve">D. medical_condition, support, used_savings: design-based s.e.</t>
  </si>
  <si>
    <t xml:space="preserve">D. medical_condition, support, used_savings: hc1 s.e.</t>
  </si>
  <si>
    <t xml:space="preserve">D. medical_condition, support, used_savings: p (design-based)</t>
  </si>
  <si>
    <t xml:space="preserve">D. medical_condition, support, used_savings: Romano-Wolf p</t>
  </si>
  <si>
    <t xml:space="preserve">D. medical_condition, support, used_savings: households</t>
  </si>
  <si>
    <t xml:space="preserve">D. medical_condition, support, used_savings: minimum detectable interaction</t>
  </si>
  <si>
    <t xml:space="preserve">D. medical_condition, support, sold: estimate</t>
  </si>
  <si>
    <t xml:space="preserve">D. medical_condition, support, sold: design-based s.e.</t>
  </si>
  <si>
    <t xml:space="preserve">D. medical_condition, support, sold: hc1 s.e.</t>
  </si>
  <si>
    <t xml:space="preserve">D. medical_condition, support, sold: p (design-based)</t>
  </si>
  <si>
    <t xml:space="preserve">D. medical_condition, support, sold: Romano-Wolf p</t>
  </si>
  <si>
    <t xml:space="preserve">D. medical_condition, support, sold: households</t>
  </si>
  <si>
    <t xml:space="preserve">D. medical_condition, support, sold: minimum detectable interaction</t>
  </si>
  <si>
    <t xml:space="preserve">D. medical_condition, support, asked_assist: estimate</t>
  </si>
  <si>
    <t xml:space="preserve">D. medical_condition, support, asked_assist: design-based s.e.</t>
  </si>
  <si>
    <t xml:space="preserve">D. medical_condition, support, asked_assist: hc1 s.e.</t>
  </si>
  <si>
    <t xml:space="preserve">D. medical_condition, support, asked_assist: p (design-based)</t>
  </si>
  <si>
    <t xml:space="preserve">D. medical_condition, support, asked_assist: Romano-Wolf p</t>
  </si>
  <si>
    <t xml:space="preserve">D. medical_condition, support, asked_assist: households</t>
  </si>
  <si>
    <t xml:space="preserve">D. medical_condition, support, asked_assist: minimum detectable interaction</t>
  </si>
  <si>
    <t xml:space="preserve">D. medical_condition, support, more_hours: estimate</t>
  </si>
  <si>
    <t xml:space="preserve">D. medical_condition, support, more_hours: design-based s.e.</t>
  </si>
  <si>
    <t xml:space="preserve">D. medical_condition, support, more_hours: hc1 s.e.</t>
  </si>
  <si>
    <t xml:space="preserve">D. medical_condition, support, more_hours: p (design-based)</t>
  </si>
  <si>
    <t xml:space="preserve">D. medical_condition, support, more_hours: Romano-Wolf p</t>
  </si>
  <si>
    <t xml:space="preserve">D. medical_condition, support, more_hours: households</t>
  </si>
  <si>
    <t xml:space="preserve">D. medical_condition, support, more_hours: minimum detectable interaction</t>
  </si>
  <si>
    <t xml:space="preserve">D. medical_condition, support, second_job: estimate</t>
  </si>
  <si>
    <t xml:space="preserve">D. medical_condition, support, second_job: design-based s.e.</t>
  </si>
  <si>
    <t xml:space="preserve">D. medical_condition, support, second_job: hc1 s.e.</t>
  </si>
  <si>
    <t xml:space="preserve">D. medical_condition, support, second_job: p (design-based)</t>
  </si>
  <si>
    <t xml:space="preserve">D. medical_condition, support, second_job: Romano-Wolf p</t>
  </si>
  <si>
    <t xml:space="preserve">D. medical_condition, support, second_job: households</t>
  </si>
  <si>
    <t xml:space="preserve">D. medical_condition, support, second_job: minimum detectable interaction</t>
  </si>
  <si>
    <t xml:space="preserve">D. medical_condition, support, member_income: estimate</t>
  </si>
  <si>
    <t xml:space="preserve">D. medical_condition, support, member_income: design-based s.e.</t>
  </si>
  <si>
    <t xml:space="preserve">D. medical_condition, support, member_income: hc1 s.e.</t>
  </si>
  <si>
    <t xml:space="preserve">D. medical_condition, support, member_income: p (design-based)</t>
  </si>
  <si>
    <t xml:space="preserve">D. medical_condition, support, member_income: Romano-Wolf p</t>
  </si>
  <si>
    <t xml:space="preserve">D. medical_condition, support, member_income: households</t>
  </si>
  <si>
    <t xml:space="preserve">D. medical_condition, support, member_income: minimum detectable interaction</t>
  </si>
  <si>
    <t xml:space="preserve">D. medical_condition, support, idx_cons: estimate</t>
  </si>
  <si>
    <t xml:space="preserve">D. medical_condition, support, idx_cons: design-based s.e.</t>
  </si>
  <si>
    <t xml:space="preserve">D. medical_condition, support, idx_cons: hc1 s.e.</t>
  </si>
  <si>
    <t xml:space="preserve">D. medical_condition, support, idx_cons: p (design-based)</t>
  </si>
  <si>
    <t xml:space="preserve">D. medical_condition, support, idx_cons: Romano-Wolf p</t>
  </si>
  <si>
    <t xml:space="preserve">D. medical_condition, support, idx_cons: households</t>
  </si>
  <si>
    <t xml:space="preserve">D. medical_condition, support, idx_cons: minimum detectable interaction</t>
  </si>
  <si>
    <t xml:space="preserve">D. medical_condition, support, idx_fin: estimate</t>
  </si>
  <si>
    <t xml:space="preserve">D. medical_condition, support, idx_fin: design-based s.e.</t>
  </si>
  <si>
    <t xml:space="preserve">D. medical_condition, support, idx_fin: hc1 s.e.</t>
  </si>
  <si>
    <t xml:space="preserve">D. medical_condition, support, idx_fin: p (design-based)</t>
  </si>
  <si>
    <t xml:space="preserve">D. medical_condition, support, idx_fin: Romano-Wolf p</t>
  </si>
  <si>
    <t xml:space="preserve">D. medical_condition, support, idx_fin: households</t>
  </si>
  <si>
    <t xml:space="preserve">D. medical_condition, support, idx_fin: minimum detectable interaction</t>
  </si>
  <si>
    <t xml:space="preserve">D. medical_condition, support, idx_severe: estimate</t>
  </si>
  <si>
    <t xml:space="preserve">D. medical_condition, support, idx_severe: design-based s.e.</t>
  </si>
  <si>
    <t xml:space="preserve">D. medical_condition, support, idx_severe: hc1 s.e.</t>
  </si>
  <si>
    <t xml:space="preserve">D. medical_condition, support, idx_severe: p (design-based)</t>
  </si>
  <si>
    <t xml:space="preserve">D. medical_condition, support, idx_severe: Romano-Wolf p</t>
  </si>
  <si>
    <t xml:space="preserve">D. medical_condition, support, idx_severe: households</t>
  </si>
  <si>
    <t xml:space="preserve">D. medical_condition, support, idx_severe: minimum detectable interaction</t>
  </si>
  <si>
    <t xml:space="preserve">D. medical_condition, support, wfp_score: estimate</t>
  </si>
  <si>
    <t xml:space="preserve">D. medical_condition, support, wfp_score: design-based s.e.</t>
  </si>
  <si>
    <t xml:space="preserve">D. medical_condition, support, wfp_score: hc1 s.e.</t>
  </si>
  <si>
    <t xml:space="preserve">D. medical_condition, support, wfp_score: p (design-based)</t>
  </si>
  <si>
    <t xml:space="preserve">D. medical_condition, support, wfp_score: Romano-Wolf p</t>
  </si>
  <si>
    <t xml:space="preserve">D. medical_condition, support, wfp_score: households</t>
  </si>
  <si>
    <t xml:space="preserve">D. medical_condition, support, wfp_score: minimum detectable interaction</t>
  </si>
  <si>
    <t xml:space="preserve">C. medical_condition, whole, work_income: estimate</t>
  </si>
  <si>
    <t xml:space="preserve">C. medical_condition, whole, work_income: design-based s.e.</t>
  </si>
  <si>
    <t xml:space="preserve">C. medical_condition, whole, work_income: hc1 s.e.</t>
  </si>
  <si>
    <t xml:space="preserve">C. medical_condition, whole, work_income: p (design-based)</t>
  </si>
  <si>
    <t xml:space="preserve">C. medical_condition, whole, work_income: Romano-Wolf p</t>
  </si>
  <si>
    <t xml:space="preserve">C. medical_condition, whole, work_income: households</t>
  </si>
  <si>
    <t xml:space="preserve">C. medical_condition, whole, spend_gt_inc: estimate</t>
  </si>
  <si>
    <t xml:space="preserve">C. medical_condition, whole, spend_gt_inc: design-based s.e.</t>
  </si>
  <si>
    <t xml:space="preserve">C. medical_condition, whole, spend_gt_inc: hc1 s.e.</t>
  </si>
  <si>
    <t xml:space="preserve">C. medical_condition, whole, spend_gt_inc: p (design-based)</t>
  </si>
  <si>
    <t xml:space="preserve">C. medical_condition, whole, spend_gt_inc: Romano-Wolf p</t>
  </si>
  <si>
    <t xml:space="preserve">C. medical_condition, whole, spend_gt_inc: households</t>
  </si>
  <si>
    <t xml:space="preserve">C. medical_condition, whole, debts: estimate</t>
  </si>
  <si>
    <t xml:space="preserve">C. medical_condition, whole, debts: design-based s.e.</t>
  </si>
  <si>
    <t xml:space="preserve">C. medical_condition, whole, debts: hc1 s.e.</t>
  </si>
  <si>
    <t xml:space="preserve">C. medical_condition, whole, debts: p (design-based)</t>
  </si>
  <si>
    <t xml:space="preserve">C. medical_condition, whole, debts: Romano-Wolf p</t>
  </si>
  <si>
    <t xml:space="preserve">C. medical_condition, whole, debts: households</t>
  </si>
  <si>
    <t xml:space="preserve">C. medical_condition, whole, log_spend_pp: estimate</t>
  </si>
  <si>
    <t xml:space="preserve">C. medical_condition, whole, log_spend_pp: design-based s.e.</t>
  </si>
  <si>
    <t xml:space="preserve">C. medical_condition, whole, log_spend_pp: hc1 s.e.</t>
  </si>
  <si>
    <t xml:space="preserve">C. medical_condition, whole, log_spend_pp: p (design-based)</t>
  </si>
  <si>
    <t xml:space="preserve">C. medical_condition, whole, log_spend_pp: Romano-Wolf p</t>
  </si>
  <si>
    <t xml:space="preserve">C. medical_condition, whole, log_spend_pp: households</t>
  </si>
  <si>
    <t xml:space="preserve">C. medical_condition, whole, inc_fell: estimate</t>
  </si>
  <si>
    <t xml:space="preserve">C. medical_condition, whole, inc_fell: design-based s.e.</t>
  </si>
  <si>
    <t xml:space="preserve">C. medical_condition, whole, inc_fell: hc1 s.e.</t>
  </si>
  <si>
    <t xml:space="preserve">C. medical_condition, whole, inc_fell: p (design-based)</t>
  </si>
  <si>
    <t xml:space="preserve">C. medical_condition, whole, inc_fell: Romano-Wolf p</t>
  </si>
  <si>
    <t xml:space="preserve">C. medical_condition, whole, inc_fell: households</t>
  </si>
  <si>
    <t xml:space="preserve">C. medical_condition, whole, n_responses: estimate</t>
  </si>
  <si>
    <t xml:space="preserve">C. medical_condition, whole, n_responses: design-based s.e.</t>
  </si>
  <si>
    <t xml:space="preserve">C. medical_condition, whole, n_responses: hc1 s.e.</t>
  </si>
  <si>
    <t xml:space="preserve">C. medical_condition, whole, n_responses: p (design-based)</t>
  </si>
  <si>
    <t xml:space="preserve">C. medical_condition, whole, n_responses: Romano-Wolf p</t>
  </si>
  <si>
    <t xml:space="preserve">C. medical_condition, whole, n_responses: households</t>
  </si>
  <si>
    <t xml:space="preserve">C. medical_condition, whole, ate_less: estimate</t>
  </si>
  <si>
    <t xml:space="preserve">C. medical_condition, whole, ate_less: design-based s.e.</t>
  </si>
  <si>
    <t xml:space="preserve">C. medical_condition, whole, ate_less: hc1 s.e.</t>
  </si>
  <si>
    <t xml:space="preserve">C. medical_condition, whole, ate_less: p (design-based)</t>
  </si>
  <si>
    <t xml:space="preserve">C. medical_condition, whole, ate_less: Romano-Wolf p</t>
  </si>
  <si>
    <t xml:space="preserve">C. medical_condition, whole, ate_less: households</t>
  </si>
  <si>
    <t xml:space="preserve">C. medical_condition, whole, cut_spend: estimate</t>
  </si>
  <si>
    <t xml:space="preserve">C. medical_condition, whole, cut_spend: design-based s.e.</t>
  </si>
  <si>
    <t xml:space="preserve">C. medical_condition, whole, cut_spend: hc1 s.e.</t>
  </si>
  <si>
    <t xml:space="preserve">C. medical_condition, whole, cut_spend: p (design-based)</t>
  </si>
  <si>
    <t xml:space="preserve">C. medical_condition, whole, cut_spend: Romano-Wolf p</t>
  </si>
  <si>
    <t xml:space="preserve">C. medical_condition, whole, cut_spend: households</t>
  </si>
  <si>
    <t xml:space="preserve">C. medical_condition, whole, cut_educ: estimate</t>
  </si>
  <si>
    <t xml:space="preserve">C. medical_condition, whole, cut_educ: design-based s.e.</t>
  </si>
  <si>
    <t xml:space="preserve">C. medical_condition, whole, cut_educ: hc1 s.e.</t>
  </si>
  <si>
    <t xml:space="preserve">C. medical_condition, whole, cut_educ: p (design-based)</t>
  </si>
  <si>
    <t xml:space="preserve">C. medical_condition, whole, cut_educ: Romano-Wolf p</t>
  </si>
  <si>
    <t xml:space="preserve">C. medical_condition, whole, cut_educ: households</t>
  </si>
  <si>
    <t xml:space="preserve">C. medical_condition, whole, child_work: estimate</t>
  </si>
  <si>
    <t xml:space="preserve">C. medical_condition, whole, child_work: design-based s.e.</t>
  </si>
  <si>
    <t xml:space="preserve">C. medical_condition, whole, child_work: hc1 s.e.</t>
  </si>
  <si>
    <t xml:space="preserve">C. medical_condition, whole, child_work: p (design-based)</t>
  </si>
  <si>
    <t xml:space="preserve">C. medical_condition, whole, child_work: Romano-Wolf p</t>
  </si>
  <si>
    <t xml:space="preserve">C. medical_condition, whole, child_work: households</t>
  </si>
  <si>
    <t xml:space="preserve">C. medical_condition, whole, loan: estimate</t>
  </si>
  <si>
    <t xml:space="preserve">C. medical_condition, whole, loan: design-based s.e.</t>
  </si>
  <si>
    <t xml:space="preserve">C. medical_condition, whole, loan: hc1 s.e.</t>
  </si>
  <si>
    <t xml:space="preserve">C. medical_condition, whole, loan: p (design-based)</t>
  </si>
  <si>
    <t xml:space="preserve">C. medical_condition, whole, loan: Romano-Wolf p</t>
  </si>
  <si>
    <t xml:space="preserve">C. medical_condition, whole, loan: households</t>
  </si>
  <si>
    <t xml:space="preserve">C. medical_condition, whole, used_savings: estimate</t>
  </si>
  <si>
    <t xml:space="preserve">C. medical_condition, whole, used_savings: design-based s.e.</t>
  </si>
  <si>
    <t xml:space="preserve">C. medical_condition, whole, used_savings: hc1 s.e.</t>
  </si>
  <si>
    <t xml:space="preserve">C. medical_condition, whole, used_savings: p (design-based)</t>
  </si>
  <si>
    <t xml:space="preserve">C. medical_condition, whole, used_savings: Romano-Wolf p</t>
  </si>
  <si>
    <t xml:space="preserve">C. medical_condition, whole, used_savings: households</t>
  </si>
  <si>
    <t xml:space="preserve">C. medical_condition, whole, sold: estimate</t>
  </si>
  <si>
    <t xml:space="preserve">C. medical_condition, whole, sold: design-based s.e.</t>
  </si>
  <si>
    <t xml:space="preserve">C. medical_condition, whole, sold: hc1 s.e.</t>
  </si>
  <si>
    <t xml:space="preserve">C. medical_condition, whole, sold: p (design-based)</t>
  </si>
  <si>
    <t xml:space="preserve">C. medical_condition, whole, sold: Romano-Wolf p</t>
  </si>
  <si>
    <t xml:space="preserve">C. medical_condition, whole, sold: households</t>
  </si>
  <si>
    <t xml:space="preserve">C. medical_condition, whole, asked_assist: estimate</t>
  </si>
  <si>
    <t xml:space="preserve">C. medical_condition, whole, asked_assist: design-based s.e.</t>
  </si>
  <si>
    <t xml:space="preserve">C. medical_condition, whole, asked_assist: hc1 s.e.</t>
  </si>
  <si>
    <t xml:space="preserve">C. medical_condition, whole, asked_assist: p (design-based)</t>
  </si>
  <si>
    <t xml:space="preserve">C. medical_condition, whole, asked_assist: Romano-Wolf p</t>
  </si>
  <si>
    <t xml:space="preserve">C. medical_condition, whole, asked_assist: households</t>
  </si>
  <si>
    <t xml:space="preserve">C. medical_condition, whole, more_hours: estimate</t>
  </si>
  <si>
    <t xml:space="preserve">C. medical_condition, whole, more_hours: design-based s.e.</t>
  </si>
  <si>
    <t xml:space="preserve">C. medical_condition, whole, more_hours: hc1 s.e.</t>
  </si>
  <si>
    <t xml:space="preserve">C. medical_condition, whole, more_hours: p (design-based)</t>
  </si>
  <si>
    <t xml:space="preserve">C. medical_condition, whole, more_hours: Romano-Wolf p</t>
  </si>
  <si>
    <t xml:space="preserve">C. medical_condition, whole, more_hours: households</t>
  </si>
  <si>
    <t xml:space="preserve">C. medical_condition, whole, second_job: estimate</t>
  </si>
  <si>
    <t xml:space="preserve">C. medical_condition, whole, second_job: design-based s.e.</t>
  </si>
  <si>
    <t xml:space="preserve">C. medical_condition, whole, second_job: hc1 s.e.</t>
  </si>
  <si>
    <t xml:space="preserve">C. medical_condition, whole, second_job: p (design-based)</t>
  </si>
  <si>
    <t xml:space="preserve">C. medical_condition, whole, second_job: Romano-Wolf p</t>
  </si>
  <si>
    <t xml:space="preserve">C. medical_condition, whole, second_job: households</t>
  </si>
  <si>
    <t xml:space="preserve">C. medical_condition, whole, member_income: estimate</t>
  </si>
  <si>
    <t xml:space="preserve">C. medical_condition, whole, member_income: design-based s.e.</t>
  </si>
  <si>
    <t xml:space="preserve">C. medical_condition, whole, member_income: hc1 s.e.</t>
  </si>
  <si>
    <t xml:space="preserve">C. medical_condition, whole, member_income: p (design-based)</t>
  </si>
  <si>
    <t xml:space="preserve">C. medical_condition, whole, member_income: Romano-Wolf p</t>
  </si>
  <si>
    <t xml:space="preserve">C. medical_condition, whole, member_income: households</t>
  </si>
  <si>
    <t xml:space="preserve">C. medical_condition, whole, idx_cons: estimate</t>
  </si>
  <si>
    <t xml:space="preserve">C. medical_condition, whole, idx_cons: design-based s.e.</t>
  </si>
  <si>
    <t xml:space="preserve">C. medical_condition, whole, idx_cons: hc1 s.e.</t>
  </si>
  <si>
    <t xml:space="preserve">C. medical_condition, whole, idx_cons: p (design-based)</t>
  </si>
  <si>
    <t xml:space="preserve">C. medical_condition, whole, idx_cons: Romano-Wolf p</t>
  </si>
  <si>
    <t xml:space="preserve">C. medical_condition, whole, idx_cons: households</t>
  </si>
  <si>
    <t xml:space="preserve">C. medical_condition, whole, idx_fin: estimate</t>
  </si>
  <si>
    <t xml:space="preserve">C. medical_condition, whole, idx_fin: design-based s.e.</t>
  </si>
  <si>
    <t xml:space="preserve">C. medical_condition, whole, idx_fin: hc1 s.e.</t>
  </si>
  <si>
    <t xml:space="preserve">C. medical_condition, whole, idx_fin: p (design-based)</t>
  </si>
  <si>
    <t xml:space="preserve">C. medical_condition, whole, idx_fin: Romano-Wolf p</t>
  </si>
  <si>
    <t xml:space="preserve">C. medical_condition, whole, idx_fin: households</t>
  </si>
  <si>
    <t xml:space="preserve">C. medical_condition, whole, idx_severe: estimate</t>
  </si>
  <si>
    <t xml:space="preserve">C. medical_condition, whole, idx_severe: design-based s.e.</t>
  </si>
  <si>
    <t xml:space="preserve">C. medical_condition, whole, idx_severe: hc1 s.e.</t>
  </si>
  <si>
    <t xml:space="preserve">C. medical_condition, whole, idx_severe: p (design-based)</t>
  </si>
  <si>
    <t xml:space="preserve">C. medical_condition, whole, idx_severe: Romano-Wolf p</t>
  </si>
  <si>
    <t xml:space="preserve">C. medical_condition, whole, idx_severe: households</t>
  </si>
  <si>
    <t xml:space="preserve">C. medical_condition, whole, wfp_score: estimate</t>
  </si>
  <si>
    <t xml:space="preserve">C. medical_condition, whole, wfp_score: design-based s.e.</t>
  </si>
  <si>
    <t xml:space="preserve">C. medical_condition, whole, wfp_score: hc1 s.e.</t>
  </si>
  <si>
    <t xml:space="preserve">C. medical_condition, whole, wfp_score: p (design-based)</t>
  </si>
  <si>
    <t xml:space="preserve">C. medical_condition, whole, wfp_score: Romano-Wolf p</t>
  </si>
  <si>
    <t xml:space="preserve">C. medical_condition, whole, wfp_score: households</t>
  </si>
  <si>
    <t xml:space="preserve">D. medical_condition, whole, work_income: estimate</t>
  </si>
  <si>
    <t xml:space="preserve">D. medical_condition, whole, work_income: design-based s.e.</t>
  </si>
  <si>
    <t xml:space="preserve">D. medical_condition, whole, work_income: hc1 s.e.</t>
  </si>
  <si>
    <t xml:space="preserve">D. medical_condition, whole, work_income: p (design-based)</t>
  </si>
  <si>
    <t xml:space="preserve">D. medical_condition, whole, work_income: Romano-Wolf p</t>
  </si>
  <si>
    <t xml:space="preserve">D. medical_condition, whole, work_income: households</t>
  </si>
  <si>
    <t xml:space="preserve">D. medical_condition, whole, work_income: minimum detectable interaction</t>
  </si>
  <si>
    <t xml:space="preserve">D. medical_condition, whole, spend_gt_inc: estimate</t>
  </si>
  <si>
    <t xml:space="preserve">D. medical_condition, whole, spend_gt_inc: design-based s.e.</t>
  </si>
  <si>
    <t xml:space="preserve">D. medical_condition, whole, spend_gt_inc: hc1 s.e.</t>
  </si>
  <si>
    <t xml:space="preserve">D. medical_condition, whole, spend_gt_inc: p (design-based)</t>
  </si>
  <si>
    <t xml:space="preserve">D. medical_condition, whole, spend_gt_inc: Romano-Wolf p</t>
  </si>
  <si>
    <t xml:space="preserve">D. medical_condition, whole, spend_gt_inc: households</t>
  </si>
  <si>
    <t xml:space="preserve">D. medical_condition, whole, spend_gt_inc: minimum detectable interaction</t>
  </si>
  <si>
    <t xml:space="preserve">D. medical_condition, whole, debts: estimate</t>
  </si>
  <si>
    <t xml:space="preserve">D. medical_condition, whole, debts: design-based s.e.</t>
  </si>
  <si>
    <t xml:space="preserve">D. medical_condition, whole, debts: hc1 s.e.</t>
  </si>
  <si>
    <t xml:space="preserve">D. medical_condition, whole, debts: p (design-based)</t>
  </si>
  <si>
    <t xml:space="preserve">D. medical_condition, whole, debts: Romano-Wolf p</t>
  </si>
  <si>
    <t xml:space="preserve">D. medical_condition, whole, debts: households</t>
  </si>
  <si>
    <t xml:space="preserve">D. medical_condition, whole, debts: minimum detectable interaction</t>
  </si>
  <si>
    <t xml:space="preserve">D. medical_condition, whole, log_spend_pp: estimate</t>
  </si>
  <si>
    <t xml:space="preserve">D. medical_condition, whole, log_spend_pp: design-based s.e.</t>
  </si>
  <si>
    <t xml:space="preserve">D. medical_condition, whole, log_spend_pp: hc1 s.e.</t>
  </si>
  <si>
    <t xml:space="preserve">D. medical_condition, whole, log_spend_pp: p (design-based)</t>
  </si>
  <si>
    <t xml:space="preserve">D. medical_condition, whole, log_spend_pp: Romano-Wolf p</t>
  </si>
  <si>
    <t xml:space="preserve">D. medical_condition, whole, log_spend_pp: households</t>
  </si>
  <si>
    <t xml:space="preserve">D. medical_condition, whole, log_spend_pp: minimum detectable interaction</t>
  </si>
  <si>
    <t xml:space="preserve">D. medical_condition, whole, inc_fell: estimate</t>
  </si>
  <si>
    <t xml:space="preserve">D. medical_condition, whole, inc_fell: design-based s.e.</t>
  </si>
  <si>
    <t xml:space="preserve">D. medical_condition, whole, inc_fell: hc1 s.e.</t>
  </si>
  <si>
    <t xml:space="preserve">D. medical_condition, whole, inc_fell: p (design-based)</t>
  </si>
  <si>
    <t xml:space="preserve">D. medical_condition, whole, inc_fell: Romano-Wolf p</t>
  </si>
  <si>
    <t xml:space="preserve">D. medical_condition, whole, inc_fell: households</t>
  </si>
  <si>
    <t xml:space="preserve">D. medical_condition, whole, inc_fell: minimum detectable interaction</t>
  </si>
  <si>
    <t xml:space="preserve">D. medical_condition, whole, n_responses: estimate</t>
  </si>
  <si>
    <t xml:space="preserve">D. medical_condition, whole, n_responses: design-based s.e.</t>
  </si>
  <si>
    <t xml:space="preserve">D. medical_condition, whole, n_responses: hc1 s.e.</t>
  </si>
  <si>
    <t xml:space="preserve">D. medical_condition, whole, n_responses: p (design-based)</t>
  </si>
  <si>
    <t xml:space="preserve">D. medical_condition, whole, n_responses: Romano-Wolf p</t>
  </si>
  <si>
    <t xml:space="preserve">D. medical_condition, whole, n_responses: households</t>
  </si>
  <si>
    <t xml:space="preserve">D. medical_condition, whole, n_responses: minimum detectable interaction</t>
  </si>
  <si>
    <t xml:space="preserve">D. medical_condition, whole, ate_less: estimate</t>
  </si>
  <si>
    <t xml:space="preserve">D. medical_condition, whole, ate_less: design-based s.e.</t>
  </si>
  <si>
    <t xml:space="preserve">D. medical_condition, whole, ate_less: hc1 s.e.</t>
  </si>
  <si>
    <t xml:space="preserve">D. medical_condition, whole, ate_less: p (design-based)</t>
  </si>
  <si>
    <t xml:space="preserve">D. medical_condition, whole, ate_less: Romano-Wolf p</t>
  </si>
  <si>
    <t xml:space="preserve">D. medical_condition, whole, ate_less: households</t>
  </si>
  <si>
    <t xml:space="preserve">D. medical_condition, whole, ate_less: minimum detectable interaction</t>
  </si>
  <si>
    <t xml:space="preserve">D. medical_condition, whole, cut_spend: estimate</t>
  </si>
  <si>
    <t xml:space="preserve">D. medical_condition, whole, cut_spend: design-based s.e.</t>
  </si>
  <si>
    <t xml:space="preserve">D. medical_condition, whole, cut_spend: hc1 s.e.</t>
  </si>
  <si>
    <t xml:space="preserve">D. medical_condition, whole, cut_spend: p (design-based)</t>
  </si>
  <si>
    <t xml:space="preserve">D. medical_condition, whole, cut_spend: Romano-Wolf p</t>
  </si>
  <si>
    <t xml:space="preserve">D. medical_condition, whole, cut_spend: households</t>
  </si>
  <si>
    <t xml:space="preserve">D. medical_condition, whole, cut_spend: minimum detectable interaction</t>
  </si>
  <si>
    <t xml:space="preserve">D. medical_condition, whole, cut_educ: estimate</t>
  </si>
  <si>
    <t xml:space="preserve">D. medical_condition, whole, cut_educ: design-based s.e.</t>
  </si>
  <si>
    <t xml:space="preserve">D. medical_condition, whole, cut_educ: hc1 s.e.</t>
  </si>
  <si>
    <t xml:space="preserve">D. medical_condition, whole, cut_educ: p (design-based)</t>
  </si>
  <si>
    <t xml:space="preserve">D. medical_condition, whole, cut_educ: Romano-Wolf p</t>
  </si>
  <si>
    <t xml:space="preserve">D. medical_condition, whole, cut_educ: households</t>
  </si>
  <si>
    <t xml:space="preserve">D. medical_condition, whole, cut_educ: minimum detectable interaction</t>
  </si>
  <si>
    <t xml:space="preserve">D. medical_condition, whole, child_work: estimate</t>
  </si>
  <si>
    <t xml:space="preserve">D. medical_condition, whole, child_work: design-based s.e.</t>
  </si>
  <si>
    <t xml:space="preserve">D. medical_condition, whole, child_work: hc1 s.e.</t>
  </si>
  <si>
    <t xml:space="preserve">D. medical_condition, whole, child_work: p (design-based)</t>
  </si>
  <si>
    <t xml:space="preserve">D. medical_condition, whole, child_work: Romano-Wolf p</t>
  </si>
  <si>
    <t xml:space="preserve">D. medical_condition, whole, child_work: households</t>
  </si>
  <si>
    <t xml:space="preserve">D. medical_condition, whole, child_work: minimum detectable interaction</t>
  </si>
  <si>
    <t xml:space="preserve">D. medical_condition, whole, loan: estimate</t>
  </si>
  <si>
    <t xml:space="preserve">D. medical_condition, whole, loan: design-based s.e.</t>
  </si>
  <si>
    <t xml:space="preserve">D. medical_condition, whole, loan: hc1 s.e.</t>
  </si>
  <si>
    <t xml:space="preserve">D. medical_condition, whole, loan: p (design-based)</t>
  </si>
  <si>
    <t xml:space="preserve">D. medical_condition, whole, loan: Romano-Wolf p</t>
  </si>
  <si>
    <t xml:space="preserve">D. medical_condition, whole, loan: households</t>
  </si>
  <si>
    <t xml:space="preserve">D. medical_condition, whole, loan: minimum detectable interaction</t>
  </si>
  <si>
    <t xml:space="preserve">D. medical_condition, whole, used_savings: estimate</t>
  </si>
  <si>
    <t xml:space="preserve">D. medical_condition, whole, used_savings: design-based s.e.</t>
  </si>
  <si>
    <t xml:space="preserve">D. medical_condition, whole, used_savings: hc1 s.e.</t>
  </si>
  <si>
    <t xml:space="preserve">D. medical_condition, whole, used_savings: p (design-based)</t>
  </si>
  <si>
    <t xml:space="preserve">D. medical_condition, whole, used_savings: Romano-Wolf p</t>
  </si>
  <si>
    <t xml:space="preserve">D. medical_condition, whole, used_savings: households</t>
  </si>
  <si>
    <t xml:space="preserve">D. medical_condition, whole, used_savings: minimum detectable interaction</t>
  </si>
  <si>
    <t xml:space="preserve">D. medical_condition, whole, sold: estimate</t>
  </si>
  <si>
    <t xml:space="preserve">D. medical_condition, whole, sold: design-based s.e.</t>
  </si>
  <si>
    <t xml:space="preserve">D. medical_condition, whole, sold: hc1 s.e.</t>
  </si>
  <si>
    <t xml:space="preserve">D. medical_condition, whole, sold: p (design-based)</t>
  </si>
  <si>
    <t xml:space="preserve">D. medical_condition, whole, sold: Romano-Wolf p</t>
  </si>
  <si>
    <t xml:space="preserve">D. medical_condition, whole, sold: households</t>
  </si>
  <si>
    <t xml:space="preserve">D. medical_condition, whole, sold: minimum detectable interaction</t>
  </si>
  <si>
    <t xml:space="preserve">D. medical_condition, whole, asked_assist: estimate</t>
  </si>
  <si>
    <t xml:space="preserve">D. medical_condition, whole, asked_assist: design-based s.e.</t>
  </si>
  <si>
    <t xml:space="preserve">D. medical_condition, whole, asked_assist: hc1 s.e.</t>
  </si>
  <si>
    <t xml:space="preserve">D. medical_condition, whole, asked_assist: p (design-based)</t>
  </si>
  <si>
    <t xml:space="preserve">D. medical_condition, whole, asked_assist: Romano-Wolf p</t>
  </si>
  <si>
    <t xml:space="preserve">D. medical_condition, whole, asked_assist: households</t>
  </si>
  <si>
    <t xml:space="preserve">D. medical_condition, whole, asked_assist: minimum detectable interaction</t>
  </si>
  <si>
    <t xml:space="preserve">D. medical_condition, whole, more_hours: estimate</t>
  </si>
  <si>
    <t xml:space="preserve">D. medical_condition, whole, more_hours: design-based s.e.</t>
  </si>
  <si>
    <t xml:space="preserve">D. medical_condition, whole, more_hours: hc1 s.e.</t>
  </si>
  <si>
    <t xml:space="preserve">D. medical_condition, whole, more_hours: p (design-based)</t>
  </si>
  <si>
    <t xml:space="preserve">D. medical_condition, whole, more_hours: Romano-Wolf p</t>
  </si>
  <si>
    <t xml:space="preserve">D. medical_condition, whole, more_hours: households</t>
  </si>
  <si>
    <t xml:space="preserve">D. medical_condition, whole, more_hours: minimum detectable interaction</t>
  </si>
  <si>
    <t xml:space="preserve">D. medical_condition, whole, second_job: estimate</t>
  </si>
  <si>
    <t xml:space="preserve">D. medical_condition, whole, second_job: design-based s.e.</t>
  </si>
  <si>
    <t xml:space="preserve">D. medical_condition, whole, second_job: hc1 s.e.</t>
  </si>
  <si>
    <t xml:space="preserve">D. medical_condition, whole, second_job: p (design-based)</t>
  </si>
  <si>
    <t xml:space="preserve">D. medical_condition, whole, second_job: Romano-Wolf p</t>
  </si>
  <si>
    <t xml:space="preserve">D. medical_condition, whole, second_job: households</t>
  </si>
  <si>
    <t xml:space="preserve">D. medical_condition, whole, second_job: minimum detectable interaction</t>
  </si>
  <si>
    <t xml:space="preserve">D. medical_condition, whole, member_income: estimate</t>
  </si>
  <si>
    <t xml:space="preserve">D. medical_condition, whole, member_income: design-based s.e.</t>
  </si>
  <si>
    <t xml:space="preserve">D. medical_condition, whole, member_income: hc1 s.e.</t>
  </si>
  <si>
    <t xml:space="preserve">D. medical_condition, whole, member_income: p (design-based)</t>
  </si>
  <si>
    <t xml:space="preserve">D. medical_condition, whole, member_income: Romano-Wolf p</t>
  </si>
  <si>
    <t xml:space="preserve">D. medical_condition, whole, member_income: households</t>
  </si>
  <si>
    <t xml:space="preserve">D. medical_condition, whole, member_income: minimum detectable interaction</t>
  </si>
  <si>
    <t xml:space="preserve">D. medical_condition, whole, idx_cons: estimate</t>
  </si>
  <si>
    <t xml:space="preserve">D. medical_condition, whole, idx_cons: design-based s.e.</t>
  </si>
  <si>
    <t xml:space="preserve">D. medical_condition, whole, idx_cons: hc1 s.e.</t>
  </si>
  <si>
    <t xml:space="preserve">D. medical_condition, whole, idx_cons: p (design-based)</t>
  </si>
  <si>
    <t xml:space="preserve">D. medical_condition, whole, idx_cons: Romano-Wolf p</t>
  </si>
  <si>
    <t xml:space="preserve">D. medical_condition, whole, idx_cons: households</t>
  </si>
  <si>
    <t xml:space="preserve">D. medical_condition, whole, idx_cons: minimum detectable interaction</t>
  </si>
  <si>
    <t xml:space="preserve">D. medical_condition, whole, idx_fin: estimate</t>
  </si>
  <si>
    <t xml:space="preserve">D. medical_condition, whole, idx_fin: design-based s.e.</t>
  </si>
  <si>
    <t xml:space="preserve">D. medical_condition, whole, idx_fin: hc1 s.e.</t>
  </si>
  <si>
    <t xml:space="preserve">D. medical_condition, whole, idx_fin: p (design-based)</t>
  </si>
  <si>
    <t xml:space="preserve">D. medical_condition, whole, idx_fin: Romano-Wolf p</t>
  </si>
  <si>
    <t xml:space="preserve">D. medical_condition, whole, idx_fin: households</t>
  </si>
  <si>
    <t xml:space="preserve">D. medical_condition, whole, idx_fin: minimum detectable interaction</t>
  </si>
  <si>
    <t xml:space="preserve">D. medical_condition, whole, idx_severe: estimate</t>
  </si>
  <si>
    <t xml:space="preserve">D. medical_condition, whole, idx_severe: design-based s.e.</t>
  </si>
  <si>
    <t xml:space="preserve">D. medical_condition, whole, idx_severe: hc1 s.e.</t>
  </si>
  <si>
    <t xml:space="preserve">D. medical_condition, whole, idx_severe: p (design-based)</t>
  </si>
  <si>
    <t xml:space="preserve">D. medical_condition, whole, idx_severe: Romano-Wolf p</t>
  </si>
  <si>
    <t xml:space="preserve">D. medical_condition, whole, idx_severe: households</t>
  </si>
  <si>
    <t xml:space="preserve">D. medical_condition, whole, idx_severe: minimum detectable interaction</t>
  </si>
  <si>
    <t xml:space="preserve">D. medical_condition, whole, wfp_score: estimate</t>
  </si>
  <si>
    <t xml:space="preserve">D. medical_condition, whole, wfp_score: design-based s.e.</t>
  </si>
  <si>
    <t xml:space="preserve">D. medical_condition, whole, wfp_score: hc1 s.e.</t>
  </si>
  <si>
    <t xml:space="preserve">D. medical_condition, whole, wfp_score: p (design-based)</t>
  </si>
  <si>
    <t xml:space="preserve">D. medical_condition, whole, wfp_score: Romano-Wolf p</t>
  </si>
  <si>
    <t xml:space="preserve">D. medical_condition, whole, wfp_score: households</t>
  </si>
  <si>
    <t xml:space="preserve">D. medical_condition, whole, wfp_score: minimum detectable interaction</t>
  </si>
  <si>
    <t xml:space="preserve">C. sickness, support, work_income: estimate</t>
  </si>
  <si>
    <t xml:space="preserve">C. sickness, support, work_income: design-based s.e.</t>
  </si>
  <si>
    <t xml:space="preserve">C. sickness, support, work_income: hc1 s.e.</t>
  </si>
  <si>
    <t xml:space="preserve">C. sickness, support, work_income: p (design-based)</t>
  </si>
  <si>
    <t xml:space="preserve">C. sickness, support, work_income: Romano-Wolf p</t>
  </si>
  <si>
    <t xml:space="preserve">C. sickness, support, work_income: households</t>
  </si>
  <si>
    <t xml:space="preserve">C. sickness, support, spend_gt_inc: estimate</t>
  </si>
  <si>
    <t xml:space="preserve">C. sickness, support, spend_gt_inc: design-based s.e.</t>
  </si>
  <si>
    <t xml:space="preserve">C. sickness, support, spend_gt_inc: hc1 s.e.</t>
  </si>
  <si>
    <t xml:space="preserve">C. sickness, support, spend_gt_inc: p (design-based)</t>
  </si>
  <si>
    <t xml:space="preserve">C. sickness, support, spend_gt_inc: Romano-Wolf p</t>
  </si>
  <si>
    <t xml:space="preserve">C. sickness, support, spend_gt_inc: households</t>
  </si>
  <si>
    <t xml:space="preserve">C. sickness, support, debts: estimate</t>
  </si>
  <si>
    <t xml:space="preserve">C. sickness, support, debts: design-based s.e.</t>
  </si>
  <si>
    <t xml:space="preserve">C. sickness, support, debts: hc1 s.e.</t>
  </si>
  <si>
    <t xml:space="preserve">C. sickness, support, debts: p (design-based)</t>
  </si>
  <si>
    <t xml:space="preserve">C. sickness, support, debts: Romano-Wolf p</t>
  </si>
  <si>
    <t xml:space="preserve">C. sickness, support, debts: households</t>
  </si>
  <si>
    <t xml:space="preserve">C. sickness, support, log_spend_pp: estimate</t>
  </si>
  <si>
    <t xml:space="preserve">C. sickness, support, log_spend_pp: design-based s.e.</t>
  </si>
  <si>
    <t xml:space="preserve">C. sickness, support, log_spend_pp: hc1 s.e.</t>
  </si>
  <si>
    <t xml:space="preserve">C. sickness, support, log_spend_pp: p (design-based)</t>
  </si>
  <si>
    <t xml:space="preserve">C. sickness, support, log_spend_pp: Romano-Wolf p</t>
  </si>
  <si>
    <t xml:space="preserve">C. sickness, support, log_spend_pp: households</t>
  </si>
  <si>
    <t xml:space="preserve">C. sickness, support, inc_fell: estimate</t>
  </si>
  <si>
    <t xml:space="preserve">C. sickness, support, inc_fell: design-based s.e.</t>
  </si>
  <si>
    <t xml:space="preserve">C. sickness, support, inc_fell: hc1 s.e.</t>
  </si>
  <si>
    <t xml:space="preserve">C. sickness, support, inc_fell: p (design-based)</t>
  </si>
  <si>
    <t xml:space="preserve">C. sickness, support, inc_fell: Romano-Wolf p</t>
  </si>
  <si>
    <t xml:space="preserve">C. sickness, support, inc_fell: households</t>
  </si>
  <si>
    <t xml:space="preserve">C. sickness, support, n_responses: estimate</t>
  </si>
  <si>
    <t xml:space="preserve">C. sickness, support, n_responses: design-based s.e.</t>
  </si>
  <si>
    <t xml:space="preserve">C. sickness, support, n_responses: hc1 s.e.</t>
  </si>
  <si>
    <t xml:space="preserve">C. sickness, support, n_responses: p (design-based)</t>
  </si>
  <si>
    <t xml:space="preserve">C. sickness, support, n_responses: Romano-Wolf p</t>
  </si>
  <si>
    <t xml:space="preserve">C. sickness, support, n_responses: households</t>
  </si>
  <si>
    <t xml:space="preserve">C. sickness, support, ate_less: estimate</t>
  </si>
  <si>
    <t xml:space="preserve">C. sickness, support, ate_less: design-based s.e.</t>
  </si>
  <si>
    <t xml:space="preserve">C. sickness, support, ate_less: hc1 s.e.</t>
  </si>
  <si>
    <t xml:space="preserve">C. sickness, support, ate_less: p (design-based)</t>
  </si>
  <si>
    <t xml:space="preserve">C. sickness, support, ate_less: Romano-Wolf p</t>
  </si>
  <si>
    <t xml:space="preserve">C. sickness, support, ate_less: households</t>
  </si>
  <si>
    <t xml:space="preserve">C. sickness, support, cut_spend: estimate</t>
  </si>
  <si>
    <t xml:space="preserve">C. sickness, support, cut_spend: design-based s.e.</t>
  </si>
  <si>
    <t xml:space="preserve">C. sickness, support, cut_spend: hc1 s.e.</t>
  </si>
  <si>
    <t xml:space="preserve">C. sickness, support, cut_spend: p (design-based)</t>
  </si>
  <si>
    <t xml:space="preserve">C. sickness, support, cut_spend: Romano-Wolf p</t>
  </si>
  <si>
    <t xml:space="preserve">C. sickness, support, cut_spend: households</t>
  </si>
  <si>
    <t xml:space="preserve">C. sickness, support, cut_educ: estimate</t>
  </si>
  <si>
    <t xml:space="preserve">C. sickness, support, cut_educ: design-based s.e.</t>
  </si>
  <si>
    <t xml:space="preserve">C. sickness, support, cut_educ: hc1 s.e.</t>
  </si>
  <si>
    <t xml:space="preserve">C. sickness, support, cut_educ: p (design-based)</t>
  </si>
  <si>
    <t xml:space="preserve">C. sickness, support, cut_educ: Romano-Wolf p</t>
  </si>
  <si>
    <t xml:space="preserve">C. sickness, support, cut_educ: households</t>
  </si>
  <si>
    <t xml:space="preserve">C. sickness, support, child_work: estimate</t>
  </si>
  <si>
    <t xml:space="preserve">C. sickness, support, child_work: design-based s.e.</t>
  </si>
  <si>
    <t xml:space="preserve">C. sickness, support, child_work: hc1 s.e.</t>
  </si>
  <si>
    <t xml:space="preserve">C. sickness, support, child_work: p (design-based)</t>
  </si>
  <si>
    <t xml:space="preserve">C. sickness, support, child_work: Romano-Wolf p</t>
  </si>
  <si>
    <t xml:space="preserve">C. sickness, support, child_work: households</t>
  </si>
  <si>
    <t xml:space="preserve">C. sickness, support, loan: estimate</t>
  </si>
  <si>
    <t xml:space="preserve">C. sickness, support, loan: design-based s.e.</t>
  </si>
  <si>
    <t xml:space="preserve">C. sickness, support, loan: hc1 s.e.</t>
  </si>
  <si>
    <t xml:space="preserve">C. sickness, support, loan: p (design-based)</t>
  </si>
  <si>
    <t xml:space="preserve">C. sickness, support, loan: Romano-Wolf p</t>
  </si>
  <si>
    <t xml:space="preserve">C. sickness, support, loan: households</t>
  </si>
  <si>
    <t xml:space="preserve">C. sickness, support, used_savings: estimate</t>
  </si>
  <si>
    <t xml:space="preserve">C. sickness, support, used_savings: design-based s.e.</t>
  </si>
  <si>
    <t xml:space="preserve">C. sickness, support, used_savings: hc1 s.e.</t>
  </si>
  <si>
    <t xml:space="preserve">C. sickness, support, used_savings: p (design-based)</t>
  </si>
  <si>
    <t xml:space="preserve">C. sickness, support, used_savings: Romano-Wolf p</t>
  </si>
  <si>
    <t xml:space="preserve">C. sickness, support, used_savings: households</t>
  </si>
  <si>
    <t xml:space="preserve">C. sickness, support, sold: estimate</t>
  </si>
  <si>
    <t xml:space="preserve">C. sickness, support, sold: design-based s.e.</t>
  </si>
  <si>
    <t xml:space="preserve">C. sickness, support, sold: hc1 s.e.</t>
  </si>
  <si>
    <t xml:space="preserve">C. sickness, support, sold: p (design-based)</t>
  </si>
  <si>
    <t xml:space="preserve">C. sickness, support, sold: Romano-Wolf p</t>
  </si>
  <si>
    <t xml:space="preserve">C. sickness, support, sold: households</t>
  </si>
  <si>
    <t xml:space="preserve">C. sickness, support, asked_assist: estimate</t>
  </si>
  <si>
    <t xml:space="preserve">C. sickness, support, asked_assist: design-based s.e.</t>
  </si>
  <si>
    <t xml:space="preserve">C. sickness, support, asked_assist: hc1 s.e.</t>
  </si>
  <si>
    <t xml:space="preserve">C. sickness, support, asked_assist: p (design-based)</t>
  </si>
  <si>
    <t xml:space="preserve">C. sickness, support, asked_assist: Romano-Wolf p</t>
  </si>
  <si>
    <t xml:space="preserve">C. sickness, support, asked_assist: households</t>
  </si>
  <si>
    <t xml:space="preserve">C. sickness, support, more_hours: estimate</t>
  </si>
  <si>
    <t xml:space="preserve">C. sickness, support, more_hours: design-based s.e.</t>
  </si>
  <si>
    <t xml:space="preserve">C. sickness, support, more_hours: hc1 s.e.</t>
  </si>
  <si>
    <t xml:space="preserve">C. sickness, support, more_hours: p (design-based)</t>
  </si>
  <si>
    <t xml:space="preserve">C. sickness, support, more_hours: Romano-Wolf p</t>
  </si>
  <si>
    <t xml:space="preserve">C. sickness, support, more_hours: households</t>
  </si>
  <si>
    <t xml:space="preserve">C. sickness, support, second_job: estimate</t>
  </si>
  <si>
    <t xml:space="preserve">C. sickness, support, second_job: design-based s.e.</t>
  </si>
  <si>
    <t xml:space="preserve">C. sickness, support, second_job: hc1 s.e.</t>
  </si>
  <si>
    <t xml:space="preserve">C. sickness, support, second_job: p (design-based)</t>
  </si>
  <si>
    <t xml:space="preserve">C. sickness, support, second_job: Romano-Wolf p</t>
  </si>
  <si>
    <t xml:space="preserve">C. sickness, support, second_job: households</t>
  </si>
  <si>
    <t xml:space="preserve">C. sickness, support, member_income: estimate</t>
  </si>
  <si>
    <t xml:space="preserve">C. sickness, support, member_income: design-based s.e.</t>
  </si>
  <si>
    <t xml:space="preserve">C. sickness, support, member_income: hc1 s.e.</t>
  </si>
  <si>
    <t xml:space="preserve">C. sickness, support, member_income: p (design-based)</t>
  </si>
  <si>
    <t xml:space="preserve">C. sickness, support, member_income: Romano-Wolf p</t>
  </si>
  <si>
    <t xml:space="preserve">C. sickness, support, member_income: households</t>
  </si>
  <si>
    <t xml:space="preserve">C. sickness, support, idx_cons: estimate</t>
  </si>
  <si>
    <t xml:space="preserve">C. sickness, support, idx_cons: design-based s.e.</t>
  </si>
  <si>
    <t xml:space="preserve">C. sickness, support, idx_cons: hc1 s.e.</t>
  </si>
  <si>
    <t xml:space="preserve">C. sickness, support, idx_cons: p (design-based)</t>
  </si>
  <si>
    <t xml:space="preserve">C. sickness, support, idx_cons: Romano-Wolf p</t>
  </si>
  <si>
    <t xml:space="preserve">C. sickness, support, idx_cons: households</t>
  </si>
  <si>
    <t xml:space="preserve">C. sickness, support, idx_fin: estimate</t>
  </si>
  <si>
    <t xml:space="preserve">C. sickness, support, idx_fin: design-based s.e.</t>
  </si>
  <si>
    <t xml:space="preserve">C. sickness, support, idx_fin: hc1 s.e.</t>
  </si>
  <si>
    <t xml:space="preserve">C. sickness, support, idx_fin: p (design-based)</t>
  </si>
  <si>
    <t xml:space="preserve">C. sickness, support, idx_fin: Romano-Wolf p</t>
  </si>
  <si>
    <t xml:space="preserve">C. sickness, support, idx_fin: households</t>
  </si>
  <si>
    <t xml:space="preserve">C. sickness, support, idx_severe: estimate</t>
  </si>
  <si>
    <t xml:space="preserve">C. sickness, support, idx_severe: design-based s.e.</t>
  </si>
  <si>
    <t xml:space="preserve">C. sickness, support, idx_severe: hc1 s.e.</t>
  </si>
  <si>
    <t xml:space="preserve">C. sickness, support, idx_severe: p (design-based)</t>
  </si>
  <si>
    <t xml:space="preserve">C. sickness, support, idx_severe: Romano-Wolf p</t>
  </si>
  <si>
    <t xml:space="preserve">C. sickness, support, idx_severe: households</t>
  </si>
  <si>
    <t xml:space="preserve">C. sickness, support, wfp_score: estimate</t>
  </si>
  <si>
    <t xml:space="preserve">C. sickness, support, wfp_score: design-based s.e.</t>
  </si>
  <si>
    <t xml:space="preserve">C. sickness, support, wfp_score: hc1 s.e.</t>
  </si>
  <si>
    <t xml:space="preserve">C. sickness, support, wfp_score: p (design-based)</t>
  </si>
  <si>
    <t xml:space="preserve">C. sickness, support, wfp_score: Romano-Wolf p</t>
  </si>
  <si>
    <t xml:space="preserve">C. sickness, support, wfp_score: households</t>
  </si>
  <si>
    <t xml:space="preserve">D. sickness, support, work_income: estimate</t>
  </si>
  <si>
    <t xml:space="preserve">D. sickness, support, work_income: design-based s.e.</t>
  </si>
  <si>
    <t xml:space="preserve">D. sickness, support, work_income: hc1 s.e.</t>
  </si>
  <si>
    <t xml:space="preserve">D. sickness, support, work_income: p (design-based)</t>
  </si>
  <si>
    <t xml:space="preserve">D. sickness, support, work_income: Romano-Wolf p</t>
  </si>
  <si>
    <t xml:space="preserve">D. sickness, support, work_income: households</t>
  </si>
  <si>
    <t xml:space="preserve">D. sickness, support, work_income: minimum detectable interaction</t>
  </si>
  <si>
    <t xml:space="preserve">D. sickness, support, spend_gt_inc: estimate</t>
  </si>
  <si>
    <t xml:space="preserve">D. sickness, support, spend_gt_inc: design-based s.e.</t>
  </si>
  <si>
    <t xml:space="preserve">D. sickness, support, spend_gt_inc: hc1 s.e.</t>
  </si>
  <si>
    <t xml:space="preserve">D. sickness, support, spend_gt_inc: p (design-based)</t>
  </si>
  <si>
    <t xml:space="preserve">D. sickness, support, spend_gt_inc: Romano-Wolf p</t>
  </si>
  <si>
    <t xml:space="preserve">D. sickness, support, spend_gt_inc: households</t>
  </si>
  <si>
    <t xml:space="preserve">D. sickness, support, spend_gt_inc: minimum detectable interaction</t>
  </si>
  <si>
    <t xml:space="preserve">D. sickness, support, debts: estimate</t>
  </si>
  <si>
    <t xml:space="preserve">D. sickness, support, debts: design-based s.e.</t>
  </si>
  <si>
    <t xml:space="preserve">D. sickness, support, debts: hc1 s.e.</t>
  </si>
  <si>
    <t xml:space="preserve">D. sickness, support, debts: p (design-based)</t>
  </si>
  <si>
    <t xml:space="preserve">D. sickness, support, debts: Romano-Wolf p</t>
  </si>
  <si>
    <t xml:space="preserve">D. sickness, support, debts: households</t>
  </si>
  <si>
    <t xml:space="preserve">D. sickness, support, debts: minimum detectable interaction</t>
  </si>
  <si>
    <t xml:space="preserve">D. sickness, support, log_spend_pp: estimate</t>
  </si>
  <si>
    <t xml:space="preserve">D. sickness, support, log_spend_pp: design-based s.e.</t>
  </si>
  <si>
    <t xml:space="preserve">D. sickness, support, log_spend_pp: hc1 s.e.</t>
  </si>
  <si>
    <t xml:space="preserve">D. sickness, support, log_spend_pp: p (design-based)</t>
  </si>
  <si>
    <t xml:space="preserve">D. sickness, support, log_spend_pp: Romano-Wolf p</t>
  </si>
  <si>
    <t xml:space="preserve">D. sickness, support, log_spend_pp: households</t>
  </si>
  <si>
    <t xml:space="preserve">D. sickness, support, log_spend_pp: minimum detectable interaction</t>
  </si>
  <si>
    <t xml:space="preserve">D. sickness, support, inc_fell: estimate</t>
  </si>
  <si>
    <t xml:space="preserve">D. sickness, support, inc_fell: design-based s.e.</t>
  </si>
  <si>
    <t xml:space="preserve">D. sickness, support, inc_fell: hc1 s.e.</t>
  </si>
  <si>
    <t xml:space="preserve">D. sickness, support, inc_fell: p (design-based)</t>
  </si>
  <si>
    <t xml:space="preserve">D. sickness, support, inc_fell: Romano-Wolf p</t>
  </si>
  <si>
    <t xml:space="preserve">D. sickness, support, inc_fell: households</t>
  </si>
  <si>
    <t xml:space="preserve">D. sickness, support, inc_fell: minimum detectable interaction</t>
  </si>
  <si>
    <t xml:space="preserve">D. sickness, support, n_responses: estimate</t>
  </si>
  <si>
    <t xml:space="preserve">D. sickness, support, n_responses: design-based s.e.</t>
  </si>
  <si>
    <t xml:space="preserve">D. sickness, support, n_responses: hc1 s.e.</t>
  </si>
  <si>
    <t xml:space="preserve">D. sickness, support, n_responses: p (design-based)</t>
  </si>
  <si>
    <t xml:space="preserve">D. sickness, support, n_responses: Romano-Wolf p</t>
  </si>
  <si>
    <t xml:space="preserve">D. sickness, support, n_responses: households</t>
  </si>
  <si>
    <t xml:space="preserve">D. sickness, support, n_responses: minimum detectable interaction</t>
  </si>
  <si>
    <t xml:space="preserve">D. sickness, support, ate_less: estimate</t>
  </si>
  <si>
    <t xml:space="preserve">D. sickness, support, ate_less: design-based s.e.</t>
  </si>
  <si>
    <t xml:space="preserve">D. sickness, support, ate_less: hc1 s.e.</t>
  </si>
  <si>
    <t xml:space="preserve">D. sickness, support, ate_less: p (design-based)</t>
  </si>
  <si>
    <t xml:space="preserve">D. sickness, support, ate_less: Romano-Wolf p</t>
  </si>
  <si>
    <t xml:space="preserve">D. sickness, support, ate_less: households</t>
  </si>
  <si>
    <t xml:space="preserve">D. sickness, support, ate_less: minimum detectable interaction</t>
  </si>
  <si>
    <t xml:space="preserve">D. sickness, support, cut_spend: estimate</t>
  </si>
  <si>
    <t xml:space="preserve">D. sickness, support, cut_spend: design-based s.e.</t>
  </si>
  <si>
    <t xml:space="preserve">D. sickness, support, cut_spend: hc1 s.e.</t>
  </si>
  <si>
    <t xml:space="preserve">D. sickness, support, cut_spend: p (design-based)</t>
  </si>
  <si>
    <t xml:space="preserve">D. sickness, support, cut_spend: Romano-Wolf p</t>
  </si>
  <si>
    <t xml:space="preserve">D. sickness, support, cut_spend: households</t>
  </si>
  <si>
    <t xml:space="preserve">D. sickness, support, cut_spend: minimum detectable interaction</t>
  </si>
  <si>
    <t xml:space="preserve">D. sickness, support, cut_educ: estimate</t>
  </si>
  <si>
    <t xml:space="preserve">D. sickness, support, cut_educ: design-based s.e.</t>
  </si>
  <si>
    <t xml:space="preserve">D. sickness, support, cut_educ: hc1 s.e.</t>
  </si>
  <si>
    <t xml:space="preserve">D. sickness, support, cut_educ: p (design-based)</t>
  </si>
  <si>
    <t xml:space="preserve">D. sickness, support, cut_educ: Romano-Wolf p</t>
  </si>
  <si>
    <t xml:space="preserve">D. sickness, support, cut_educ: households</t>
  </si>
  <si>
    <t xml:space="preserve">D. sickness, support, cut_educ: minimum detectable interaction</t>
  </si>
  <si>
    <t xml:space="preserve">D. sickness, support, child_work: estimate</t>
  </si>
  <si>
    <t xml:space="preserve">D. sickness, support, child_work: design-based s.e.</t>
  </si>
  <si>
    <t xml:space="preserve">D. sickness, support, child_work: hc1 s.e.</t>
  </si>
  <si>
    <t xml:space="preserve">D. sickness, support, child_work: p (design-based)</t>
  </si>
  <si>
    <t xml:space="preserve">D. sickness, support, child_work: Romano-Wolf p</t>
  </si>
  <si>
    <t xml:space="preserve">D. sickness, support, child_work: households</t>
  </si>
  <si>
    <t xml:space="preserve">D. sickness, support, child_work: minimum detectable interaction</t>
  </si>
  <si>
    <t xml:space="preserve">D. sickness, support, loan: estimate</t>
  </si>
  <si>
    <t xml:space="preserve">D. sickness, support, loan: design-based s.e.</t>
  </si>
  <si>
    <t xml:space="preserve">D. sickness, support, loan: hc1 s.e.</t>
  </si>
  <si>
    <t xml:space="preserve">D. sickness, support, loan: p (design-based)</t>
  </si>
  <si>
    <t xml:space="preserve">D. sickness, support, loan: Romano-Wolf p</t>
  </si>
  <si>
    <t xml:space="preserve">D. sickness, support, loan: households</t>
  </si>
  <si>
    <t xml:space="preserve">D. sickness, support, loan: minimum detectable interaction</t>
  </si>
  <si>
    <t xml:space="preserve">D. sickness, support, used_savings: estimate</t>
  </si>
  <si>
    <t xml:space="preserve">D. sickness, support, used_savings: design-based s.e.</t>
  </si>
  <si>
    <t xml:space="preserve">D. sickness, support, used_savings: hc1 s.e.</t>
  </si>
  <si>
    <t xml:space="preserve">D. sickness, support, used_savings: p (design-based)</t>
  </si>
  <si>
    <t xml:space="preserve">D. sickness, support, used_savings: Romano-Wolf p</t>
  </si>
  <si>
    <t xml:space="preserve">D. sickness, support, used_savings: households</t>
  </si>
  <si>
    <t xml:space="preserve">D. sickness, support, used_savings: minimum detectable interaction</t>
  </si>
  <si>
    <t xml:space="preserve">D. sickness, support, sold: estimate</t>
  </si>
  <si>
    <t xml:space="preserve">D. sickness, support, sold: design-based s.e.</t>
  </si>
  <si>
    <t xml:space="preserve">D. sickness, support, sold: hc1 s.e.</t>
  </si>
  <si>
    <t xml:space="preserve">D. sickness, support, sold: p (design-based)</t>
  </si>
  <si>
    <t xml:space="preserve">D. sickness, support, sold: Romano-Wolf p</t>
  </si>
  <si>
    <t xml:space="preserve">D. sickness, support, sold: households</t>
  </si>
  <si>
    <t xml:space="preserve">D. sickness, support, sold: minimum detectable interaction</t>
  </si>
  <si>
    <t xml:space="preserve">D. sickness, support, asked_assist: estimate</t>
  </si>
  <si>
    <t xml:space="preserve">D. sickness, support, asked_assist: design-based s.e.</t>
  </si>
  <si>
    <t xml:space="preserve">D. sickness, support, asked_assist: hc1 s.e.</t>
  </si>
  <si>
    <t xml:space="preserve">D. sickness, support, asked_assist: p (design-based)</t>
  </si>
  <si>
    <t xml:space="preserve">D. sickness, support, asked_assist: Romano-Wolf p</t>
  </si>
  <si>
    <t xml:space="preserve">D. sickness, support, asked_assist: households</t>
  </si>
  <si>
    <t xml:space="preserve">D. sickness, support, asked_assist: minimum detectable interaction</t>
  </si>
  <si>
    <t xml:space="preserve">D. sickness, support, more_hours: estimate</t>
  </si>
  <si>
    <t xml:space="preserve">D. sickness, support, more_hours: design-based s.e.</t>
  </si>
  <si>
    <t xml:space="preserve">D. sickness, support, more_hours: hc1 s.e.</t>
  </si>
  <si>
    <t xml:space="preserve">D. sickness, support, more_hours: p (design-based)</t>
  </si>
  <si>
    <t xml:space="preserve">D. sickness, support, more_hours: Romano-Wolf p</t>
  </si>
  <si>
    <t xml:space="preserve">D. sickness, support, more_hours: households</t>
  </si>
  <si>
    <t xml:space="preserve">D. sickness, support, more_hours: minimum detectable interaction</t>
  </si>
  <si>
    <t xml:space="preserve">D. sickness, support, second_job: estimate</t>
  </si>
  <si>
    <t xml:space="preserve">D. sickness, support, second_job: design-based s.e.</t>
  </si>
  <si>
    <t xml:space="preserve">D. sickness, support, second_job: hc1 s.e.</t>
  </si>
  <si>
    <t xml:space="preserve">D. sickness, support, second_job: p (design-based)</t>
  </si>
  <si>
    <t xml:space="preserve">D. sickness, support, second_job: Romano-Wolf p</t>
  </si>
  <si>
    <t xml:space="preserve">D. sickness, support, second_job: households</t>
  </si>
  <si>
    <t xml:space="preserve">D. sickness, support, second_job: minimum detectable interaction</t>
  </si>
  <si>
    <t xml:space="preserve">D. sickness, support, member_income: estimate</t>
  </si>
  <si>
    <t xml:space="preserve">D. sickness, support, member_income: design-based s.e.</t>
  </si>
  <si>
    <t xml:space="preserve">D. sickness, support, member_income: hc1 s.e.</t>
  </si>
  <si>
    <t xml:space="preserve">D. sickness, support, member_income: p (design-based)</t>
  </si>
  <si>
    <t xml:space="preserve">D. sickness, support, member_income: Romano-Wolf p</t>
  </si>
  <si>
    <t xml:space="preserve">D. sickness, support, member_income: households</t>
  </si>
  <si>
    <t xml:space="preserve">D. sickness, support, member_income: minimum detectable interaction</t>
  </si>
  <si>
    <t xml:space="preserve">D. sickness, support, idx_cons: estimate</t>
  </si>
  <si>
    <t xml:space="preserve">D. sickness, support, idx_cons: design-based s.e.</t>
  </si>
  <si>
    <t xml:space="preserve">D. sickness, support, idx_cons: hc1 s.e.</t>
  </si>
  <si>
    <t xml:space="preserve">D. sickness, support, idx_cons: p (design-based)</t>
  </si>
  <si>
    <t xml:space="preserve">D. sickness, support, idx_cons: Romano-Wolf p</t>
  </si>
  <si>
    <t xml:space="preserve">D. sickness, support, idx_cons: households</t>
  </si>
  <si>
    <t xml:space="preserve">D. sickness, support, idx_cons: minimum detectable interaction</t>
  </si>
  <si>
    <t xml:space="preserve">D. sickness, support, idx_fin: estimate</t>
  </si>
  <si>
    <t xml:space="preserve">D. sickness, support, idx_fin: design-based s.e.</t>
  </si>
  <si>
    <t xml:space="preserve">D. sickness, support, idx_fin: hc1 s.e.</t>
  </si>
  <si>
    <t xml:space="preserve">D. sickness, support, idx_fin: p (design-based)</t>
  </si>
  <si>
    <t xml:space="preserve">D. sickness, support, idx_fin: Romano-Wolf p</t>
  </si>
  <si>
    <t xml:space="preserve">D. sickness, support, idx_fin: households</t>
  </si>
  <si>
    <t xml:space="preserve">D. sickness, support, idx_fin: minimum detectable interaction</t>
  </si>
  <si>
    <t xml:space="preserve">D. sickness, support, idx_severe: estimate</t>
  </si>
  <si>
    <t xml:space="preserve">D. sickness, support, idx_severe: design-based s.e.</t>
  </si>
  <si>
    <t xml:space="preserve">D. sickness, support, idx_severe: hc1 s.e.</t>
  </si>
  <si>
    <t xml:space="preserve">D. sickness, support, idx_severe: p (design-based)</t>
  </si>
  <si>
    <t xml:space="preserve">D. sickness, support, idx_severe: Romano-Wolf p</t>
  </si>
  <si>
    <t xml:space="preserve">D. sickness, support, idx_severe: households</t>
  </si>
  <si>
    <t xml:space="preserve">D. sickness, support, idx_severe: minimum detectable interaction</t>
  </si>
  <si>
    <t xml:space="preserve">D. sickness, support, wfp_score: estimate</t>
  </si>
  <si>
    <t xml:space="preserve">D. sickness, support, wfp_score: design-based s.e.</t>
  </si>
  <si>
    <t xml:space="preserve">D. sickness, support, wfp_score: hc1 s.e.</t>
  </si>
  <si>
    <t xml:space="preserve">D. sickness, support, wfp_score: p (design-based)</t>
  </si>
  <si>
    <t xml:space="preserve">D. sickness, support, wfp_score: Romano-Wolf p</t>
  </si>
  <si>
    <t xml:space="preserve">D. sickness, support, wfp_score: households</t>
  </si>
  <si>
    <t xml:space="preserve">D. sickness, support, wfp_score: minimum detectable interaction</t>
  </si>
  <si>
    <t xml:space="preserve">C. sickness, whole, work_income: estimate</t>
  </si>
  <si>
    <t xml:space="preserve">C. sickness, whole, work_income: design-based s.e.</t>
  </si>
  <si>
    <t xml:space="preserve">C. sickness, whole, work_income: hc1 s.e.</t>
  </si>
  <si>
    <t xml:space="preserve">C. sickness, whole, work_income: p (design-based)</t>
  </si>
  <si>
    <t xml:space="preserve">C. sickness, whole, work_income: Romano-Wolf p</t>
  </si>
  <si>
    <t xml:space="preserve">C. sickness, whole, work_income: households</t>
  </si>
  <si>
    <t xml:space="preserve">C. sickness, whole, spend_gt_inc: estimate</t>
  </si>
  <si>
    <t xml:space="preserve">C. sickness, whole, spend_gt_inc: design-based s.e.</t>
  </si>
  <si>
    <t xml:space="preserve">C. sickness, whole, spend_gt_inc: hc1 s.e.</t>
  </si>
  <si>
    <t xml:space="preserve">C. sickness, whole, spend_gt_inc: p (design-based)</t>
  </si>
  <si>
    <t xml:space="preserve">C. sickness, whole, spend_gt_inc: Romano-Wolf p</t>
  </si>
  <si>
    <t xml:space="preserve">C. sickness, whole, spend_gt_inc: households</t>
  </si>
  <si>
    <t xml:space="preserve">C. sickness, whole, debts: estimate</t>
  </si>
  <si>
    <t xml:space="preserve">C. sickness, whole, debts: design-based s.e.</t>
  </si>
  <si>
    <t xml:space="preserve">C. sickness, whole, debts: hc1 s.e.</t>
  </si>
  <si>
    <t xml:space="preserve">C. sickness, whole, debts: p (design-based)</t>
  </si>
  <si>
    <t xml:space="preserve">C. sickness, whole, debts: Romano-Wolf p</t>
  </si>
  <si>
    <t xml:space="preserve">C. sickness, whole, debts: households</t>
  </si>
  <si>
    <t xml:space="preserve">C. sickness, whole, log_spend_pp: estimate</t>
  </si>
  <si>
    <t xml:space="preserve">C. sickness, whole, log_spend_pp: design-based s.e.</t>
  </si>
  <si>
    <t xml:space="preserve">C. sickness, whole, log_spend_pp: hc1 s.e.</t>
  </si>
  <si>
    <t xml:space="preserve">C. sickness, whole, log_spend_pp: p (design-based)</t>
  </si>
  <si>
    <t xml:space="preserve">C. sickness, whole, log_spend_pp: Romano-Wolf p</t>
  </si>
  <si>
    <t xml:space="preserve">C. sickness, whole, log_spend_pp: households</t>
  </si>
  <si>
    <t xml:space="preserve">C. sickness, whole, inc_fell: estimate</t>
  </si>
  <si>
    <t xml:space="preserve">C. sickness, whole, inc_fell: design-based s.e.</t>
  </si>
  <si>
    <t xml:space="preserve">C. sickness, whole, inc_fell: hc1 s.e.</t>
  </si>
  <si>
    <t xml:space="preserve">C. sickness, whole, inc_fell: p (design-based)</t>
  </si>
  <si>
    <t xml:space="preserve">C. sickness, whole, inc_fell: Romano-Wolf p</t>
  </si>
  <si>
    <t xml:space="preserve">C. sickness, whole, inc_fell: households</t>
  </si>
  <si>
    <t xml:space="preserve">C. sickness, whole, n_responses: estimate</t>
  </si>
  <si>
    <t xml:space="preserve">C. sickness, whole, n_responses: design-based s.e.</t>
  </si>
  <si>
    <t xml:space="preserve">C. sickness, whole, n_responses: hc1 s.e.</t>
  </si>
  <si>
    <t xml:space="preserve">C. sickness, whole, n_responses: p (design-based)</t>
  </si>
  <si>
    <t xml:space="preserve">C. sickness, whole, n_responses: Romano-Wolf p</t>
  </si>
  <si>
    <t xml:space="preserve">C. sickness, whole, n_responses: households</t>
  </si>
  <si>
    <t xml:space="preserve">C. sickness, whole, ate_less: estimate</t>
  </si>
  <si>
    <t xml:space="preserve">C. sickness, whole, ate_less: design-based s.e.</t>
  </si>
  <si>
    <t xml:space="preserve">C. sickness, whole, ate_less: hc1 s.e.</t>
  </si>
  <si>
    <t xml:space="preserve">C. sickness, whole, ate_less: p (design-based)</t>
  </si>
  <si>
    <t xml:space="preserve">C. sickness, whole, ate_less: Romano-Wolf p</t>
  </si>
  <si>
    <t xml:space="preserve">C. sickness, whole, ate_less: households</t>
  </si>
  <si>
    <t xml:space="preserve">C. sickness, whole, cut_spend: estimate</t>
  </si>
  <si>
    <t xml:space="preserve">C. sickness, whole, cut_spend: design-based s.e.</t>
  </si>
  <si>
    <t xml:space="preserve">C. sickness, whole, cut_spend: hc1 s.e.</t>
  </si>
  <si>
    <t xml:space="preserve">C. sickness, whole, cut_spend: p (design-based)</t>
  </si>
  <si>
    <t xml:space="preserve">C. sickness, whole, cut_spend: Romano-Wolf p</t>
  </si>
  <si>
    <t xml:space="preserve">C. sickness, whole, cut_spend: households</t>
  </si>
  <si>
    <t xml:space="preserve">C. sickness, whole, cut_educ: estimate</t>
  </si>
  <si>
    <t xml:space="preserve">C. sickness, whole, cut_educ: design-based s.e.</t>
  </si>
  <si>
    <t xml:space="preserve">C. sickness, whole, cut_educ: hc1 s.e.</t>
  </si>
  <si>
    <t xml:space="preserve">C. sickness, whole, cut_educ: p (design-based)</t>
  </si>
  <si>
    <t xml:space="preserve">C. sickness, whole, cut_educ: Romano-Wolf p</t>
  </si>
  <si>
    <t xml:space="preserve">C. sickness, whole, cut_educ: households</t>
  </si>
  <si>
    <t xml:space="preserve">C. sickness, whole, child_work: estimate</t>
  </si>
  <si>
    <t xml:space="preserve">C. sickness, whole, child_work: design-based s.e.</t>
  </si>
  <si>
    <t xml:space="preserve">C. sickness, whole, child_work: hc1 s.e.</t>
  </si>
  <si>
    <t xml:space="preserve">C. sickness, whole, child_work: p (design-based)</t>
  </si>
  <si>
    <t xml:space="preserve">C. sickness, whole, child_work: Romano-Wolf p</t>
  </si>
  <si>
    <t xml:space="preserve">C. sickness, whole, child_work: households</t>
  </si>
  <si>
    <t xml:space="preserve">C. sickness, whole, loan: estimate</t>
  </si>
  <si>
    <t xml:space="preserve">C. sickness, whole, loan: design-based s.e.</t>
  </si>
  <si>
    <t xml:space="preserve">C. sickness, whole, loan: hc1 s.e.</t>
  </si>
  <si>
    <t xml:space="preserve">C. sickness, whole, loan: p (design-based)</t>
  </si>
  <si>
    <t xml:space="preserve">C. sickness, whole, loan: Romano-Wolf p</t>
  </si>
  <si>
    <t xml:space="preserve">C. sickness, whole, loan: households</t>
  </si>
  <si>
    <t xml:space="preserve">C. sickness, whole, used_savings: estimate</t>
  </si>
  <si>
    <t xml:space="preserve">C. sickness, whole, used_savings: design-based s.e.</t>
  </si>
  <si>
    <t xml:space="preserve">C. sickness, whole, used_savings: hc1 s.e.</t>
  </si>
  <si>
    <t xml:space="preserve">C. sickness, whole, used_savings: p (design-based)</t>
  </si>
  <si>
    <t xml:space="preserve">C. sickness, whole, used_savings: Romano-Wolf p</t>
  </si>
  <si>
    <t xml:space="preserve">C. sickness, whole, used_savings: households</t>
  </si>
  <si>
    <t xml:space="preserve">C. sickness, whole, sold: estimate</t>
  </si>
  <si>
    <t xml:space="preserve">C. sickness, whole, sold: design-based s.e.</t>
  </si>
  <si>
    <t xml:space="preserve">C. sickness, whole, sold: hc1 s.e.</t>
  </si>
  <si>
    <t xml:space="preserve">C. sickness, whole, sold: p (design-based)</t>
  </si>
  <si>
    <t xml:space="preserve">C. sickness, whole, sold: Romano-Wolf p</t>
  </si>
  <si>
    <t xml:space="preserve">C. sickness, whole, sold: households</t>
  </si>
  <si>
    <t xml:space="preserve">C. sickness, whole, asked_assist: estimate</t>
  </si>
  <si>
    <t xml:space="preserve">C. sickness, whole, asked_assist: design-based s.e.</t>
  </si>
  <si>
    <t xml:space="preserve">C. sickness, whole, asked_assist: hc1 s.e.</t>
  </si>
  <si>
    <t xml:space="preserve">C. sickness, whole, asked_assist: p (design-based)</t>
  </si>
  <si>
    <t xml:space="preserve">C. sickness, whole, asked_assist: Romano-Wolf p</t>
  </si>
  <si>
    <t xml:space="preserve">C. sickness, whole, asked_assist: households</t>
  </si>
  <si>
    <t xml:space="preserve">C. sickness, whole, more_hours: estimate</t>
  </si>
  <si>
    <t xml:space="preserve">C. sickness, whole, more_hours: design-based s.e.</t>
  </si>
  <si>
    <t xml:space="preserve">C. sickness, whole, more_hours: hc1 s.e.</t>
  </si>
  <si>
    <t xml:space="preserve">C. sickness, whole, more_hours: p (design-based)</t>
  </si>
  <si>
    <t xml:space="preserve">C. sickness, whole, more_hours: Romano-Wolf p</t>
  </si>
  <si>
    <t xml:space="preserve">C. sickness, whole, more_hours: households</t>
  </si>
  <si>
    <t xml:space="preserve">C. sickness, whole, second_job: estimate</t>
  </si>
  <si>
    <t xml:space="preserve">C. sickness, whole, second_job: design-based s.e.</t>
  </si>
  <si>
    <t xml:space="preserve">C. sickness, whole, second_job: hc1 s.e.</t>
  </si>
  <si>
    <t xml:space="preserve">C. sickness, whole, second_job: p (design-based)</t>
  </si>
  <si>
    <t xml:space="preserve">C. sickness, whole, second_job: Romano-Wolf p</t>
  </si>
  <si>
    <t xml:space="preserve">C. sickness, whole, second_job: households</t>
  </si>
  <si>
    <t xml:space="preserve">C. sickness, whole, member_income: estimate</t>
  </si>
  <si>
    <t xml:space="preserve">C. sickness, whole, member_income: design-based s.e.</t>
  </si>
  <si>
    <t xml:space="preserve">C. sickness, whole, member_income: hc1 s.e.</t>
  </si>
  <si>
    <t xml:space="preserve">C. sickness, whole, member_income: p (design-based)</t>
  </si>
  <si>
    <t xml:space="preserve">C. sickness, whole, member_income: Romano-Wolf p</t>
  </si>
  <si>
    <t xml:space="preserve">C. sickness, whole, member_income: households</t>
  </si>
  <si>
    <t xml:space="preserve">C. sickness, whole, idx_cons: estimate</t>
  </si>
  <si>
    <t xml:space="preserve">C. sickness, whole, idx_cons: design-based s.e.</t>
  </si>
  <si>
    <t xml:space="preserve">C. sickness, whole, idx_cons: hc1 s.e.</t>
  </si>
  <si>
    <t xml:space="preserve">C. sickness, whole, idx_cons: p (design-based)</t>
  </si>
  <si>
    <t xml:space="preserve">C. sickness, whole, idx_cons: Romano-Wolf p</t>
  </si>
  <si>
    <t xml:space="preserve">C. sickness, whole, idx_cons: households</t>
  </si>
  <si>
    <t xml:space="preserve">C. sickness, whole, idx_fin: estimate</t>
  </si>
  <si>
    <t xml:space="preserve">C. sickness, whole, idx_fin: design-based s.e.</t>
  </si>
  <si>
    <t xml:space="preserve">C. sickness, whole, idx_fin: hc1 s.e.</t>
  </si>
  <si>
    <t xml:space="preserve">C. sickness, whole, idx_fin: p (design-based)</t>
  </si>
  <si>
    <t xml:space="preserve">C. sickness, whole, idx_fin: Romano-Wolf p</t>
  </si>
  <si>
    <t xml:space="preserve">C. sickness, whole, idx_fin: households</t>
  </si>
  <si>
    <t xml:space="preserve">C. sickness, whole, idx_severe: estimate</t>
  </si>
  <si>
    <t xml:space="preserve">C. sickness, whole, idx_severe: design-based s.e.</t>
  </si>
  <si>
    <t xml:space="preserve">C. sickness, whole, idx_severe: hc1 s.e.</t>
  </si>
  <si>
    <t xml:space="preserve">C. sickness, whole, idx_severe: p (design-based)</t>
  </si>
  <si>
    <t xml:space="preserve">C. sickness, whole, idx_severe: Romano-Wolf p</t>
  </si>
  <si>
    <t xml:space="preserve">C. sickness, whole, idx_severe: households</t>
  </si>
  <si>
    <t xml:space="preserve">C. sickness, whole, wfp_score: estimate</t>
  </si>
  <si>
    <t xml:space="preserve">C. sickness, whole, wfp_score: design-based s.e.</t>
  </si>
  <si>
    <t xml:space="preserve">C. sickness, whole, wfp_score: hc1 s.e.</t>
  </si>
  <si>
    <t xml:space="preserve">C. sickness, whole, wfp_score: p (design-based)</t>
  </si>
  <si>
    <t xml:space="preserve">C. sickness, whole, wfp_score: Romano-Wolf p</t>
  </si>
  <si>
    <t xml:space="preserve">C. sickness, whole, wfp_score: households</t>
  </si>
  <si>
    <t xml:space="preserve">D. sickness, whole, work_income: estimate</t>
  </si>
  <si>
    <t xml:space="preserve">D. sickness, whole, work_income: design-based s.e.</t>
  </si>
  <si>
    <t xml:space="preserve">D. sickness, whole, work_income: hc1 s.e.</t>
  </si>
  <si>
    <t xml:space="preserve">D. sickness, whole, work_income: p (design-based)</t>
  </si>
  <si>
    <t xml:space="preserve">D. sickness, whole, work_income: Romano-Wolf p</t>
  </si>
  <si>
    <t xml:space="preserve">D. sickness, whole, work_income: households</t>
  </si>
  <si>
    <t xml:space="preserve">D. sickness, whole, work_income: minimum detectable interaction</t>
  </si>
  <si>
    <t xml:space="preserve">D. sickness, whole, spend_gt_inc: estimate</t>
  </si>
  <si>
    <t xml:space="preserve">D. sickness, whole, spend_gt_inc: design-based s.e.</t>
  </si>
  <si>
    <t xml:space="preserve">D. sickness, whole, spend_gt_inc: hc1 s.e.</t>
  </si>
  <si>
    <t xml:space="preserve">D. sickness, whole, spend_gt_inc: p (design-based)</t>
  </si>
  <si>
    <t xml:space="preserve">D. sickness, whole, spend_gt_inc: Romano-Wolf p</t>
  </si>
  <si>
    <t xml:space="preserve">D. sickness, whole, spend_gt_inc: households</t>
  </si>
  <si>
    <t xml:space="preserve">D. sickness, whole, spend_gt_inc: minimum detectable interaction</t>
  </si>
  <si>
    <t xml:space="preserve">D. sickness, whole, debts: estimate</t>
  </si>
  <si>
    <t xml:space="preserve">D. sickness, whole, debts: design-based s.e.</t>
  </si>
  <si>
    <t xml:space="preserve">D. sickness, whole, debts: hc1 s.e.</t>
  </si>
  <si>
    <t xml:space="preserve">D. sickness, whole, debts: p (design-based)</t>
  </si>
  <si>
    <t xml:space="preserve">D. sickness, whole, debts: Romano-Wolf p</t>
  </si>
  <si>
    <t xml:space="preserve">D. sickness, whole, debts: households</t>
  </si>
  <si>
    <t xml:space="preserve">D. sickness, whole, debts: minimum detectable interaction</t>
  </si>
  <si>
    <t xml:space="preserve">D. sickness, whole, log_spend_pp: estimate</t>
  </si>
  <si>
    <t xml:space="preserve">D. sickness, whole, log_spend_pp: design-based s.e.</t>
  </si>
  <si>
    <t xml:space="preserve">D. sickness, whole, log_spend_pp: hc1 s.e.</t>
  </si>
  <si>
    <t xml:space="preserve">D. sickness, whole, log_spend_pp: p (design-based)</t>
  </si>
  <si>
    <t xml:space="preserve">D. sickness, whole, log_spend_pp: Romano-Wolf p</t>
  </si>
  <si>
    <t xml:space="preserve">D. sickness, whole, log_spend_pp: households</t>
  </si>
  <si>
    <t xml:space="preserve">D. sickness, whole, log_spend_pp: minimum detectable interaction</t>
  </si>
  <si>
    <t xml:space="preserve">D. sickness, whole, inc_fell: estimate</t>
  </si>
  <si>
    <t xml:space="preserve">D. sickness, whole, inc_fell: design-based s.e.</t>
  </si>
  <si>
    <t xml:space="preserve">D. sickness, whole, inc_fell: hc1 s.e.</t>
  </si>
  <si>
    <t xml:space="preserve">D. sickness, whole, inc_fell: p (design-based)</t>
  </si>
  <si>
    <t xml:space="preserve">D. sickness, whole, inc_fell: Romano-Wolf p</t>
  </si>
  <si>
    <t xml:space="preserve">D. sickness, whole, inc_fell: households</t>
  </si>
  <si>
    <t xml:space="preserve">D. sickness, whole, inc_fell: minimum detectable interaction</t>
  </si>
  <si>
    <t xml:space="preserve">D. sickness, whole, n_responses: estimate</t>
  </si>
  <si>
    <t xml:space="preserve">D. sickness, whole, n_responses: design-based s.e.</t>
  </si>
  <si>
    <t xml:space="preserve">D. sickness, whole, n_responses: hc1 s.e.</t>
  </si>
  <si>
    <t xml:space="preserve">D. sickness, whole, n_responses: p (design-based)</t>
  </si>
  <si>
    <t xml:space="preserve">D. sickness, whole, n_responses: Romano-Wolf p</t>
  </si>
  <si>
    <t xml:space="preserve">D. sickness, whole, n_responses: households</t>
  </si>
  <si>
    <t xml:space="preserve">D. sickness, whole, n_responses: minimum detectable interaction</t>
  </si>
  <si>
    <t xml:space="preserve">D. sickness, whole, ate_less: estimate</t>
  </si>
  <si>
    <t xml:space="preserve">D. sickness, whole, ate_less: design-based s.e.</t>
  </si>
  <si>
    <t xml:space="preserve">D. sickness, whole, ate_less: hc1 s.e.</t>
  </si>
  <si>
    <t xml:space="preserve">D. sickness, whole, ate_less: p (design-based)</t>
  </si>
  <si>
    <t xml:space="preserve">D. sickness, whole, ate_less: Romano-Wolf p</t>
  </si>
  <si>
    <t xml:space="preserve">D. sickness, whole, ate_less: households</t>
  </si>
  <si>
    <t xml:space="preserve">D. sickness, whole, ate_less: minimum detectable interaction</t>
  </si>
  <si>
    <t xml:space="preserve">D. sickness, whole, cut_spend: estimate</t>
  </si>
  <si>
    <t xml:space="preserve">D. sickness, whole, cut_spend: design-based s.e.</t>
  </si>
  <si>
    <t xml:space="preserve">D. sickness, whole, cut_spend: hc1 s.e.</t>
  </si>
  <si>
    <t xml:space="preserve">D. sickness, whole, cut_spend: p (design-based)</t>
  </si>
  <si>
    <t xml:space="preserve">D. sickness, whole, cut_spend: Romano-Wolf p</t>
  </si>
  <si>
    <t xml:space="preserve">D. sickness, whole, cut_spend: households</t>
  </si>
  <si>
    <t xml:space="preserve">D. sickness, whole, cut_spend: minimum detectable interaction</t>
  </si>
  <si>
    <t xml:space="preserve">D. sickness, whole, cut_educ: estimate</t>
  </si>
  <si>
    <t xml:space="preserve">D. sickness, whole, cut_educ: design-based s.e.</t>
  </si>
  <si>
    <t xml:space="preserve">D. sickness, whole, cut_educ: hc1 s.e.</t>
  </si>
  <si>
    <t xml:space="preserve">D. sickness, whole, cut_educ: p (design-based)</t>
  </si>
  <si>
    <t xml:space="preserve">D. sickness, whole, cut_educ: Romano-Wolf p</t>
  </si>
  <si>
    <t xml:space="preserve">D. sickness, whole, cut_educ: households</t>
  </si>
  <si>
    <t xml:space="preserve">D. sickness, whole, cut_educ: minimum detectable interaction</t>
  </si>
  <si>
    <t xml:space="preserve">D. sickness, whole, child_work: estimate</t>
  </si>
  <si>
    <t xml:space="preserve">D. sickness, whole, child_work: design-based s.e.</t>
  </si>
  <si>
    <t xml:space="preserve">D. sickness, whole, child_work: hc1 s.e.</t>
  </si>
  <si>
    <t xml:space="preserve">D. sickness, whole, child_work: p (design-based)</t>
  </si>
  <si>
    <t xml:space="preserve">D. sickness, whole, child_work: Romano-Wolf p</t>
  </si>
  <si>
    <t xml:space="preserve">D. sickness, whole, child_work: households</t>
  </si>
  <si>
    <t xml:space="preserve">D. sickness, whole, child_work: minimum detectable interaction</t>
  </si>
  <si>
    <t xml:space="preserve">D. sickness, whole, loan: estimate</t>
  </si>
  <si>
    <t xml:space="preserve">D. sickness, whole, loan: design-based s.e.</t>
  </si>
  <si>
    <t xml:space="preserve">D. sickness, whole, loan: hc1 s.e.</t>
  </si>
  <si>
    <t xml:space="preserve">D. sickness, whole, loan: p (design-based)</t>
  </si>
  <si>
    <t xml:space="preserve">D. sickness, whole, loan: Romano-Wolf p</t>
  </si>
  <si>
    <t xml:space="preserve">D. sickness, whole, loan: households</t>
  </si>
  <si>
    <t xml:space="preserve">D. sickness, whole, loan: minimum detectable interaction</t>
  </si>
  <si>
    <t xml:space="preserve">D. sickness, whole, used_savings: estimate</t>
  </si>
  <si>
    <t xml:space="preserve">D. sickness, whole, used_savings: design-based s.e.</t>
  </si>
  <si>
    <t xml:space="preserve">D. sickness, whole, used_savings: hc1 s.e.</t>
  </si>
  <si>
    <t xml:space="preserve">D. sickness, whole, used_savings: p (design-based)</t>
  </si>
  <si>
    <t xml:space="preserve">D. sickness, whole, used_savings: Romano-Wolf p</t>
  </si>
  <si>
    <t xml:space="preserve">D. sickness, whole, used_savings: households</t>
  </si>
  <si>
    <t xml:space="preserve">D. sickness, whole, used_savings: minimum detectable interaction</t>
  </si>
  <si>
    <t xml:space="preserve">D. sickness, whole, sold: estimate</t>
  </si>
  <si>
    <t xml:space="preserve">D. sickness, whole, sold: design-based s.e.</t>
  </si>
  <si>
    <t xml:space="preserve">D. sickness, whole, sold: hc1 s.e.</t>
  </si>
  <si>
    <t xml:space="preserve">D. sickness, whole, sold: p (design-based)</t>
  </si>
  <si>
    <t xml:space="preserve">D. sickness, whole, sold: Romano-Wolf p</t>
  </si>
  <si>
    <t xml:space="preserve">D. sickness, whole, sold: households</t>
  </si>
  <si>
    <t xml:space="preserve">D. sickness, whole, sold: minimum detectable interaction</t>
  </si>
  <si>
    <t xml:space="preserve">D. sickness, whole, asked_assist: estimate</t>
  </si>
  <si>
    <t xml:space="preserve">D. sickness, whole, asked_assist: design-based s.e.</t>
  </si>
  <si>
    <t xml:space="preserve">D. sickness, whole, asked_assist: hc1 s.e.</t>
  </si>
  <si>
    <t xml:space="preserve">D. sickness, whole, asked_assist: p (design-based)</t>
  </si>
  <si>
    <t xml:space="preserve">D. sickness, whole, asked_assist: Romano-Wolf p</t>
  </si>
  <si>
    <t xml:space="preserve">D. sickness, whole, asked_assist: households</t>
  </si>
  <si>
    <t xml:space="preserve">D. sickness, whole, asked_assist: minimum detectable interaction</t>
  </si>
  <si>
    <t xml:space="preserve">D. sickness, whole, more_hours: estimate</t>
  </si>
  <si>
    <t xml:space="preserve">D. sickness, whole, more_hours: design-based s.e.</t>
  </si>
  <si>
    <t xml:space="preserve">D. sickness, whole, more_hours: hc1 s.e.</t>
  </si>
  <si>
    <t xml:space="preserve">D. sickness, whole, more_hours: p (design-based)</t>
  </si>
  <si>
    <t xml:space="preserve">D. sickness, whole, more_hours: Romano-Wolf p</t>
  </si>
  <si>
    <t xml:space="preserve">D. sickness, whole, more_hours: households</t>
  </si>
  <si>
    <t xml:space="preserve">D. sickness, whole, more_hours: minimum detectable interaction</t>
  </si>
  <si>
    <t xml:space="preserve">D. sickness, whole, second_job: estimate</t>
  </si>
  <si>
    <t xml:space="preserve">D. sickness, whole, second_job: design-based s.e.</t>
  </si>
  <si>
    <t xml:space="preserve">D. sickness, whole, second_job: hc1 s.e.</t>
  </si>
  <si>
    <t xml:space="preserve">D. sickness, whole, second_job: p (design-based)</t>
  </si>
  <si>
    <t xml:space="preserve">D. sickness, whole, second_job: Romano-Wolf p</t>
  </si>
  <si>
    <t xml:space="preserve">D. sickness, whole, second_job: households</t>
  </si>
  <si>
    <t xml:space="preserve">D. sickness, whole, second_job: minimum detectable interaction</t>
  </si>
  <si>
    <t xml:space="preserve">D. sickness, whole, member_income: estimate</t>
  </si>
  <si>
    <t xml:space="preserve">D. sickness, whole, member_income: design-based s.e.</t>
  </si>
  <si>
    <t xml:space="preserve">D. sickness, whole, member_income: hc1 s.e.</t>
  </si>
  <si>
    <t xml:space="preserve">D. sickness, whole, member_income: p (design-based)</t>
  </si>
  <si>
    <t xml:space="preserve">D. sickness, whole, member_income: Romano-Wolf p</t>
  </si>
  <si>
    <t xml:space="preserve">D. sickness, whole, member_income: households</t>
  </si>
  <si>
    <t xml:space="preserve">D. sickness, whole, member_income: minimum detectable interaction</t>
  </si>
  <si>
    <t xml:space="preserve">D. sickness, whole, idx_cons: estimate</t>
  </si>
  <si>
    <t xml:space="preserve">D. sickness, whole, idx_cons: design-based s.e.</t>
  </si>
  <si>
    <t xml:space="preserve">D. sickness, whole, idx_cons: hc1 s.e.</t>
  </si>
  <si>
    <t xml:space="preserve">D. sickness, whole, idx_cons: p (design-based)</t>
  </si>
  <si>
    <t xml:space="preserve">D. sickness, whole, idx_cons: Romano-Wolf p</t>
  </si>
  <si>
    <t xml:space="preserve">D. sickness, whole, idx_cons: households</t>
  </si>
  <si>
    <t xml:space="preserve">D. sickness, whole, idx_cons: minimum detectable interaction</t>
  </si>
  <si>
    <t xml:space="preserve">D. sickness, whole, idx_fin: estimate</t>
  </si>
  <si>
    <t xml:space="preserve">D. sickness, whole, idx_fin: design-based s.e.</t>
  </si>
  <si>
    <t xml:space="preserve">D. sickness, whole, idx_fin: hc1 s.e.</t>
  </si>
  <si>
    <t xml:space="preserve">D. sickness, whole, idx_fin: p (design-based)</t>
  </si>
  <si>
    <t xml:space="preserve">D. sickness, whole, idx_fin: Romano-Wolf p</t>
  </si>
  <si>
    <t xml:space="preserve">D. sickness, whole, idx_fin: households</t>
  </si>
  <si>
    <t xml:space="preserve">D. sickness, whole, idx_fin: minimum detectable interaction</t>
  </si>
  <si>
    <t xml:space="preserve">D. sickness, whole, idx_severe: estimate</t>
  </si>
  <si>
    <t xml:space="preserve">D. sickness, whole, idx_severe: design-based s.e.</t>
  </si>
  <si>
    <t xml:space="preserve">D. sickness, whole, idx_severe: hc1 s.e.</t>
  </si>
  <si>
    <t xml:space="preserve">D. sickness, whole, idx_severe: p (design-based)</t>
  </si>
  <si>
    <t xml:space="preserve">D. sickness, whole, idx_severe: Romano-Wolf p</t>
  </si>
  <si>
    <t xml:space="preserve">D. sickness, whole, idx_severe: households</t>
  </si>
  <si>
    <t xml:space="preserve">D. sickness, whole, idx_severe: minimum detectable interaction</t>
  </si>
  <si>
    <t xml:space="preserve">D. sickness, whole, wfp_score: estimate</t>
  </si>
  <si>
    <t xml:space="preserve">D. sickness, whole, wfp_score: design-based s.e.</t>
  </si>
  <si>
    <t xml:space="preserve">D. sickness, whole, wfp_score: hc1 s.e.</t>
  </si>
  <si>
    <t xml:space="preserve">D. sickness, whole, wfp_score: p (design-based)</t>
  </si>
  <si>
    <t xml:space="preserve">D. sickness, whole, wfp_score: Romano-Wolf p</t>
  </si>
  <si>
    <t xml:space="preserve">D. sickness, whole, wfp_score: households</t>
  </si>
  <si>
    <t xml:space="preserve">D. sickness, whole, wfp_score: minimum detectable interaction</t>
  </si>
  <si>
    <t xml:space="preserve">E. medical_condition, camp, income fell: with, value</t>
  </si>
  <si>
    <t xml:space="preserve">E. medical_condition, camp, income fell: without, value</t>
  </si>
  <si>
    <t xml:space="preserve">E. medical_condition, towns, income fell: with, value</t>
  </si>
  <si>
    <t xml:space="preserve">E. medical_condition, towns, income fell: without, value</t>
  </si>
  <si>
    <t xml:space="preserve">E. sickness, camp, income fell: with, value</t>
  </si>
  <si>
    <t xml:space="preserve">E. sickness, camp, income fell: without, value</t>
  </si>
  <si>
    <t xml:space="preserve">E. sickness, towns, income fell: with, value</t>
  </si>
  <si>
    <t xml:space="preserve">E. sickness, towns, income fell: without, value</t>
  </si>
  <si>
    <t xml:space="preserve">Block E of Part F (the responses given the shock, by item): 222 compared quantities are not printed since the sixth edition, because with the counts of the Shocks described and step 3 sheets they gave masked cells (see the How it was done sheet); the comparison found them identical or within rounding, as the summary above counts them.</t>
  </si>
  <si>
    <t xml:space="preserve">Largest absolute difference, Part F</t>
  </si>
  <si>
    <t xml:space="preserve">How it was done</t>
  </si>
  <si>
    <t xml:space="preserve">What this workbook is</t>
  </si>
  <si>
    <t xml:space="preserve">Step 4 of the review of the 2016 survey (391 households: 257 in Zaatari camp, 134 in northern towns): the diagnostics that decide which research design and which model the data support. It replaces the first run of the battery (16 October), which treated blank answers in savings, business and car in Syria as "no" and used an inference based on clusters that do not match the sampling. Nothing here is an effect of living in a camp or in a town: the data hold no instrument, no discontinuity, no measure before displacement and no cohort structure that would separate the place from the households who chose it.</t>
  </si>
  <si>
    <t xml:space="preserve">Design 1 (declared before running)</t>
  </si>
  <si>
    <t xml:space="preserve">Comparison of outcome levels between towns households and camp households with the same pre-war traits, within the common support, with the towns households as the reference population (ATT). Nine design traits in the propensity model; sex, age and schooling of the respondent in the outcome model only; the three scales also within each sex. Estimators: AIPW as the main one, inverse probability weights, entropy balancing, bias-adjusted nearest neighbour and OLS as checks. Twelve outcomes fixed beforehand. Three tiers by the rule on the Verdict sheet.</t>
  </si>
  <si>
    <t xml:space="preserve">Blanks</t>
  </si>
  <si>
    <t xml:space="preserve">A blank answer is a missing value, never a zero. The analysis sample keeps the households with every design trait and every respondent trait observed (209 camp households; in the towns, all but fewer than ten, a count masked since this edition because with the group total it would be exact); the 23 camp households without a year of arrival, the 15 without rural or urban origin and the 11 without a place of origin are left out, and they differ from the rest (more savings, more origin in Daraa: Missing data sheet of the first run). The eight-trait specification is the same design without pension and vacations in Syria.</t>
  </si>
  <si>
    <t xml:space="preserve">Outcomes</t>
  </si>
  <si>
    <t xml:space="preserve">Income from work: the household names work among its income sources in Jordan (among households naming at least one source). Spending above income: monthly spending above the sum of the reported income amounts. Debts, refrigerator, stove: yes or no in Jordan. Security: personal security 4 or 5 on the 1 to 5 scale. Ate less, asked for assistance: responses to an economic shock. Spending per person: monthly spending over household size, in logs. Integration, optimism, happiness: the respondent, on 1 to 10 scales.</t>
  </si>
  <si>
    <t xml:space="preserve">Design traits</t>
  </si>
  <si>
    <t xml:space="preserve">Urban origin; savings, business, car, pension and vacations in Syria; origin in Daraa governorate (Daraa, Nawa, Izra, Sawra); household size; arrival in Jordan by 2012.</t>
  </si>
  <si>
    <t xml:space="preserve">Common support</t>
  </si>
  <si>
    <t xml:space="preserve">Households with a propensity score between 0.1 and 0.9 (Crump and others 2009); the score is re-estimated within the region. Design 1 keeps 116 camp and 95 towns households; 93 camp households fall outside, and the towns households outside are withheld since the sixth edition (with the support count they would give the masked towns analysis sample).</t>
  </si>
  <si>
    <t xml:space="preserve">Uncertainty</t>
  </si>
  <si>
    <t xml:space="preserve">Bootstrap that resamples households within the strata of the sampling design (random selection within district in the camp; places in the towns, which were reached by referral and for which the bootstrap is the closest available approximation), 400 draws for the estimates and 999 for the inference comparison; linearized standard errors with strata for OLS; permutation within score quintiles and a wild cluster bootstrap as further checks; Romano and Wolf stepdown over the twelve outcomes.</t>
  </si>
  <si>
    <t xml:space="preserve">Sensitivity</t>
  </si>
  <si>
    <t xml:space="preserve">Oster (2019) with the exact formulas of psacalc and robomit (Rmax = 1.3 R2); Cinelli and Hazlett (2020) robustness values and formal benchmark bounds as in sensemakr; minimum detectable differences with the observed standard deviations.</t>
  </si>
  <si>
    <t xml:space="preserve">Thesis table</t>
  </si>
  <si>
    <t xml:space="preserve">The published matching table (Table 5 of the April 2017 PacDev paper) was reproduced from the do-file with an independent implementation of teffects nnmatch: nineteen estimates within 0.0005 of the published ones.</t>
  </si>
  <si>
    <t xml:space="preserve">Shocks family (added in this edition)</t>
  </si>
  <si>
    <t xml:space="preserve">The same design applied to fifteen outcomes declared before running (review/brief_blind_s4_shocks.md): income fell, a member lost a job and sickness since arrival; the number of the eleven responses used (0 to 11), pre-declared as the primary measure of the responses; and the eleven responses one by one, as secondary measures with the Romano-Wolf correction within the family. Theft is not estimated (fewer than ten towns households report it, and that count is not reported). Sickness enters only as an incidence by group: never crossed with a place, district or exit route, never a regressor. The number of responses is defined only for households that answered all eleven items. Descriptive tables of the shocks, the reported cause of the fall and the responses by cause, over all households, come from the step 3 aggregates (Shocks described sheet). Health as a factor in the responses (point 5 of the proposal) was run on 21 October 2026 after the author's decision (Part F, Health as a factor sheet).</t>
  </si>
  <si>
    <t xml:space="preserve">Decomposition (Part B of the third declaration)</t>
  </si>
  <si>
    <t xml:space="preserve">review/brief_decomposition_indices_ml.md, written on 20 October before running. Each response and index split by group into the incidence of the shock (income fell since arrival) and the response given the shock, over all households and within the support with the ATT weights; three parts that add up to the difference in means; stratified-bootstrap standard errors; OLS among the households with the shock with the design-based standard error. Reading rule fixed beforehand: the conditional quantities condition on a variable affected by the place of residence and are descriptive comparisons among the shocked, not estimates of the design estimand. The shock fixed by its reported cause (cut in assistance) is shown over all households only.</t>
  </si>
  <si>
    <t xml:space="preserve">Indices (Part C)</t>
  </si>
  <si>
    <t xml:space="preserve">Four composite indices declared with their items: consumption cuts (0 to 2), financial buffers (0 to 3), severe responses (0 to 3) and the WFP severity score (0 to 3, from table 7 of the CFSME 2016 Jordan report, with the mapping stated on the Indices sheet and a sensitivity version with child work as crisis). Estimated under design 1 exactly as the main family, with Romano-Wolf over the four, within the support (verdict) and on the whole analysis sample with the ATT weights and no trimming (declared robustness check: more precision, more extrapolation; entropy balancing does not converge there).</t>
  </si>
  <si>
    <t xml:space="preserve">Flexible estimation (Part D)</t>
  </si>
  <si>
    <t xml:space="preserve">Double machine learning: the AIPW of design 1 with cross-fitted learners in place of the logit and the linear regression (random forests, gradient boosting, lasso with interactions; five folds stratified by group, ten repetitions, seeds 1000 + r; propensity on the nine design traits, control outcome regression on the twelve; clipping at 0.02 and 0.98); influence-function standard errors, and a 200-draw stratified bootstrap with the tuning fixed for the seven robust results and the four indices. The selection model with ML (repeated 10-fold cross-validated AUC and Brier, permutation importance, partial dependence, off-support counts) and the placebo with the six left-out traits (alone, with the nine, all fifteen; within the support with and without the ATT weights). The forest and boosting scores are smoother than the logit (no household beyond 0.1 or 0.9), balance the design traits as well (largest standardized difference 0.25 and 0.26 against 0.26) and keep more effective camp households (83 and 73 against 53); the lasso with interactions is the least stable of the three (scores up to 0.96, 4.5% of households beyond 0.1 or 0.9, effective camp households 54, largest standardized difference 0.27). Two implementation choices were corrected after the blind replication of this part and before this edition: the lasso penalty for the propensity is chosen by log loss (the criterion for a probability model; the first run used scikit-learn's default, accuracy, which left 15% of the households beyond 0.1 or 0.9), and the entropy-balancing solver damps its Newton step, which makes it converge on the whole analysis sample as the replicator's did. Both are recorded here and on the Blind replication sheet.</t>
  </si>
  <si>
    <t xml:space="preserve">Health as a factor (Part F, this edition)</t>
  </si>
  <si>
    <t xml:space="preserve">Declared in review/brief_health.md on 21 October 2026 after the author's decision to test it (no variable is left untested). Two yes or no items only (a member with a medical condition; sickness among the shocks), never in the score or the matching, never crossed with a town, a district or a route out of the camp, never used to explain the scales. Twenty-one outcomes fixed beforehand. Blocks A (incidence), B (the gradient within each group, all households, with the margin of step 3), C (the gradient among comparable households within the support, OLS on the item, the group and the twelve traits, design-based error, Romano-Wolf over the 21 from a stratified bootstrap of 999 draws; repeated on the whole analysis sample), D (the interaction of the group and the item, with the minimum detectable interaction) and E (the shock and the responses given the shock, by item, within each group). In block E the count of a conditional cell is withheld wherever subtracting it from the cell of block B would give the households with (or without) the item whose income did not fall, a count that "nearly all" hides; the replicator applied this rule first and the original adopted it. Script e10_health.py; aggregate e10_health.json (md5 b6617ecb61b7372f69724873a37157b5), copied through a connected folder and verified by checksum. Blind replication by a separate instance: 1,769 quantities compared on the Blind replication sheet, none to check; the Romano-Wolf p values differ by up to 0.06 between the two sets of bootstrap draws, with no change of tier.</t>
  </si>
  <si>
    <t xml:space="preserve">Decisions of the author, 21 October 2026</t>
  </si>
  <si>
    <t xml:space="preserve">The verdicts of step 5 are accepted as the work to date. Health as a factor is tested (Part F). The protection passes are done and recorded. Fieldwork ran from June to August 2016. Every programme figure carries its source. The map keeps the rule of five households for its lines and its counts, stated on the page. A blank answer is a missing value in every variable and every step.</t>
  </si>
  <si>
    <t xml:space="preserve">Masking in the sixth edition</t>
  </si>
  <si>
    <t xml:space="preserve">Cells found by three blind readings of the technical note (21 October 2026); each one, with another printed figure, gave a count below ten. (1) The towns households off the support (score above 0.9) are withheld on the Sample and overlap sheet, on the Flexible estimation sheet (under the cross-validated scores), on the Blind replication sheet and in the How it was done row on the common support, in both specifications: added to the towns households within the support, which every estimate needs, the count gave the towns analysis sample that the fourth edition masks (with the group total it fixes the number of towns households left out for a blank pre-war trait, below ten). (2) Decomposition sheet, block A (all households): for the eleven responses one by one, the means of the shocked cells and the conditional difference are withheld, because the mean times the shocked count, subtracted from the all-households count of the step 3 workbook, gave the cell of the households whose income did not fall (below ten for at least one group in every response), and the one shown cell (camp, loan) gave, with the causes of the Shocks described sheet, the households that gave no cause and asked for a loan; the four indices keep their means (an index mean gives only the sum of the responses). (3) Health as a factor sheet, block E: the responses given the shock by item are computed and replicated but not printed, because their shares and counts, with the counts of the Shocks described and step 3 sheets, gave the same no-shock cells and the households with the item whose income did not fall; only the row on the shock by item stays, with the share of the households without the item withheld where fewer than ten households with the item did not suffer the shock. The headers of blocks C and D print the households with the item in the region only where those outside it are ten or more. (4) Power sheet: for a yes or no outcome the standard deviation with its base gives the share and so the count, so the two standard deviations and the unweighted MDD are withheld where a cell within the support is below ten (refrigerator and a member lost a job in the towns, income fell in the camp), and for income fell under design 1 the weighted MDD and the raw difference within the support are withheld too (Power, Shocks verdict and Estimates sheets), because the towns households whose income fell within the support are printed on the Decomposition sheet. (5) Balance sheet: the whole-sample standardized difference of the pension in Syria is printed with one decimal, because with the towns share two decimals fixed the camp count (below ten) within two values. (6) After the third reading: the weighted MDD of the four Power rows is printed with three decimals (at full precision it gave the two standard deviations back) and the raw difference within the support of those outcomes is withheld on the Estimates sheet (with a group total it gave the cell); the camp no-shock cells of block A are withheld whatever their label (the step 3 cut of the households whose income did not fall or who gave no cause, 24 households, prints counts that with a label here fixed a cell within two values, and the one shown cell, asked for a loan, gave the households without a cause who asked for a loan); the camp mean of the severe responses index in block C is withheld (with the share of selling it fixed two masked cells within two values); the Households column of the whole-analysis-sample blocks of the Health as a factor sheet reads "analysis sample" (with the camp households it gave the masked towns analysis sample); the camp counts of the placebo on the Flexible estimation sheet read "all but fewer than ten". The Blind replication sheet withholds the same quantities. The technical note withholds the same cells.</t>
  </si>
  <si>
    <t xml:space="preserve">Masking in the fifth edition</t>
  </si>
  <si>
    <t xml:space="preserve">The Shocks described sheet (section C) and the Health as a factor sheet (block B) print cells that the step 3 workbook also prints and, since its second protection pass of 21 October 2026, withholds where with the row for all households they would narrow a masked cell of another level to fewer than three possible counts. The same cells read "withheld (protects another cell)" here (the list comes from the step 3 build, c2/_withheld.json), and in block B the cell of the households without a health item is withheld wherever the cell of those with it is masked, for the sickness item too. No estimate changes.</t>
  </si>
  <si>
    <t xml:space="preserve">Masking in the fourth edition</t>
  </si>
  <si>
    <t xml:space="preserve">The towns side of the analysis sample is no longer printed (Verdict, Indices, Sample and overlap, Flexible estimation and this sheet): with the group total of 134 it would fix the number of towns households left out for a blank design trait, which is below ten. Answering counts per outcome stay, as in steps 1 to 3: a non-answer is not a trait of the household, and the counts are what the audit of step 1 is for.</t>
  </si>
  <si>
    <t xml:space="preserve">Correction in the third edition</t>
  </si>
  <si>
    <t xml:space="preserve">The robustness value for significance at 5% used, in the previous edition, a critical value of 2.0 for models with fewer than 200 residual degrees of freedom (every model here has 191 to 197); the written design declares 1.96, which is what the blind replication used. The value now follows the declaration: six values of the main family under design 1 rise by 0.002 or 0.003 (income from work 0.114 to 0.117, refrigerator 0.253 to 0.256, stove 0.277 to 0.279, spending per person 0.225 to 0.228, integration 0.285 to 0.287, optimism 0.016 to 0.019); the eight-trait specification (224 degrees of freedom) is unchanged. No tier changes. The reference implementation (sensemakr) uses the t quantile at dof minus 1 (1.97 here) instead of 1.96; the difference in the value is below 0.001.</t>
  </si>
  <si>
    <t xml:space="preserve">Scripts (on the author's computer; numpy, and scikit-learn 1.7.2 for Part D)</t>
  </si>
  <si>
    <t xml:space="preserve">d0_frame.py (analysis frame, blanks as missing, the shocks, responses, indices and the reported cause), e_lib.py (sample, strata, estimators, exact sensitivity formulas, design-based error), e3_design1.py (overlap, balance, estimates, sensitivity, power, within sex; takes the family and the support option as arguments), e4_inference.py (five standard errors, Romano-Wolf within the family and over the 25 distinct outcomes), e5_thesis_table5.py (thesis table), e3_fix_rva.py (the correction below, with a check that every other sensitivity value is reproduced exactly), e6_nresponses.py (the number of responses by group), e7_decomposition.py (Part B), e9_lib.py, e9_ml.py and e9_balance.py (Part D). Outputs: aggregate JSON files only.</t>
  </si>
  <si>
    <t xml:space="preserve">Aggregates and verification</t>
  </si>
  <si>
    <t xml:space="preserve">The JSON aggregates were copied from the author's computer by retyping and verified by md5 of their canonical form: e3_design1.json (17f65693f253e8703d43a01ff72ad6e1), e3_eight.json (723be95659e4ccf7306193054f0cea1c), e4_inference_design1.json (538c3f21c942c0feee866925e64bbbea), e4_inference_eight.json (4e71413bbfb1243aaf061ece76502d1f), e5_thesis_table5.json (29a1b9c5cb03eb798b4540fc780ddd96), e3_design1_shocks.json (9a1bba0dfe71ebe2f3b3578671a6b5df), e3_eight_shocks.json (e48b4900840cd5592ea8209414e2ebff), e4_inference_design1_shocks.json (b71236f82837b9df14ec08332a408bf7), e4_inference_eight_shocks.json (9ff784f81511ba482b9ca761e6edb016), e4_inference_design1_all.json (0062d4612838491d0e7b4e80f8d8c31d), e6_nresponses.json (ec82f3b1264ebac47c14ae2818cb9005), e3_design1_indices.json (40f1df70da65781e3a5f1c7999a71df3), e3_design1_indices_nosupport.json (951754cd8f0303e8f39679d220bc92fe), e4_inference_design1_indices.json (6dc3e26bf599b7413bf1c0be9e95ae13), e4_inference_design1_indices_nosupport.json (7fd4cd4c22f3f2ebb2fd5514213379e0), e7_decomposition.json (5ed770ca362d40f0bf7687351af135a7), e9_dml.json (b07711021898eb31e7a9423a69899dd9), e9_selection.json (d0e734ccf53ca988125a78a723bf9368). No household-level value left the computer; cells with fewer than ten households are masked.</t>
  </si>
  <si>
    <t xml:space="preserve">An independent instance received only the written declarations (review/brief_blind_s4.md, the addendum for the shocks family, and the third brief for the decomposition, the indices and the flexible estimation) and the data location, implemented every estimator itself in a separate folder, and reported its aggregates; the Blind replication sheet compares them (330 quantities for the main family, 350 for the shocks family, 581 for the third brief).</t>
  </si>
  <si>
    <t xml:space="preserve">Tenth edition</t>
  </si>
  <si>
    <t xml:space="preserve">No figure changes. Three rows of this sheet change, found by a check of coherence across the materials of the review on 23 October 2026: the record of the masking in the sixth edition names the loan item as the questionnaire asked it, asked for a loan, as the rest of the workbook does; the records of the masking in the seventh and eighth editions no longer print the means and sums behind the masked cells of the consumption cuts index, values the masking withholds (one of them gave a masked cell back); and the statement of the map rule no longer prints the count that the map's largest flow to the towns fixed (a count below ten).</t>
  </si>
  <si>
    <t xml:space="preserve">Masking in the tenth edition</t>
  </si>
  <si>
    <t xml:space="preserve">Found by a blind reading of the protection of households across the materials of the review (23 October 2026), each with the arithmetic that recovered a count below ten or narrowed it to fewer than three values. (1) Power, Estimates and Sensitivity sheets: for the eleven responses, in both families and both specifications, the standard deviations with their bases, or the R2 without controls with the weighted MDD, or the two Oster quantities (functions of the uncontrolled difference and R2), gave the towns households with the response within the support, and with the means given the shock of the Decomposition sheet (block B) the masked cells of the towns households without the shock; for sickness among the shocks, with the camp households with sickness printed on the Health as a factor sheet, they gave the towns households with sickness outside the support. The standard deviations, the unweighted MDD, the raw difference with its standard error, the R2 without controls, the R2 with controls, Rmax and the two Oster quantities of these rows are withheld (Oster's delta* also on the Verdict and Shocks verdict sheets; the R2 with controls and Rmax after a second blind reading of the protection, which found that with the classical standard error they gave the variance of the outcome), and for sickness the weighted MDD too; with the weighted MDD alone every masked cell of the responses keeps six possible values or more. The rows withheld in the sixth edition get the same treatment on the Sensitivity sheet, where the R2 without controls and the Oster quantities still gave their cells back, and the weighted MDD of a row whose standard deviations are withheld prints the value the verdict sheets print (it had been recomputed from the rounded standard deviations and could differ in the third decimal). (2) Health as a factor, block B: the mean of an index, or of the number of responses, is withheld wherever one of the items it adds up is masked or withheld, since the mean times the households gives the sum and the items shown leave the masked one (the financial buffers index of camp households with a member with a medical condition gave the households that did not use savings; the severe responses index of towns households with a member with a medical condition, those that cut spending on education). (3) Decomposition, block C: the two towns cells that the step 3 workbook withholds (cut spending on education and a second job among the households that named the cut in assistance) are withheld, and an index is withheld in either group wherever one of its items is masked or withheld. (4) Decomposition, block A: the conditional difference, the part due to the response given the shock and the difference in means of the four indices carry two decimals, as in the technical note and the working paper; with three, and the index totals of the step 3 workbook, they gave the withheld index means back. (5) Blind replication sheet: the same quantities are withheld, among them values of block B of the Health as a factor sheet that it still printed although that sheet withheld them. No estimate changes.</t>
  </si>
  <si>
    <t xml:space="preserve">Ninth edition</t>
  </si>
  <si>
    <t xml:space="preserve">No cell changes. The statement of the conventions in this sheet restates the map rule of the brief (counts printed for the two largest flows to the camp only), after the third blind reading of the brief, as an interactive page, on 22 October 2026 and the check that followed it (step 5 workbook, Open items sheet).</t>
  </si>
  <si>
    <t xml:space="preserve">Masking in the eighth edition</t>
  </si>
  <si>
    <t xml:space="preserve">Cell found by the second blind reading of the working paper (22 October 2026). Decomposition sheet, block B: the towns mean given the shock of the consumption cuts index, with the towns mean of eating less and the number of towns households with the shock, gave the masked item, cutting other household spending, exactly, and the conditional difference of the index did the same with the camp means; the index is the sum of its two items. The towns mean and the conditional difference (with its bootstrap standard error) of the consumption cuts index are withheld in block B, the towns mean and the difference of the same index in block C, where both items are masked, and the index means of the towns households without the shock in block B, sums of masked cells, as block A already did. The decomposition chart withholds the same point. The Blind replication sheet withholds the same quantities.</t>
  </si>
  <si>
    <t xml:space="preserve">Masking in the seventh edition</t>
  </si>
  <si>
    <t xml:space="preserve">Cells found by the blind reading of the working paper and of the brief (21 October 2026). (1) Decomposition sheet, block A: for the four indices, the means of the four cells (with and without the shock, camp and towns) and the parts due to the incidence of the shock and to the response without the shock are withheld; the sixth edition kept them because an index mean gives only the sum of the responses, but that sum over the twenty camp households whose income did not fall is the sum of two masked cells below ten, and the means given the shock with the shares of the responses, or the two parts with the printed difference in means, gave it back by subtraction. The conditional difference, the part due to the response given the shock and the difference in means stay. (2) Decomposition sheet, block B: the blank conditional difference of cutting other household spending reads "withheld (protects another cell)". (3) Conventions stated in the technical note, the working paper and the brief, which this workbook follows: the answering bases are printed in full where a table carries them, and neither the number of households that did not answer an item nor the traits of those households are treated as counts to protect, since a blank is not a characteristic of the household (the analysis sample of the towns stays masked as a precaution); a cell that is empty or full in a group (0% or 100%) is printed, since it describes the whole group and no household within it; the brief that replaces the visual essay draws the lines of its map for pairs of five households or more, stated on the page, and prints counts for two flows only (the two largest to the camp), chosen so that no printed figure, on the page or in the workbooks, fixes a count below ten when combined with them (ninth edition: the count of the largest flow to the towns, printed until the eighth, with the Daraa-origin households of Irbid governorate of the step 3 workbook and the Ramtha total fixed the Ramtha households from other governorates at a count below ten). The Blind replication sheet withholds the same quantities.</t>
  </si>
  <si>
    <t xml:space="preserve">Protection</t>
  </si>
  <si>
    <t xml:space="preserve">Aggregates only. No count below ten households. No religion, marriage or early-marriage variable was read or used; of health, only the two yes or no items declared in Part F (a member with a medical condition; sickness among the shocks), never in the score, never crossed with a town, a district or a route out of the camp. Free-text answers are never reproduced; the reported cause of the fall is used only as coded categories. The Shocks described and Decomposition sheets leave out the rows and overall means from which a masked cell could be worked out by subtraction, and the count of a shocked cell reads "nearly all" where the households without the shock are fewer than ten; the step 3 workbook applied the same rule in its second protection pass (third edition, 21 October 2026), and this workbook withholds the cells it withholds. Sixth edition: see the rows on masking of the fifth and sixth editions.</t>
  </si>
  <si>
    <t xml:space="preserve">Edition</t>
  </si>
  <si>
    <t xml:space="preserve">23 October 2026, tenth edition (tenth: the loan item named as the questionnaire asked it in the record of the sixth edition, and the records of the seventh and eighth editions and the statement of the map rule without the figures they protect; after a blind reading of protection the same day, the standard deviations, the raw differences within the support, the R2 without controls and the Oster quantities of the eleven responses and of sickness withheld, with the weighted MDD of sickness; the index means of the Health as a factor sheet (block B) and of the Decomposition sheet (block C) withheld wherever one of their items is masked or withheld, with the two cells of block C that the step 3 workbook withholds; the index rows of block A with two decimals; the Blind replication sheet withholding the same quantities; ninth: the map convention of the brief restated, counts for the two largest flows to the camp only, after the third blind reading of the brief; fourth: health as a factor, Part F, the analysis sample by group masked, the decisions of the author of 21 October recorded; fifth: the cells the step 3 workbook withholds are withheld here too; sixth: the towns households off the support withheld, since with the support count they gave the masked sample; seventh: the means and two of the three parts of the four indices in block A of the Decomposition sheet withheld, since with the shares of the responses they gave the no-shock cells; eighth: in blocks B and C of the same sheet, the towns mean and the conditional difference of the consumption cuts index withheld where one of its two items is masked, and the index means of the towns households without the shock withheld, since an index is the sum of its items)</t>
  </si>
</sst>
</file>

<file path=xl/styles.xml><?xml version="1.0" encoding="utf-8"?>
<styleSheet xmlns="http://schemas.openxmlformats.org/spreadsheetml/2006/main">
  <numFmts count="6">
    <numFmt numFmtId="164" formatCode="General"/>
    <numFmt numFmtId="165" formatCode="0.000"/>
    <numFmt numFmtId="166" formatCode="0.00"/>
    <numFmt numFmtId="167" formatCode="0.0000"/>
    <numFmt numFmtId="168" formatCode="0.0%"/>
    <numFmt numFmtId="169" formatCode="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10"/>
      <name val="Arial"/>
      <family val="0"/>
      <charset val="1"/>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2937"/>
        <bgColor rgb="FF3333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7" fontId="8" fillId="0" borderId="1" xfId="0" applyFont="true" applyBorder="true" applyAlignment="true" applyProtection="false">
      <alignment horizontal="center" vertical="top" textRotation="0" wrapText="fals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8" fontId="7" fillId="0" borderId="1" xfId="0" applyFont="true" applyBorder="true" applyAlignment="true" applyProtection="false">
      <alignment horizontal="center" vertical="top" textRotation="0" wrapText="false" indent="0" shrinkToFit="false"/>
      <protection locked="true" hidden="false"/>
    </xf>
    <xf numFmtId="169" fontId="7"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1"/>
    <col collapsed="false" customWidth="true" hidden="false" outlineLevel="0" max="4" min="4" style="0" width="12"/>
    <col collapsed="false" customWidth="true" hidden="false" outlineLevel="0" max="5" min="5" style="0" width="9"/>
    <col collapsed="false" customWidth="true" hidden="false" outlineLevel="0" max="6" min="6" style="0" width="11"/>
    <col collapsed="false" customWidth="true" hidden="false" outlineLevel="0" max="9" min="7" style="0" width="12"/>
    <col collapsed="false" customWidth="true" hidden="false" outlineLevel="0" max="10" min="10" style="0" width="14"/>
    <col collapsed="false" customWidth="true" hidden="false" outlineLevel="0" max="11" min="11" style="0" width="11"/>
    <col collapsed="false" customWidth="true" hidden="false" outlineLevel="0" max="12" min="12" style="0" width="14"/>
    <col collapsed="false" customWidth="true" hidden="false" outlineLevel="0" max="13" min="13" style="0" width="16"/>
    <col collapsed="false" customWidth="true" hidden="false" outlineLevel="0" max="14" min="14" style="0" width="12"/>
    <col collapsed="false" customWidth="true" hidden="false" outlineLevel="0" max="15" min="15" style="0" width="60"/>
  </cols>
  <sheetData>
    <row r="1" customFormat="false" ht="15" hidden="false" customHeight="false" outlineLevel="0" collapsed="false">
      <c r="A1" s="1" t="s">
        <v>0</v>
      </c>
    </row>
    <row r="2" customFormat="false" ht="57" hidden="false" customHeight="true" outlineLevel="0" collapsed="false">
      <c r="A2" s="2" t="s">
        <v>1</v>
      </c>
      <c r="B2" s="2"/>
      <c r="C2" s="2"/>
      <c r="D2" s="2"/>
      <c r="E2" s="2"/>
      <c r="F2" s="2"/>
      <c r="G2" s="2"/>
      <c r="H2" s="2"/>
      <c r="I2" s="2"/>
      <c r="J2" s="2"/>
      <c r="K2" s="2"/>
      <c r="L2" s="2"/>
      <c r="M2" s="2"/>
      <c r="N2" s="2"/>
      <c r="O2" s="2"/>
    </row>
    <row r="3" customFormat="false" ht="57" hidden="false" customHeight="true" outlineLevel="0" collapsed="false">
      <c r="A3" s="2" t="s">
        <v>2</v>
      </c>
      <c r="B3" s="2"/>
      <c r="C3" s="2"/>
      <c r="D3" s="2"/>
      <c r="E3" s="2"/>
      <c r="F3" s="2"/>
      <c r="G3" s="2"/>
      <c r="H3" s="2"/>
      <c r="I3" s="2"/>
      <c r="J3" s="2"/>
      <c r="K3" s="2"/>
      <c r="L3" s="2"/>
      <c r="M3" s="2"/>
      <c r="N3" s="2"/>
      <c r="O3" s="2"/>
    </row>
    <row r="5" customFormat="false" ht="79.5" hidden="false" customHeight="true" outlineLevel="0" collapsed="false">
      <c r="A5" s="3" t="s">
        <v>3</v>
      </c>
      <c r="B5" s="3" t="s">
        <v>4</v>
      </c>
      <c r="C5" s="3" t="s">
        <v>5</v>
      </c>
      <c r="D5" s="3" t="s">
        <v>6</v>
      </c>
      <c r="E5" s="3" t="s">
        <v>7</v>
      </c>
      <c r="F5" s="3" t="s">
        <v>8</v>
      </c>
      <c r="G5" s="3" t="s">
        <v>9</v>
      </c>
      <c r="H5" s="3" t="s">
        <v>10</v>
      </c>
      <c r="I5" s="3" t="s">
        <v>11</v>
      </c>
      <c r="J5" s="3" t="s">
        <v>12</v>
      </c>
      <c r="K5" s="3" t="s">
        <v>13</v>
      </c>
      <c r="L5" s="3" t="s">
        <v>14</v>
      </c>
      <c r="M5" s="3" t="s">
        <v>15</v>
      </c>
      <c r="N5" s="3" t="s">
        <v>16</v>
      </c>
      <c r="O5" s="3" t="s">
        <v>17</v>
      </c>
    </row>
    <row r="6" customFormat="false" ht="44.25" hidden="false" customHeight="true" outlineLevel="0" collapsed="false">
      <c r="A6" s="4" t="s">
        <v>18</v>
      </c>
      <c r="B6" s="4" t="s">
        <v>19</v>
      </c>
      <c r="C6" s="5" t="n">
        <v>0.239</v>
      </c>
      <c r="D6" s="5" t="n">
        <v>0.117</v>
      </c>
      <c r="E6" s="6" t="n">
        <f aca="false">C6/D6</f>
        <v>2.04273504273504</v>
      </c>
      <c r="F6" s="5" t="n">
        <v>0.297</v>
      </c>
      <c r="G6" s="5" t="n">
        <v>0.082</v>
      </c>
      <c r="H6" s="5" t="n">
        <v>0</v>
      </c>
      <c r="I6" s="5" t="n">
        <v>0.008</v>
      </c>
      <c r="J6" s="5" t="n">
        <v>0.117</v>
      </c>
      <c r="K6" s="6" t="n">
        <v>1.67</v>
      </c>
      <c r="L6" s="7" t="s">
        <v>20</v>
      </c>
      <c r="M6" s="5" t="n">
        <v>0.234</v>
      </c>
      <c r="N6" s="7" t="str">
        <f aca="false">IF(AND(I6&lt;=0.05,ABS(E6)&gt;=1.96,J6&gt;=0.05,L6="yes"),"Robust",IF(AND(H6&gt;0.1,ABS(E6)&lt;1.96),"Null","Fragile"))</f>
        <v>Robust</v>
      </c>
      <c r="O6" s="4" t="s">
        <v>21</v>
      </c>
    </row>
    <row r="7" customFormat="false" ht="44.25" hidden="false" customHeight="true" outlineLevel="0" collapsed="false">
      <c r="A7" s="4" t="s">
        <v>22</v>
      </c>
      <c r="B7" s="4" t="s">
        <v>19</v>
      </c>
      <c r="C7" s="5" t="n">
        <v>0.168</v>
      </c>
      <c r="D7" s="5" t="n">
        <v>0.106</v>
      </c>
      <c r="E7" s="6" t="n">
        <f aca="false">C7/D7</f>
        <v>1.58490566037736</v>
      </c>
      <c r="F7" s="5" t="n">
        <v>0.086</v>
      </c>
      <c r="G7" s="5" t="n">
        <v>0.082</v>
      </c>
      <c r="H7" s="5" t="n">
        <v>0.298</v>
      </c>
      <c r="I7" s="5" t="n">
        <v>0.72</v>
      </c>
      <c r="J7" s="5" t="n">
        <v>0</v>
      </c>
      <c r="K7" s="6" t="n">
        <v>3.91</v>
      </c>
      <c r="L7" s="7" t="s">
        <v>20</v>
      </c>
      <c r="M7" s="5" t="n">
        <v>0.251</v>
      </c>
      <c r="N7" s="7" t="str">
        <f aca="false">IF(AND(I7&lt;=0.05,ABS(E7)&gt;=1.96,J7&gt;=0.05,L7="yes"),"Robust",IF(AND(H7&gt;0.1,ABS(E7)&lt;1.96),"Null","Fragile"))</f>
        <v>Null</v>
      </c>
      <c r="O7" s="4" t="s">
        <v>23</v>
      </c>
    </row>
    <row r="8" customFormat="false" ht="57.75" hidden="false" customHeight="true" outlineLevel="0" collapsed="false">
      <c r="A8" s="4" t="s">
        <v>24</v>
      </c>
      <c r="B8" s="4" t="s">
        <v>19</v>
      </c>
      <c r="C8" s="5" t="n">
        <v>0.219</v>
      </c>
      <c r="D8" s="5" t="n">
        <v>0.104</v>
      </c>
      <c r="E8" s="6" t="n">
        <f aca="false">C8/D8</f>
        <v>2.10576923076923</v>
      </c>
      <c r="F8" s="5" t="n">
        <v>0.12</v>
      </c>
      <c r="G8" s="5" t="n">
        <v>0.078</v>
      </c>
      <c r="H8" s="5" t="n">
        <v>0.122</v>
      </c>
      <c r="I8" s="5" t="n">
        <v>0.495</v>
      </c>
      <c r="J8" s="5" t="n">
        <v>0</v>
      </c>
      <c r="K8" s="6" t="n">
        <v>15.42</v>
      </c>
      <c r="L8" s="7" t="s">
        <v>20</v>
      </c>
      <c r="M8" s="5" t="n">
        <v>0.229</v>
      </c>
      <c r="N8" s="7" t="str">
        <f aca="false">IF(AND(I8&lt;=0.05,ABS(E8)&gt;=1.96,J8&gt;=0.05,L8="yes"),"Robust",IF(AND(H8&gt;0.1,ABS(E8)&lt;1.96),"Null","Fragile"))</f>
        <v>Fragile</v>
      </c>
      <c r="O8" s="4" t="s">
        <v>25</v>
      </c>
    </row>
    <row r="9" customFormat="false" ht="44.25" hidden="false" customHeight="true" outlineLevel="0" collapsed="false">
      <c r="A9" s="4" t="s">
        <v>26</v>
      </c>
      <c r="B9" s="4" t="s">
        <v>19</v>
      </c>
      <c r="C9" s="5" t="n">
        <v>0.298</v>
      </c>
      <c r="D9" s="5" t="n">
        <v>0.092</v>
      </c>
      <c r="E9" s="6" t="n">
        <f aca="false">C9/D9</f>
        <v>3.23913043478261</v>
      </c>
      <c r="F9" s="5" t="n">
        <v>0.396</v>
      </c>
      <c r="G9" s="5" t="n">
        <v>0.062</v>
      </c>
      <c r="H9" s="5" t="n">
        <v>0</v>
      </c>
      <c r="I9" s="5" t="n">
        <v>0</v>
      </c>
      <c r="J9" s="5" t="n">
        <v>0.256</v>
      </c>
      <c r="K9" s="6" t="s">
        <v>27</v>
      </c>
      <c r="L9" s="7" t="s">
        <v>20</v>
      </c>
      <c r="M9" s="5" t="n">
        <v>0.199</v>
      </c>
      <c r="N9" s="7" t="str">
        <f aca="false">IF(AND(I9&lt;=0.05,ABS(E9)&gt;=1.96,J9&gt;=0.05,L9="yes"),"Robust",IF(AND(H9&gt;0.1,ABS(E9)&lt;1.96),"Null","Fragile"))</f>
        <v>Robust</v>
      </c>
      <c r="O9" s="4" t="s">
        <v>28</v>
      </c>
    </row>
    <row r="10" customFormat="false" ht="30.75" hidden="false" customHeight="true" outlineLevel="0" collapsed="false">
      <c r="A10" s="4" t="s">
        <v>29</v>
      </c>
      <c r="B10" s="4" t="s">
        <v>19</v>
      </c>
      <c r="C10" s="5" t="n">
        <v>0.437</v>
      </c>
      <c r="D10" s="5" t="n">
        <v>0.098</v>
      </c>
      <c r="E10" s="6" t="n">
        <f aca="false">C10/D10</f>
        <v>4.45918367346939</v>
      </c>
      <c r="F10" s="5" t="n">
        <v>0.472</v>
      </c>
      <c r="G10" s="5" t="n">
        <v>0.072</v>
      </c>
      <c r="H10" s="5" t="n">
        <v>0</v>
      </c>
      <c r="I10" s="5" t="n">
        <v>0</v>
      </c>
      <c r="J10" s="5" t="n">
        <v>0.279</v>
      </c>
      <c r="K10" s="6" t="n">
        <v>1.18</v>
      </c>
      <c r="L10" s="7" t="s">
        <v>20</v>
      </c>
      <c r="M10" s="5" t="n">
        <v>0.208</v>
      </c>
      <c r="N10" s="7" t="str">
        <f aca="false">IF(AND(I10&lt;=0.05,ABS(E10)&gt;=1.96,J10&gt;=0.05,L10="yes"),"Robust",IF(AND(H10&gt;0.1,ABS(E10)&lt;1.96),"Null","Fragile"))</f>
        <v>Robust</v>
      </c>
      <c r="O10" s="4" t="s">
        <v>30</v>
      </c>
    </row>
    <row r="11" customFormat="false" ht="30.75" hidden="false" customHeight="true" outlineLevel="0" collapsed="false">
      <c r="A11" s="4" t="s">
        <v>31</v>
      </c>
      <c r="B11" s="4" t="s">
        <v>19</v>
      </c>
      <c r="C11" s="5" t="n">
        <v>0.077</v>
      </c>
      <c r="D11" s="5" t="n">
        <v>0.103</v>
      </c>
      <c r="E11" s="6" t="n">
        <f aca="false">C11/D11</f>
        <v>0.747572815533981</v>
      </c>
      <c r="F11" s="5" t="n">
        <v>0.08</v>
      </c>
      <c r="G11" s="5" t="n">
        <v>0.072</v>
      </c>
      <c r="H11" s="5" t="n">
        <v>0.267</v>
      </c>
      <c r="I11" s="5" t="n">
        <v>0.72</v>
      </c>
      <c r="J11" s="5" t="n">
        <v>0</v>
      </c>
      <c r="K11" s="6" t="n">
        <v>1.65</v>
      </c>
      <c r="L11" s="7" t="s">
        <v>20</v>
      </c>
      <c r="M11" s="5" t="n">
        <v>0.207</v>
      </c>
      <c r="N11" s="7" t="str">
        <f aca="false">IF(AND(I11&lt;=0.05,ABS(E11)&gt;=1.96,J11&gt;=0.05,L11="yes"),"Robust",IF(AND(H11&gt;0.1,ABS(E11)&lt;1.96),"Null","Fragile"))</f>
        <v>Null</v>
      </c>
      <c r="O11" s="4" t="s">
        <v>32</v>
      </c>
    </row>
    <row r="12" customFormat="false" ht="30.75" hidden="false" customHeight="true" outlineLevel="0" collapsed="false">
      <c r="A12" s="4" t="s">
        <v>33</v>
      </c>
      <c r="B12" s="4" t="s">
        <v>19</v>
      </c>
      <c r="C12" s="5" t="n">
        <v>0.145</v>
      </c>
      <c r="D12" s="5" t="n">
        <v>0.1</v>
      </c>
      <c r="E12" s="6" t="n">
        <f aca="false">C12/D12</f>
        <v>1.45</v>
      </c>
      <c r="F12" s="5" t="n">
        <v>0.074</v>
      </c>
      <c r="G12" s="5" t="n">
        <v>0.071</v>
      </c>
      <c r="H12" s="5" t="n">
        <v>0.3</v>
      </c>
      <c r="I12" s="5" t="n">
        <v>0.72</v>
      </c>
      <c r="J12" s="5" t="n">
        <v>0</v>
      </c>
      <c r="K12" s="6" t="s">
        <v>27</v>
      </c>
      <c r="L12" s="7" t="s">
        <v>20</v>
      </c>
      <c r="M12" s="5" t="n">
        <v>0.225</v>
      </c>
      <c r="N12" s="7" t="str">
        <f aca="false">IF(AND(I12&lt;=0.05,ABS(E12)&gt;=1.96,J12&gt;=0.05,L12="yes"),"Robust",IF(AND(H12&gt;0.1,ABS(E12)&lt;1.96),"Null","Fragile"))</f>
        <v>Null</v>
      </c>
      <c r="O12" s="4" t="s">
        <v>34</v>
      </c>
    </row>
    <row r="13" customFormat="false" ht="30.75" hidden="false" customHeight="true" outlineLevel="0" collapsed="false">
      <c r="A13" s="4" t="s">
        <v>35</v>
      </c>
      <c r="B13" s="4" t="s">
        <v>19</v>
      </c>
      <c r="C13" s="5" t="n">
        <v>0.085</v>
      </c>
      <c r="D13" s="5" t="n">
        <v>0.123</v>
      </c>
      <c r="E13" s="6" t="n">
        <f aca="false">C13/D13</f>
        <v>0.691056910569106</v>
      </c>
      <c r="F13" s="5" t="n">
        <v>-0.008</v>
      </c>
      <c r="G13" s="5" t="n">
        <v>0.079</v>
      </c>
      <c r="H13" s="5" t="n">
        <v>0.924</v>
      </c>
      <c r="I13" s="5" t="n">
        <v>0.912</v>
      </c>
      <c r="J13" s="5" t="n">
        <v>0</v>
      </c>
      <c r="K13" s="6" t="s">
        <v>27</v>
      </c>
      <c r="L13" s="7" t="s">
        <v>36</v>
      </c>
      <c r="M13" s="5" t="n">
        <v>0.237</v>
      </c>
      <c r="N13" s="7" t="str">
        <f aca="false">IF(AND(I13&lt;=0.05,ABS(E13)&gt;=1.96,J13&gt;=0.05,L13="yes"),"Robust",IF(AND(H13&gt;0.1,ABS(E13)&lt;1.96),"Null","Fragile"))</f>
        <v>Null</v>
      </c>
      <c r="O13" s="4" t="s">
        <v>37</v>
      </c>
    </row>
    <row r="14" customFormat="false" ht="30.75" hidden="false" customHeight="true" outlineLevel="0" collapsed="false">
      <c r="A14" s="4" t="s">
        <v>38</v>
      </c>
      <c r="B14" s="4" t="s">
        <v>39</v>
      </c>
      <c r="C14" s="5" t="n">
        <v>0.627</v>
      </c>
      <c r="D14" s="5" t="n">
        <v>0.262</v>
      </c>
      <c r="E14" s="6" t="n">
        <f aca="false">C14/D14</f>
        <v>2.39312977099237</v>
      </c>
      <c r="F14" s="5" t="n">
        <v>0.711</v>
      </c>
      <c r="G14" s="5" t="n">
        <v>0.147</v>
      </c>
      <c r="H14" s="5" t="n">
        <v>0</v>
      </c>
      <c r="I14" s="5" t="n">
        <v>0</v>
      </c>
      <c r="J14" s="5" t="n">
        <v>0.228</v>
      </c>
      <c r="K14" s="6" t="n">
        <v>1.98</v>
      </c>
      <c r="L14" s="7" t="s">
        <v>20</v>
      </c>
      <c r="M14" s="5" t="n">
        <v>0.404</v>
      </c>
      <c r="N14" s="7" t="str">
        <f aca="false">IF(AND(I14&lt;=0.05,ABS(E14)&gt;=1.96,J14&gt;=0.05,L14="yes"),"Robust",IF(AND(H14&gt;0.1,ABS(E14)&lt;1.96),"Null","Fragile"))</f>
        <v>Robust</v>
      </c>
      <c r="O14" s="4" t="s">
        <v>40</v>
      </c>
    </row>
    <row r="15" customFormat="false" ht="44.25" hidden="false" customHeight="true" outlineLevel="0" collapsed="false">
      <c r="A15" s="4" t="s">
        <v>41</v>
      </c>
      <c r="B15" s="4" t="s">
        <v>42</v>
      </c>
      <c r="C15" s="5" t="n">
        <v>-3.189</v>
      </c>
      <c r="D15" s="5" t="n">
        <v>0.479</v>
      </c>
      <c r="E15" s="6" t="n">
        <f aca="false">C15/D15</f>
        <v>-6.65762004175365</v>
      </c>
      <c r="F15" s="5" t="n">
        <v>-3.139</v>
      </c>
      <c r="G15" s="5" t="n">
        <v>0.461</v>
      </c>
      <c r="H15" s="5" t="n">
        <v>0</v>
      </c>
      <c r="I15" s="5" t="n">
        <v>0</v>
      </c>
      <c r="J15" s="5" t="n">
        <v>0.287</v>
      </c>
      <c r="K15" s="6" t="n">
        <v>0.88</v>
      </c>
      <c r="L15" s="7" t="s">
        <v>20</v>
      </c>
      <c r="M15" s="5" t="n">
        <v>1.255</v>
      </c>
      <c r="N15" s="7" t="str">
        <f aca="false">IF(AND(I15&lt;=0.05,ABS(E15)&gt;=1.96,J15&gt;=0.05,L15="yes"),"Robust",IF(AND(H15&gt;0.1,ABS(E15)&lt;1.96),"Null","Fragile"))</f>
        <v>Robust</v>
      </c>
      <c r="O15" s="4" t="s">
        <v>43</v>
      </c>
    </row>
    <row r="16" customFormat="false" ht="57.75" hidden="false" customHeight="true" outlineLevel="0" collapsed="false">
      <c r="A16" s="4" t="s">
        <v>44</v>
      </c>
      <c r="B16" s="4" t="s">
        <v>42</v>
      </c>
      <c r="C16" s="5" t="n">
        <v>-1.719</v>
      </c>
      <c r="D16" s="5" t="n">
        <v>0.566</v>
      </c>
      <c r="E16" s="6" t="n">
        <f aca="false">C16/D16</f>
        <v>-3.03710247349823</v>
      </c>
      <c r="F16" s="5" t="n">
        <v>-1.082</v>
      </c>
      <c r="G16" s="5" t="n">
        <v>0.481</v>
      </c>
      <c r="H16" s="5" t="n">
        <v>0.024</v>
      </c>
      <c r="I16" s="5" t="n">
        <v>0.151</v>
      </c>
      <c r="J16" s="5" t="n">
        <v>0.019</v>
      </c>
      <c r="K16" s="6" t="n">
        <v>4.16</v>
      </c>
      <c r="L16" s="7" t="s">
        <v>20</v>
      </c>
      <c r="M16" s="5" t="n">
        <v>1.388</v>
      </c>
      <c r="N16" s="7" t="str">
        <f aca="false">IF(AND(I16&lt;=0.05,ABS(E16)&gt;=1.96,J16&gt;=0.05,L16="yes"),"Robust",IF(AND(H16&gt;0.1,ABS(E16)&lt;1.96),"Null","Fragile"))</f>
        <v>Fragile</v>
      </c>
      <c r="O16" s="4" t="s">
        <v>45</v>
      </c>
    </row>
    <row r="17" customFormat="false" ht="30.75" hidden="false" customHeight="true" outlineLevel="0" collapsed="false">
      <c r="A17" s="4" t="s">
        <v>46</v>
      </c>
      <c r="B17" s="4" t="s">
        <v>42</v>
      </c>
      <c r="C17" s="5" t="n">
        <v>-0.901</v>
      </c>
      <c r="D17" s="5" t="n">
        <v>0.608</v>
      </c>
      <c r="E17" s="6" t="n">
        <f aca="false">C17/D17</f>
        <v>-1.48190789473684</v>
      </c>
      <c r="F17" s="5" t="n">
        <v>-0.506</v>
      </c>
      <c r="G17" s="5" t="n">
        <v>0.447</v>
      </c>
      <c r="H17" s="5" t="n">
        <v>0.258</v>
      </c>
      <c r="I17" s="5" t="n">
        <v>0.72</v>
      </c>
      <c r="J17" s="5" t="n">
        <v>0</v>
      </c>
      <c r="K17" s="6" t="n">
        <v>5.67</v>
      </c>
      <c r="L17" s="7" t="s">
        <v>36</v>
      </c>
      <c r="M17" s="5" t="n">
        <v>1.338</v>
      </c>
      <c r="N17" s="7" t="str">
        <f aca="false">IF(AND(I17&lt;=0.05,ABS(E17)&gt;=1.96,J17&gt;=0.05,L17="yes"),"Robust",IF(AND(H17&gt;0.1,ABS(E17)&lt;1.96),"Null","Fragile"))</f>
        <v>Null</v>
      </c>
      <c r="O17" s="4" t="s">
        <v>47</v>
      </c>
    </row>
    <row r="19" customFormat="false" ht="15" hidden="false" customHeight="false" outlineLevel="0" collapsed="false">
      <c r="A19" s="8" t="s">
        <v>48</v>
      </c>
    </row>
    <row r="20" customFormat="false" ht="30.75" hidden="false" customHeight="true" outlineLevel="0" collapsed="false">
      <c r="A20" s="4" t="s">
        <v>18</v>
      </c>
      <c r="B20" s="4" t="s">
        <v>19</v>
      </c>
      <c r="C20" s="5" t="n">
        <v>0.175</v>
      </c>
      <c r="D20" s="5" t="n">
        <v>0.107</v>
      </c>
      <c r="E20" s="6" t="n">
        <f aca="false">C20/D20</f>
        <v>1.63551401869159</v>
      </c>
      <c r="F20" s="5" t="n">
        <v>0.267</v>
      </c>
      <c r="G20" s="5" t="n">
        <v>0.08</v>
      </c>
      <c r="H20" s="5" t="n">
        <v>0.001</v>
      </c>
      <c r="I20" s="5" t="n">
        <v>0.011</v>
      </c>
      <c r="J20" s="5" t="n">
        <v>0.089</v>
      </c>
      <c r="K20" s="6" t="n">
        <v>1.62</v>
      </c>
      <c r="L20" s="7" t="s">
        <v>20</v>
      </c>
      <c r="M20" s="5" t="n">
        <v>0.24</v>
      </c>
      <c r="N20" s="7" t="str">
        <f aca="false">IF(AND(I20&lt;=0.05,ABS(E20)&gt;=1.96,J20&gt;=0.05,L20="yes"),"Robust",IF(AND(H20&gt;0.1,ABS(E20)&lt;1.96),"Null","Fragile"))</f>
        <v>Fragile</v>
      </c>
      <c r="O20" s="4"/>
    </row>
    <row r="21" customFormat="false" ht="30.75" hidden="false" customHeight="true" outlineLevel="0" collapsed="false">
      <c r="A21" s="4" t="s">
        <v>22</v>
      </c>
      <c r="B21" s="4" t="s">
        <v>19</v>
      </c>
      <c r="C21" s="5" t="n">
        <v>0.175</v>
      </c>
      <c r="D21" s="5" t="n">
        <v>0.11</v>
      </c>
      <c r="E21" s="6" t="n">
        <f aca="false">C21/D21</f>
        <v>1.59090909090909</v>
      </c>
      <c r="F21" s="5" t="n">
        <v>0.105</v>
      </c>
      <c r="G21" s="5" t="n">
        <v>0.086</v>
      </c>
      <c r="H21" s="5" t="n">
        <v>0.221</v>
      </c>
      <c r="I21" s="5" t="n">
        <v>0.604</v>
      </c>
      <c r="J21" s="5" t="n">
        <v>0</v>
      </c>
      <c r="K21" s="6" t="n">
        <v>6.07</v>
      </c>
      <c r="L21" s="7" t="s">
        <v>20</v>
      </c>
      <c r="M21" s="5" t="n">
        <v>0.251</v>
      </c>
      <c r="N21" s="7" t="str">
        <f aca="false">IF(AND(I21&lt;=0.05,ABS(E21)&gt;=1.96,J21&gt;=0.05,L21="yes"),"Robust",IF(AND(H21&gt;0.1,ABS(E21)&lt;1.96),"Null","Fragile"))</f>
        <v>Null</v>
      </c>
      <c r="O21" s="4"/>
    </row>
    <row r="22" customFormat="false" ht="30.75" hidden="false" customHeight="true" outlineLevel="0" collapsed="false">
      <c r="A22" s="4" t="s">
        <v>24</v>
      </c>
      <c r="B22" s="4" t="s">
        <v>19</v>
      </c>
      <c r="C22" s="5" t="n">
        <v>0.196</v>
      </c>
      <c r="D22" s="5" t="n">
        <v>0.108</v>
      </c>
      <c r="E22" s="6" t="n">
        <f aca="false">C22/D22</f>
        <v>1.81481481481481</v>
      </c>
      <c r="F22" s="5" t="n">
        <v>0.098</v>
      </c>
      <c r="G22" s="5" t="n">
        <v>0.076</v>
      </c>
      <c r="H22" s="5" t="n">
        <v>0.196</v>
      </c>
      <c r="I22" s="5" t="n">
        <v>0.604</v>
      </c>
      <c r="J22" s="5" t="n">
        <v>0</v>
      </c>
      <c r="K22" s="6" t="n">
        <v>12.81</v>
      </c>
      <c r="L22" s="7" t="s">
        <v>20</v>
      </c>
      <c r="M22" s="5" t="n">
        <v>0.234</v>
      </c>
      <c r="N22" s="7" t="str">
        <f aca="false">IF(AND(I22&lt;=0.05,ABS(E22)&gt;=1.96,J22&gt;=0.05,L22="yes"),"Robust",IF(AND(H22&gt;0.1,ABS(E22)&lt;1.96),"Null","Fragile"))</f>
        <v>Null</v>
      </c>
      <c r="O22" s="4"/>
    </row>
    <row r="23" customFormat="false" ht="30.75" hidden="false" customHeight="true" outlineLevel="0" collapsed="false">
      <c r="A23" s="4" t="s">
        <v>26</v>
      </c>
      <c r="B23" s="4" t="s">
        <v>19</v>
      </c>
      <c r="C23" s="5" t="n">
        <v>0.27</v>
      </c>
      <c r="D23" s="5" t="n">
        <v>0.096</v>
      </c>
      <c r="E23" s="6" t="n">
        <f aca="false">C23/D23</f>
        <v>2.8125</v>
      </c>
      <c r="F23" s="5" t="n">
        <v>0.371</v>
      </c>
      <c r="G23" s="5" t="n">
        <v>0.06</v>
      </c>
      <c r="H23" s="5" t="n">
        <v>0</v>
      </c>
      <c r="I23" s="5" t="n">
        <v>0</v>
      </c>
      <c r="J23" s="5" t="n">
        <v>0.229</v>
      </c>
      <c r="K23" s="6" t="s">
        <v>27</v>
      </c>
      <c r="L23" s="7" t="s">
        <v>20</v>
      </c>
      <c r="M23" s="5" t="n">
        <v>0.207</v>
      </c>
      <c r="N23" s="7" t="str">
        <f aca="false">IF(AND(I23&lt;=0.05,ABS(E23)&gt;=1.96,J23&gt;=0.05,L23="yes"),"Robust",IF(AND(H23&gt;0.1,ABS(E23)&lt;1.96),"Null","Fragile"))</f>
        <v>Robust</v>
      </c>
      <c r="O23" s="4"/>
    </row>
    <row r="24" customFormat="false" ht="30.75" hidden="false" customHeight="true" outlineLevel="0" collapsed="false">
      <c r="A24" s="4" t="s">
        <v>29</v>
      </c>
      <c r="B24" s="4" t="s">
        <v>19</v>
      </c>
      <c r="C24" s="5" t="n">
        <v>0.419</v>
      </c>
      <c r="D24" s="5" t="n">
        <v>0.096</v>
      </c>
      <c r="E24" s="6" t="n">
        <f aca="false">C24/D24</f>
        <v>4.36458333333333</v>
      </c>
      <c r="F24" s="5" t="n">
        <v>0.488</v>
      </c>
      <c r="G24" s="5" t="n">
        <v>0.069</v>
      </c>
      <c r="H24" s="5" t="n">
        <v>0</v>
      </c>
      <c r="I24" s="5" t="n">
        <v>0</v>
      </c>
      <c r="J24" s="5" t="n">
        <v>0.286</v>
      </c>
      <c r="K24" s="6" t="n">
        <v>1.15</v>
      </c>
      <c r="L24" s="7" t="s">
        <v>20</v>
      </c>
      <c r="M24" s="5" t="n">
        <v>0.212</v>
      </c>
      <c r="N24" s="7" t="str">
        <f aca="false">IF(AND(I24&lt;=0.05,ABS(E24)&gt;=1.96,J24&gt;=0.05,L24="yes"),"Robust",IF(AND(H24&gt;0.1,ABS(E24)&lt;1.96),"Null","Fragile"))</f>
        <v>Robust</v>
      </c>
      <c r="O24" s="4"/>
    </row>
    <row r="25" customFormat="false" ht="30.75" hidden="false" customHeight="true" outlineLevel="0" collapsed="false">
      <c r="A25" s="4" t="s">
        <v>31</v>
      </c>
      <c r="B25" s="4" t="s">
        <v>19</v>
      </c>
      <c r="C25" s="5" t="n">
        <v>0.167</v>
      </c>
      <c r="D25" s="5" t="n">
        <v>0.109</v>
      </c>
      <c r="E25" s="6" t="n">
        <f aca="false">C25/D25</f>
        <v>1.53211009174312</v>
      </c>
      <c r="F25" s="5" t="n">
        <v>0.136</v>
      </c>
      <c r="G25" s="5" t="n">
        <v>0.07</v>
      </c>
      <c r="H25" s="5" t="n">
        <v>0.05</v>
      </c>
      <c r="I25" s="5" t="n">
        <v>0.243</v>
      </c>
      <c r="J25" s="5" t="n">
        <v>0.001</v>
      </c>
      <c r="K25" s="6" t="n">
        <v>1.63</v>
      </c>
      <c r="L25" s="7" t="s">
        <v>20</v>
      </c>
      <c r="M25" s="5" t="n">
        <v>0.211</v>
      </c>
      <c r="N25" s="7" t="str">
        <f aca="false">IF(AND(I25&lt;=0.05,ABS(E25)&gt;=1.96,J25&gt;=0.05,L25="yes"),"Robust",IF(AND(H25&gt;0.1,ABS(E25)&lt;1.96),"Null","Fragile"))</f>
        <v>Fragile</v>
      </c>
      <c r="O25" s="4"/>
    </row>
    <row r="26" customFormat="false" ht="30.75" hidden="false" customHeight="true" outlineLevel="0" collapsed="false">
      <c r="A26" s="4" t="s">
        <v>33</v>
      </c>
      <c r="B26" s="4" t="s">
        <v>19</v>
      </c>
      <c r="C26" s="5" t="n">
        <v>0.204</v>
      </c>
      <c r="D26" s="5" t="n">
        <v>0.1</v>
      </c>
      <c r="E26" s="6" t="n">
        <f aca="false">C26/D26</f>
        <v>2.04</v>
      </c>
      <c r="F26" s="5" t="n">
        <v>0.099</v>
      </c>
      <c r="G26" s="5" t="n">
        <v>0.072</v>
      </c>
      <c r="H26" s="5" t="n">
        <v>0.167</v>
      </c>
      <c r="I26" s="5" t="n">
        <v>0.604</v>
      </c>
      <c r="J26" s="5" t="n">
        <v>0</v>
      </c>
      <c r="K26" s="6" t="s">
        <v>27</v>
      </c>
      <c r="L26" s="7" t="s">
        <v>20</v>
      </c>
      <c r="M26" s="5" t="n">
        <v>0.232</v>
      </c>
      <c r="N26" s="7" t="str">
        <f aca="false">IF(AND(I26&lt;=0.05,ABS(E26)&gt;=1.96,J26&gt;=0.05,L26="yes"),"Robust",IF(AND(H26&gt;0.1,ABS(E26)&lt;1.96),"Null","Fragile"))</f>
        <v>Fragile</v>
      </c>
      <c r="O26" s="4"/>
    </row>
    <row r="27" customFormat="false" ht="30.75" hidden="false" customHeight="true" outlineLevel="0" collapsed="false">
      <c r="A27" s="4" t="s">
        <v>35</v>
      </c>
      <c r="B27" s="4" t="s">
        <v>19</v>
      </c>
      <c r="C27" s="5" t="n">
        <v>0.077</v>
      </c>
      <c r="D27" s="5" t="n">
        <v>0.125</v>
      </c>
      <c r="E27" s="6" t="n">
        <f aca="false">C27/D27</f>
        <v>0.616</v>
      </c>
      <c r="F27" s="5" t="n">
        <v>-0.02</v>
      </c>
      <c r="G27" s="5" t="n">
        <v>0.079</v>
      </c>
      <c r="H27" s="5" t="n">
        <v>0.8</v>
      </c>
      <c r="I27" s="5" t="n">
        <v>0.799</v>
      </c>
      <c r="J27" s="5" t="n">
        <v>0</v>
      </c>
      <c r="K27" s="6" t="s">
        <v>27</v>
      </c>
      <c r="L27" s="7" t="s">
        <v>36</v>
      </c>
      <c r="M27" s="5" t="n">
        <v>0.24</v>
      </c>
      <c r="N27" s="7" t="str">
        <f aca="false">IF(AND(I27&lt;=0.05,ABS(E27)&gt;=1.96,J27&gt;=0.05,L27="yes"),"Robust",IF(AND(H27&gt;0.1,ABS(E27)&lt;1.96),"Null","Fragile"))</f>
        <v>Null</v>
      </c>
      <c r="O27" s="4"/>
    </row>
    <row r="28" customFormat="false" ht="17.25" hidden="false" customHeight="true" outlineLevel="0" collapsed="false">
      <c r="A28" s="4" t="s">
        <v>38</v>
      </c>
      <c r="B28" s="4" t="s">
        <v>39</v>
      </c>
      <c r="C28" s="5" t="n">
        <v>0.811</v>
      </c>
      <c r="D28" s="5" t="n">
        <v>0.242</v>
      </c>
      <c r="E28" s="6" t="n">
        <f aca="false">C28/D28</f>
        <v>3.35123966942149</v>
      </c>
      <c r="F28" s="5" t="n">
        <v>0.813</v>
      </c>
      <c r="G28" s="5" t="n">
        <v>0.162</v>
      </c>
      <c r="H28" s="5" t="n">
        <v>0</v>
      </c>
      <c r="I28" s="5" t="n">
        <v>0</v>
      </c>
      <c r="J28" s="5" t="n">
        <v>0.229</v>
      </c>
      <c r="K28" s="6" t="n">
        <v>1.77</v>
      </c>
      <c r="L28" s="7" t="s">
        <v>20</v>
      </c>
      <c r="M28" s="5" t="n">
        <v>0.457</v>
      </c>
      <c r="N28" s="7" t="str">
        <f aca="false">IF(AND(I28&lt;=0.05,ABS(E28)&gt;=1.96,J28&gt;=0.05,L28="yes"),"Robust",IF(AND(H28&gt;0.1,ABS(E28)&lt;1.96),"Null","Fragile"))</f>
        <v>Robust</v>
      </c>
      <c r="O28" s="4"/>
    </row>
    <row r="29" customFormat="false" ht="17.25" hidden="false" customHeight="true" outlineLevel="0" collapsed="false">
      <c r="A29" s="4" t="s">
        <v>41</v>
      </c>
      <c r="B29" s="4" t="s">
        <v>42</v>
      </c>
      <c r="C29" s="5" t="n">
        <v>-2.952</v>
      </c>
      <c r="D29" s="5" t="n">
        <v>0.48</v>
      </c>
      <c r="E29" s="6" t="n">
        <f aca="false">C29/D29</f>
        <v>-6.15</v>
      </c>
      <c r="F29" s="5" t="n">
        <v>-2.841</v>
      </c>
      <c r="G29" s="5" t="n">
        <v>0.447</v>
      </c>
      <c r="H29" s="5" t="n">
        <v>0</v>
      </c>
      <c r="I29" s="5" t="n">
        <v>0</v>
      </c>
      <c r="J29" s="5" t="n">
        <v>0.257</v>
      </c>
      <c r="K29" s="6" t="n">
        <v>0.88</v>
      </c>
      <c r="L29" s="7" t="s">
        <v>20</v>
      </c>
      <c r="M29" s="5" t="n">
        <v>1.234</v>
      </c>
      <c r="N29" s="7" t="str">
        <f aca="false">IF(AND(I29&lt;=0.05,ABS(E29)&gt;=1.96,J29&gt;=0.05,L29="yes"),"Robust",IF(AND(H29&gt;0.1,ABS(E29)&lt;1.96),"Null","Fragile"))</f>
        <v>Robust</v>
      </c>
      <c r="O29" s="4"/>
    </row>
    <row r="30" customFormat="false" ht="17.25" hidden="false" customHeight="true" outlineLevel="0" collapsed="false">
      <c r="A30" s="4" t="s">
        <v>44</v>
      </c>
      <c r="B30" s="4" t="s">
        <v>42</v>
      </c>
      <c r="C30" s="5" t="n">
        <v>-1.908</v>
      </c>
      <c r="D30" s="5" t="n">
        <v>0.538</v>
      </c>
      <c r="E30" s="6" t="n">
        <f aca="false">C30/D30</f>
        <v>-3.54646840148699</v>
      </c>
      <c r="F30" s="5" t="n">
        <v>-1.168</v>
      </c>
      <c r="G30" s="5" t="n">
        <v>0.473</v>
      </c>
      <c r="H30" s="5" t="n">
        <v>0.014</v>
      </c>
      <c r="I30" s="5" t="n">
        <v>0.089</v>
      </c>
      <c r="J30" s="5" t="n">
        <v>0.033</v>
      </c>
      <c r="K30" s="6" t="n">
        <v>9.41</v>
      </c>
      <c r="L30" s="7" t="s">
        <v>20</v>
      </c>
      <c r="M30" s="5" t="n">
        <v>1.411</v>
      </c>
      <c r="N30" s="7" t="str">
        <f aca="false">IF(AND(I30&lt;=0.05,ABS(E30)&gt;=1.96,J30&gt;=0.05,L30="yes"),"Robust",IF(AND(H30&gt;0.1,ABS(E30)&lt;1.96),"Null","Fragile"))</f>
        <v>Fragile</v>
      </c>
      <c r="O30" s="4"/>
    </row>
    <row r="31" customFormat="false" ht="17.25" hidden="false" customHeight="true" outlineLevel="0" collapsed="false">
      <c r="A31" s="4" t="s">
        <v>46</v>
      </c>
      <c r="B31" s="4" t="s">
        <v>42</v>
      </c>
      <c r="C31" s="5" t="n">
        <v>-0.619</v>
      </c>
      <c r="D31" s="5" t="n">
        <v>0.608</v>
      </c>
      <c r="E31" s="6" t="n">
        <f aca="false">C31/D31</f>
        <v>-1.01809210526316</v>
      </c>
      <c r="F31" s="5" t="n">
        <v>-0.315</v>
      </c>
      <c r="G31" s="5" t="n">
        <v>0.45</v>
      </c>
      <c r="H31" s="5" t="n">
        <v>0.485</v>
      </c>
      <c r="I31" s="5" t="n">
        <v>0.731</v>
      </c>
      <c r="J31" s="5" t="n">
        <v>0</v>
      </c>
      <c r="K31" s="6" t="n">
        <v>1.69</v>
      </c>
      <c r="L31" s="7" t="s">
        <v>20</v>
      </c>
      <c r="M31" s="5" t="n">
        <v>1.349</v>
      </c>
      <c r="N31" s="7" t="str">
        <f aca="false">IF(AND(I31&lt;=0.05,ABS(E31)&gt;=1.96,J31&gt;=0.05,L31="yes"),"Robust",IF(AND(H31&gt;0.1,ABS(E31)&lt;1.96),"Null","Fragile"))</f>
        <v>Null</v>
      </c>
      <c r="O31" s="4"/>
    </row>
    <row r="33" customFormat="false" ht="15" hidden="false" customHeight="false" outlineLevel="0" collapsed="false">
      <c r="A33" s="8" t="s">
        <v>49</v>
      </c>
      <c r="B33" s="8" t="s">
        <v>50</v>
      </c>
      <c r="C33" s="8" t="s">
        <v>51</v>
      </c>
    </row>
    <row r="34" customFormat="false" ht="15" hidden="false" customHeight="false" outlineLevel="0" collapsed="false">
      <c r="A34" s="9" t="s">
        <v>52</v>
      </c>
      <c r="B34" s="9" t="n">
        <f aca="false">COUNTIF(N6:N17,"Robust")</f>
        <v>5</v>
      </c>
      <c r="C34" s="9" t="n">
        <f aca="false">COUNTIF(N20:N31,"Robust")</f>
        <v>4</v>
      </c>
    </row>
    <row r="35" customFormat="false" ht="15" hidden="false" customHeight="false" outlineLevel="0" collapsed="false">
      <c r="A35" s="9" t="s">
        <v>53</v>
      </c>
      <c r="B35" s="9" t="n">
        <f aca="false">COUNTIF(N6:N17,"Fragile")</f>
        <v>2</v>
      </c>
      <c r="C35" s="9" t="n">
        <f aca="false">COUNTIF(N20:N31,"Fragile")</f>
        <v>4</v>
      </c>
    </row>
    <row r="36" customFormat="false" ht="15" hidden="false" customHeight="false" outlineLevel="0" collapsed="false">
      <c r="A36" s="9" t="s">
        <v>54</v>
      </c>
      <c r="B36" s="9" t="n">
        <f aca="false">COUNTIF(N6:N17,"Null")</f>
        <v>5</v>
      </c>
      <c r="C36" s="9" t="n">
        <f aca="false">COUNTIF(N20:N31,"Null")</f>
        <v>4</v>
      </c>
    </row>
    <row r="38" customFormat="false" ht="43.5" hidden="false" customHeight="true" outlineLevel="0" collapsed="false">
      <c r="A38" s="2" t="s">
        <v>55</v>
      </c>
      <c r="B38" s="2"/>
      <c r="C38" s="2"/>
      <c r="D38" s="2"/>
      <c r="E38" s="2"/>
      <c r="F38" s="2"/>
      <c r="G38" s="2"/>
      <c r="H38" s="2"/>
      <c r="I38" s="2"/>
      <c r="J38" s="2"/>
      <c r="K38" s="2"/>
      <c r="L38" s="2"/>
      <c r="M38" s="2"/>
      <c r="N38" s="2"/>
      <c r="O38" s="2"/>
    </row>
  </sheetData>
  <mergeCells count="3">
    <mergeCell ref="A2:O2"/>
    <mergeCell ref="A3:O3"/>
    <mergeCell ref="A38:O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1"/>
    <col collapsed="false" customWidth="true" hidden="false" outlineLevel="0" max="4" min="4" style="0" width="12"/>
    <col collapsed="false" customWidth="true" hidden="false" outlineLevel="0" max="5" min="5" style="0" width="9"/>
    <col collapsed="false" customWidth="true" hidden="false" outlineLevel="0" max="6" min="6" style="0" width="11"/>
    <col collapsed="false" customWidth="true" hidden="false" outlineLevel="0" max="9" min="7" style="0" width="12"/>
    <col collapsed="false" customWidth="true" hidden="false" outlineLevel="0" max="10" min="10" style="0" width="14"/>
    <col collapsed="false" customWidth="true" hidden="false" outlineLevel="0" max="11" min="11" style="0" width="11"/>
    <col collapsed="false" customWidth="true" hidden="false" outlineLevel="0" max="12" min="12" style="0" width="14"/>
    <col collapsed="false" customWidth="true" hidden="false" outlineLevel="0" max="13" min="13" style="0" width="16"/>
    <col collapsed="false" customWidth="true" hidden="false" outlineLevel="0" max="14" min="14" style="0" width="12"/>
    <col collapsed="false" customWidth="true" hidden="false" outlineLevel="0" max="15" min="15" style="0" width="60"/>
    <col collapsed="false" customWidth="true" hidden="false" outlineLevel="0" max="16" min="16" style="0" width="14"/>
  </cols>
  <sheetData>
    <row r="1" customFormat="false" ht="15" hidden="false" customHeight="false" outlineLevel="0" collapsed="false">
      <c r="A1" s="1" t="s">
        <v>56</v>
      </c>
    </row>
    <row r="2" customFormat="false" ht="43.5" hidden="false" customHeight="true" outlineLevel="0" collapsed="false">
      <c r="A2" s="2" t="s">
        <v>57</v>
      </c>
      <c r="B2" s="2"/>
      <c r="C2" s="2"/>
      <c r="D2" s="2"/>
      <c r="E2" s="2"/>
      <c r="F2" s="2"/>
      <c r="G2" s="2"/>
      <c r="H2" s="2"/>
      <c r="I2" s="2"/>
      <c r="J2" s="2"/>
      <c r="K2" s="2"/>
      <c r="L2" s="2"/>
      <c r="M2" s="2"/>
      <c r="N2" s="2"/>
      <c r="O2" s="2"/>
      <c r="P2" s="2"/>
    </row>
    <row r="3" customFormat="false" ht="30" hidden="false" customHeight="true" outlineLevel="0" collapsed="false">
      <c r="A3" s="2" t="s">
        <v>58</v>
      </c>
      <c r="B3" s="2"/>
      <c r="C3" s="2"/>
      <c r="D3" s="2"/>
      <c r="E3" s="2"/>
      <c r="F3" s="2"/>
      <c r="G3" s="2"/>
      <c r="H3" s="2"/>
      <c r="I3" s="2"/>
      <c r="J3" s="2"/>
      <c r="K3" s="2"/>
      <c r="L3" s="2"/>
      <c r="M3" s="2"/>
      <c r="N3" s="2"/>
      <c r="O3" s="2"/>
      <c r="P3" s="2"/>
    </row>
    <row r="5" customFormat="false" ht="79.5" hidden="false" customHeight="true" outlineLevel="0" collapsed="false">
      <c r="A5" s="3" t="s">
        <v>3</v>
      </c>
      <c r="B5" s="3" t="s">
        <v>4</v>
      </c>
      <c r="C5" s="3" t="s">
        <v>5</v>
      </c>
      <c r="D5" s="3" t="s">
        <v>6</v>
      </c>
      <c r="E5" s="3" t="s">
        <v>7</v>
      </c>
      <c r="F5" s="3" t="s">
        <v>8</v>
      </c>
      <c r="G5" s="3" t="s">
        <v>9</v>
      </c>
      <c r="H5" s="3" t="s">
        <v>10</v>
      </c>
      <c r="I5" s="3" t="s">
        <v>59</v>
      </c>
      <c r="J5" s="3" t="s">
        <v>12</v>
      </c>
      <c r="K5" s="3" t="s">
        <v>13</v>
      </c>
      <c r="L5" s="3" t="s">
        <v>14</v>
      </c>
      <c r="M5" s="3" t="s">
        <v>15</v>
      </c>
      <c r="N5" s="3" t="s">
        <v>16</v>
      </c>
      <c r="O5" s="3" t="s">
        <v>17</v>
      </c>
      <c r="P5" s="3" t="s">
        <v>60</v>
      </c>
    </row>
    <row r="6" customFormat="false" ht="57.75" hidden="false" customHeight="true" outlineLevel="0" collapsed="false">
      <c r="A6" s="4" t="s">
        <v>61</v>
      </c>
      <c r="B6" s="4" t="s">
        <v>19</v>
      </c>
      <c r="C6" s="5" t="n">
        <v>-0.211</v>
      </c>
      <c r="D6" s="5" t="n">
        <v>0.062</v>
      </c>
      <c r="E6" s="6" t="n">
        <f aca="false">C6/D6</f>
        <v>-3.40322580645161</v>
      </c>
      <c r="F6" s="5" t="n">
        <v>-0.253</v>
      </c>
      <c r="G6" s="5" t="n">
        <v>0.057</v>
      </c>
      <c r="H6" s="5" t="n">
        <v>0</v>
      </c>
      <c r="I6" s="5" t="n">
        <v>0.001</v>
      </c>
      <c r="J6" s="5" t="n">
        <v>0.161</v>
      </c>
      <c r="K6" s="6" t="s">
        <v>27</v>
      </c>
      <c r="L6" s="7" t="s">
        <v>20</v>
      </c>
      <c r="M6" s="5" t="s">
        <v>27</v>
      </c>
      <c r="N6" s="7" t="str">
        <f aca="false">IF(AND(I6&lt;=0.05,ABS(E6)&gt;=1.96,J6&gt;=0.05,L6="yes"),"Robust",IF(AND(H6&gt;0.1,ABS(E6)&lt;1.96),"Null","Fragile"))</f>
        <v>Robust</v>
      </c>
      <c r="O6" s="4" t="s">
        <v>62</v>
      </c>
      <c r="P6" s="5" t="n">
        <v>0.001</v>
      </c>
    </row>
    <row r="7" customFormat="false" ht="30.75" hidden="false" customHeight="true" outlineLevel="0" collapsed="false">
      <c r="A7" s="4" t="s">
        <v>63</v>
      </c>
      <c r="B7" s="4" t="s">
        <v>19</v>
      </c>
      <c r="C7" s="5" t="n">
        <v>-0.003</v>
      </c>
      <c r="D7" s="5" t="n">
        <v>0.052</v>
      </c>
      <c r="E7" s="6" t="n">
        <f aca="false">C7/D7</f>
        <v>-0.0576923076923077</v>
      </c>
      <c r="F7" s="5" t="n">
        <v>-0.007</v>
      </c>
      <c r="G7" s="5" t="n">
        <v>0.045</v>
      </c>
      <c r="H7" s="5" t="n">
        <v>0.878</v>
      </c>
      <c r="I7" s="5" t="n">
        <v>1</v>
      </c>
      <c r="J7" s="5" t="n">
        <v>0</v>
      </c>
      <c r="K7" s="6" t="s">
        <v>27</v>
      </c>
      <c r="L7" s="7" t="s">
        <v>20</v>
      </c>
      <c r="M7" s="5" t="n">
        <v>0.137</v>
      </c>
      <c r="N7" s="7" t="str">
        <f aca="false">IF(AND(I7&lt;=0.05,ABS(E7)&gt;=1.96,J7&gt;=0.05,L7="yes"),"Robust",IF(AND(H7&gt;0.1,ABS(E7)&lt;1.96),"Null","Fragile"))</f>
        <v>Null</v>
      </c>
      <c r="O7" s="4" t="s">
        <v>64</v>
      </c>
      <c r="P7" s="5" t="n">
        <v>1</v>
      </c>
    </row>
    <row r="8" customFormat="false" ht="57.75" hidden="false" customHeight="true" outlineLevel="0" collapsed="false">
      <c r="A8" s="4" t="s">
        <v>65</v>
      </c>
      <c r="B8" s="4" t="s">
        <v>19</v>
      </c>
      <c r="C8" s="5" t="n">
        <v>-0.146</v>
      </c>
      <c r="D8" s="5" t="n">
        <v>0.088</v>
      </c>
      <c r="E8" s="6" t="n">
        <f aca="false">C8/D8</f>
        <v>-1.65909090909091</v>
      </c>
      <c r="F8" s="5" t="n">
        <v>-0.084</v>
      </c>
      <c r="G8" s="5" t="n">
        <v>0.067</v>
      </c>
      <c r="H8" s="5" t="n">
        <v>0.21</v>
      </c>
      <c r="I8" s="5" t="n">
        <v>0.697</v>
      </c>
      <c r="J8" s="5" t="n">
        <v>0</v>
      </c>
      <c r="K8" s="6" t="s">
        <v>27</v>
      </c>
      <c r="L8" s="7" t="s">
        <v>20</v>
      </c>
      <c r="M8" s="5" t="s">
        <v>27</v>
      </c>
      <c r="N8" s="7" t="str">
        <f aca="false">IF(AND(I8&lt;=0.05,ABS(E8)&gt;=1.96,J8&gt;=0.05,L8="yes"),"Robust",IF(AND(H8&gt;0.1,ABS(E8)&lt;1.96),"Null","Fragile"))</f>
        <v>Null</v>
      </c>
      <c r="O8" s="4" t="s">
        <v>66</v>
      </c>
      <c r="P8" s="5" t="n">
        <v>0.841</v>
      </c>
    </row>
    <row r="9" customFormat="false" ht="84.75" hidden="false" customHeight="true" outlineLevel="0" collapsed="false">
      <c r="A9" s="4" t="s">
        <v>67</v>
      </c>
      <c r="B9" s="4" t="s">
        <v>68</v>
      </c>
      <c r="C9" s="5" t="n">
        <v>-0.265</v>
      </c>
      <c r="D9" s="5" t="n">
        <v>0.733</v>
      </c>
      <c r="E9" s="6" t="n">
        <f aca="false">C9/D9</f>
        <v>-0.361527967257845</v>
      </c>
      <c r="F9" s="5" t="n">
        <v>-0.834</v>
      </c>
      <c r="G9" s="5" t="n">
        <v>0.476</v>
      </c>
      <c r="H9" s="5" t="n">
        <v>0.08</v>
      </c>
      <c r="I9" s="5" t="n">
        <v>0.488</v>
      </c>
      <c r="J9" s="5" t="n">
        <v>0</v>
      </c>
      <c r="K9" s="6" t="n">
        <v>5.88</v>
      </c>
      <c r="L9" s="7" t="s">
        <v>20</v>
      </c>
      <c r="M9" s="5" t="n">
        <v>1.371</v>
      </c>
      <c r="N9" s="7" t="str">
        <f aca="false">IF(AND(I9&lt;=0.05,ABS(E9)&gt;=1.96,J9&gt;=0.05,L9="yes"),"Robust",IF(AND(H9&gt;0.1,ABS(E9)&lt;1.96),"Null","Fragile"))</f>
        <v>Fragile</v>
      </c>
      <c r="O9" s="4" t="s">
        <v>69</v>
      </c>
      <c r="P9" s="5" t="n">
        <v>0.635</v>
      </c>
    </row>
    <row r="10" customFormat="false" ht="57.75" hidden="false" customHeight="true" outlineLevel="0" collapsed="false">
      <c r="A10" s="4" t="s">
        <v>33</v>
      </c>
      <c r="B10" s="4" t="s">
        <v>19</v>
      </c>
      <c r="C10" s="5" t="n">
        <v>0.145</v>
      </c>
      <c r="D10" s="5" t="n">
        <v>0.1</v>
      </c>
      <c r="E10" s="6" t="n">
        <f aca="false">C10/D10</f>
        <v>1.45</v>
      </c>
      <c r="F10" s="5" t="n">
        <v>0.074</v>
      </c>
      <c r="G10" s="5" t="n">
        <v>0.071</v>
      </c>
      <c r="H10" s="5" t="n">
        <v>0.3</v>
      </c>
      <c r="I10" s="5" t="n">
        <v>0.852</v>
      </c>
      <c r="J10" s="5" t="n">
        <v>0</v>
      </c>
      <c r="K10" s="6" t="s">
        <v>27</v>
      </c>
      <c r="L10" s="7" t="s">
        <v>20</v>
      </c>
      <c r="M10" s="5" t="n">
        <v>0.225</v>
      </c>
      <c r="N10" s="7" t="str">
        <f aca="false">IF(AND(I10&lt;=0.05,ABS(E10)&gt;=1.96,J10&gt;=0.05,L10="yes"),"Robust",IF(AND(H10&gt;0.1,ABS(E10)&lt;1.96),"Null","Fragile"))</f>
        <v>Null</v>
      </c>
      <c r="O10" s="4" t="s">
        <v>70</v>
      </c>
      <c r="P10" s="5" t="n">
        <v>0.871</v>
      </c>
    </row>
    <row r="11" customFormat="false" ht="71.25" hidden="false" customHeight="true" outlineLevel="0" collapsed="false">
      <c r="A11" s="4" t="s">
        <v>71</v>
      </c>
      <c r="B11" s="4" t="s">
        <v>19</v>
      </c>
      <c r="C11" s="5" t="n">
        <v>0.172</v>
      </c>
      <c r="D11" s="5" t="n">
        <v>0.113</v>
      </c>
      <c r="E11" s="6" t="n">
        <f aca="false">C11/D11</f>
        <v>1.52212389380531</v>
      </c>
      <c r="F11" s="5" t="n">
        <v>0.138</v>
      </c>
      <c r="G11" s="5" t="n">
        <v>0.073</v>
      </c>
      <c r="H11" s="5" t="n">
        <v>0.058</v>
      </c>
      <c r="I11" s="5" t="n">
        <v>0.379</v>
      </c>
      <c r="J11" s="5" t="n">
        <v>0</v>
      </c>
      <c r="K11" s="6" t="s">
        <v>27</v>
      </c>
      <c r="L11" s="7" t="s">
        <v>20</v>
      </c>
      <c r="M11" s="5" t="n">
        <v>0.221</v>
      </c>
      <c r="N11" s="7" t="str">
        <f aca="false">IF(AND(I11&lt;=0.05,ABS(E11)&gt;=1.96,J11&gt;=0.05,L11="yes"),"Robust",IF(AND(H11&gt;0.1,ABS(E11)&lt;1.96),"Null","Fragile"))</f>
        <v>Fragile</v>
      </c>
      <c r="O11" s="4" t="s">
        <v>72</v>
      </c>
      <c r="P11" s="5" t="n">
        <v>0.515</v>
      </c>
    </row>
    <row r="12" customFormat="false" ht="71.25" hidden="false" customHeight="true" outlineLevel="0" collapsed="false">
      <c r="A12" s="4" t="s">
        <v>73</v>
      </c>
      <c r="B12" s="4" t="s">
        <v>19</v>
      </c>
      <c r="C12" s="5" t="n">
        <v>-0.088</v>
      </c>
      <c r="D12" s="5" t="n">
        <v>0.093</v>
      </c>
      <c r="E12" s="6" t="n">
        <f aca="false">C12/D12</f>
        <v>-0.946236559139785</v>
      </c>
      <c r="F12" s="5" t="n">
        <v>-0.141</v>
      </c>
      <c r="G12" s="5" t="n">
        <v>0.056</v>
      </c>
      <c r="H12" s="5" t="n">
        <v>0.012</v>
      </c>
      <c r="I12" s="5" t="n">
        <v>0.135</v>
      </c>
      <c r="J12" s="5" t="n">
        <v>0.011</v>
      </c>
      <c r="K12" s="6" t="s">
        <v>27</v>
      </c>
      <c r="L12" s="7" t="s">
        <v>20</v>
      </c>
      <c r="M12" s="5" t="n">
        <v>0.191</v>
      </c>
      <c r="N12" s="7" t="str">
        <f aca="false">IF(AND(I12&lt;=0.05,ABS(E12)&gt;=1.96,J12&gt;=0.05,L12="yes"),"Robust",IF(AND(H12&gt;0.1,ABS(E12)&lt;1.96),"Null","Fragile"))</f>
        <v>Fragile</v>
      </c>
      <c r="O12" s="4" t="s">
        <v>74</v>
      </c>
      <c r="P12" s="5" t="n">
        <v>0.181</v>
      </c>
    </row>
    <row r="13" customFormat="false" ht="30.75" hidden="false" customHeight="true" outlineLevel="0" collapsed="false">
      <c r="A13" s="4" t="s">
        <v>75</v>
      </c>
      <c r="B13" s="4" t="s">
        <v>19</v>
      </c>
      <c r="C13" s="5" t="n">
        <v>0.016</v>
      </c>
      <c r="D13" s="5" t="n">
        <v>0.101</v>
      </c>
      <c r="E13" s="6" t="n">
        <f aca="false">C13/D13</f>
        <v>0.158415841584158</v>
      </c>
      <c r="F13" s="5" t="n">
        <v>-0.01</v>
      </c>
      <c r="G13" s="5" t="n">
        <v>0.074</v>
      </c>
      <c r="H13" s="5" t="n">
        <v>0.891</v>
      </c>
      <c r="I13" s="5" t="n">
        <v>1</v>
      </c>
      <c r="J13" s="5" t="n">
        <v>0</v>
      </c>
      <c r="K13" s="6" t="s">
        <v>27</v>
      </c>
      <c r="L13" s="7" t="s">
        <v>36</v>
      </c>
      <c r="M13" s="5" t="n">
        <v>0.211</v>
      </c>
      <c r="N13" s="7" t="str">
        <f aca="false">IF(AND(I13&lt;=0.05,ABS(E13)&gt;=1.96,J13&gt;=0.05,L13="yes"),"Robust",IF(AND(H13&gt;0.1,ABS(E13)&lt;1.96),"Null","Fragile"))</f>
        <v>Null</v>
      </c>
      <c r="O13" s="4" t="s">
        <v>76</v>
      </c>
      <c r="P13" s="5" t="n">
        <v>1</v>
      </c>
    </row>
    <row r="14" customFormat="false" ht="71.25" hidden="false" customHeight="true" outlineLevel="0" collapsed="false">
      <c r="A14" s="4" t="s">
        <v>77</v>
      </c>
      <c r="B14" s="4" t="s">
        <v>19</v>
      </c>
      <c r="C14" s="5" t="n">
        <v>-0.188</v>
      </c>
      <c r="D14" s="5" t="n">
        <v>0.111</v>
      </c>
      <c r="E14" s="6" t="n">
        <f aca="false">C14/D14</f>
        <v>-1.69369369369369</v>
      </c>
      <c r="F14" s="5" t="n">
        <v>-0.21</v>
      </c>
      <c r="G14" s="5" t="n">
        <v>0.083</v>
      </c>
      <c r="H14" s="5" t="n">
        <v>0.012</v>
      </c>
      <c r="I14" s="5" t="n">
        <v>0.135</v>
      </c>
      <c r="J14" s="5" t="n">
        <v>0.044</v>
      </c>
      <c r="K14" s="6" t="s">
        <v>27</v>
      </c>
      <c r="L14" s="7" t="s">
        <v>20</v>
      </c>
      <c r="M14" s="5" t="n">
        <v>0.231</v>
      </c>
      <c r="N14" s="7" t="str">
        <f aca="false">IF(AND(I14&lt;=0.05,ABS(E14)&gt;=1.96,J14&gt;=0.05,L14="yes"),"Robust",IF(AND(H14&gt;0.1,ABS(E14)&lt;1.96),"Null","Fragile"))</f>
        <v>Fragile</v>
      </c>
      <c r="O14" s="4" t="s">
        <v>78</v>
      </c>
      <c r="P14" s="5" t="n">
        <v>0.181</v>
      </c>
    </row>
    <row r="15" customFormat="false" ht="57.75" hidden="false" customHeight="true" outlineLevel="0" collapsed="false">
      <c r="A15" s="4" t="s">
        <v>79</v>
      </c>
      <c r="B15" s="4" t="s">
        <v>19</v>
      </c>
      <c r="C15" s="5" t="n">
        <v>-0.218</v>
      </c>
      <c r="D15" s="5" t="n">
        <v>0.09</v>
      </c>
      <c r="E15" s="6" t="n">
        <f aca="false">C15/D15</f>
        <v>-2.42222222222222</v>
      </c>
      <c r="F15" s="5" t="n">
        <v>-0.261</v>
      </c>
      <c r="G15" s="5" t="n">
        <v>0.076</v>
      </c>
      <c r="H15" s="5" t="n">
        <v>0.001</v>
      </c>
      <c r="I15" s="5" t="n">
        <v>0.012</v>
      </c>
      <c r="J15" s="5" t="n">
        <v>0.102</v>
      </c>
      <c r="K15" s="6" t="s">
        <v>27</v>
      </c>
      <c r="L15" s="7" t="s">
        <v>20</v>
      </c>
      <c r="M15" s="5" t="n">
        <v>0.221</v>
      </c>
      <c r="N15" s="7" t="str">
        <f aca="false">IF(AND(I15&lt;=0.05,ABS(E15)&gt;=1.96,J15&gt;=0.05,L15="yes"),"Robust",IF(AND(H15&gt;0.1,ABS(E15)&lt;1.96),"Null","Fragile"))</f>
        <v>Robust</v>
      </c>
      <c r="O15" s="4" t="s">
        <v>80</v>
      </c>
      <c r="P15" s="5" t="n">
        <v>0.019</v>
      </c>
    </row>
    <row r="16" customFormat="false" ht="30.75" hidden="false" customHeight="true" outlineLevel="0" collapsed="false">
      <c r="A16" s="4" t="s">
        <v>81</v>
      </c>
      <c r="B16" s="4" t="s">
        <v>19</v>
      </c>
      <c r="C16" s="5" t="n">
        <v>0.027</v>
      </c>
      <c r="D16" s="5" t="n">
        <v>0.102</v>
      </c>
      <c r="E16" s="6" t="n">
        <f aca="false">C16/D16</f>
        <v>0.264705882352941</v>
      </c>
      <c r="F16" s="5" t="n">
        <v>0.005</v>
      </c>
      <c r="G16" s="5" t="n">
        <v>0.081</v>
      </c>
      <c r="H16" s="5" t="n">
        <v>0.95</v>
      </c>
      <c r="I16" s="5" t="n">
        <v>1</v>
      </c>
      <c r="J16" s="5" t="n">
        <v>0</v>
      </c>
      <c r="K16" s="6" t="s">
        <v>27</v>
      </c>
      <c r="L16" s="7" t="s">
        <v>36</v>
      </c>
      <c r="M16" s="5" t="n">
        <v>0.226</v>
      </c>
      <c r="N16" s="7" t="str">
        <f aca="false">IF(AND(I16&lt;=0.05,ABS(E16)&gt;=1.96,J16&gt;=0.05,L16="yes"),"Robust",IF(AND(H16&gt;0.1,ABS(E16)&lt;1.96),"Null","Fragile"))</f>
        <v>Null</v>
      </c>
      <c r="O16" s="4" t="s">
        <v>82</v>
      </c>
      <c r="P16" s="5" t="n">
        <v>1</v>
      </c>
    </row>
    <row r="17" customFormat="false" ht="30.75" hidden="false" customHeight="true" outlineLevel="0" collapsed="false">
      <c r="A17" s="4" t="s">
        <v>35</v>
      </c>
      <c r="B17" s="4" t="s">
        <v>19</v>
      </c>
      <c r="C17" s="5" t="n">
        <v>0.085</v>
      </c>
      <c r="D17" s="5" t="n">
        <v>0.123</v>
      </c>
      <c r="E17" s="6" t="n">
        <f aca="false">C17/D17</f>
        <v>0.691056910569106</v>
      </c>
      <c r="F17" s="5" t="n">
        <v>-0.008</v>
      </c>
      <c r="G17" s="5" t="n">
        <v>0.079</v>
      </c>
      <c r="H17" s="5" t="n">
        <v>0.924</v>
      </c>
      <c r="I17" s="5" t="n">
        <v>1</v>
      </c>
      <c r="J17" s="5" t="n">
        <v>0</v>
      </c>
      <c r="K17" s="6" t="s">
        <v>27</v>
      </c>
      <c r="L17" s="7" t="s">
        <v>36</v>
      </c>
      <c r="M17" s="5" t="n">
        <v>0.237</v>
      </c>
      <c r="N17" s="7" t="str">
        <f aca="false">IF(AND(I17&lt;=0.05,ABS(E17)&gt;=1.96,J17&gt;=0.05,L17="yes"),"Robust",IF(AND(H17&gt;0.1,ABS(E17)&lt;1.96),"Null","Fragile"))</f>
        <v>Null</v>
      </c>
      <c r="O17" s="4" t="s">
        <v>83</v>
      </c>
      <c r="P17" s="5" t="n">
        <v>1</v>
      </c>
    </row>
    <row r="18" customFormat="false" ht="44.25" hidden="false" customHeight="true" outlineLevel="0" collapsed="false">
      <c r="A18" s="4" t="s">
        <v>84</v>
      </c>
      <c r="B18" s="4" t="s">
        <v>19</v>
      </c>
      <c r="C18" s="5" t="n">
        <v>-0.104</v>
      </c>
      <c r="D18" s="5" t="n">
        <v>0.112</v>
      </c>
      <c r="E18" s="6" t="n">
        <f aca="false">C18/D18</f>
        <v>-0.928571428571429</v>
      </c>
      <c r="F18" s="5" t="n">
        <v>-0.161</v>
      </c>
      <c r="G18" s="5" t="n">
        <v>0.085</v>
      </c>
      <c r="H18" s="5" t="n">
        <v>0.057</v>
      </c>
      <c r="I18" s="5" t="n">
        <v>0.371</v>
      </c>
      <c r="J18" s="5" t="n">
        <v>0</v>
      </c>
      <c r="K18" s="6" t="s">
        <v>27</v>
      </c>
      <c r="L18" s="7" t="s">
        <v>20</v>
      </c>
      <c r="M18" s="5" t="n">
        <v>0.238</v>
      </c>
      <c r="N18" s="7" t="str">
        <f aca="false">IF(AND(I18&lt;=0.05,ABS(E18)&gt;=1.96,J18&gt;=0.05,L18="yes"),"Robust",IF(AND(H18&gt;0.1,ABS(E18)&lt;1.96),"Null","Fragile"))</f>
        <v>Fragile</v>
      </c>
      <c r="O18" s="4" t="s">
        <v>85</v>
      </c>
      <c r="P18" s="5" t="n">
        <v>0.499</v>
      </c>
    </row>
    <row r="19" customFormat="false" ht="30.75" hidden="false" customHeight="true" outlineLevel="0" collapsed="false">
      <c r="A19" s="4" t="s">
        <v>86</v>
      </c>
      <c r="B19" s="4" t="s">
        <v>19</v>
      </c>
      <c r="C19" s="5" t="n">
        <v>-0.017</v>
      </c>
      <c r="D19" s="5" t="n">
        <v>0.102</v>
      </c>
      <c r="E19" s="6" t="n">
        <f aca="false">C19/D19</f>
        <v>-0.166666666666667</v>
      </c>
      <c r="F19" s="5" t="n">
        <v>-0.105</v>
      </c>
      <c r="G19" s="5" t="n">
        <v>0.073</v>
      </c>
      <c r="H19" s="5" t="n">
        <v>0.149</v>
      </c>
      <c r="I19" s="5" t="n">
        <v>0.609</v>
      </c>
      <c r="J19" s="5" t="n">
        <v>0</v>
      </c>
      <c r="K19" s="6" t="s">
        <v>27</v>
      </c>
      <c r="L19" s="7" t="s">
        <v>20</v>
      </c>
      <c r="M19" s="5" t="n">
        <v>0.212</v>
      </c>
      <c r="N19" s="7" t="str">
        <f aca="false">IF(AND(I19&lt;=0.05,ABS(E19)&gt;=1.96,J19&gt;=0.05,L19="yes"),"Robust",IF(AND(H19&gt;0.1,ABS(E19)&lt;1.96),"Null","Fragile"))</f>
        <v>Null</v>
      </c>
      <c r="O19" s="4" t="s">
        <v>87</v>
      </c>
      <c r="P19" s="5" t="n">
        <v>0.747</v>
      </c>
    </row>
    <row r="20" customFormat="false" ht="57.75" hidden="false" customHeight="true" outlineLevel="0" collapsed="false">
      <c r="A20" s="4" t="s">
        <v>88</v>
      </c>
      <c r="B20" s="4" t="s">
        <v>19</v>
      </c>
      <c r="C20" s="5" t="n">
        <v>-0.097</v>
      </c>
      <c r="D20" s="5" t="n">
        <v>0.098</v>
      </c>
      <c r="E20" s="6" t="n">
        <f aca="false">C20/D20</f>
        <v>-0.989795918367347</v>
      </c>
      <c r="F20" s="5" t="n">
        <v>-0.157</v>
      </c>
      <c r="G20" s="5" t="n">
        <v>0.066</v>
      </c>
      <c r="H20" s="5" t="n">
        <v>0.017</v>
      </c>
      <c r="I20" s="5" t="n">
        <v>0.161</v>
      </c>
      <c r="J20" s="5" t="n">
        <v>0.021</v>
      </c>
      <c r="K20" s="6" t="s">
        <v>27</v>
      </c>
      <c r="L20" s="7" t="s">
        <v>20</v>
      </c>
      <c r="M20" s="5" t="n">
        <v>0.205</v>
      </c>
      <c r="N20" s="7" t="str">
        <f aca="false">IF(AND(I20&lt;=0.05,ABS(E20)&gt;=1.96,J20&gt;=0.05,L20="yes"),"Robust",IF(AND(H20&gt;0.1,ABS(E20)&lt;1.96),"Null","Fragile"))</f>
        <v>Fragile</v>
      </c>
      <c r="O20" s="4" t="s">
        <v>89</v>
      </c>
      <c r="P20" s="5" t="n">
        <v>0.237</v>
      </c>
    </row>
    <row r="22" customFormat="false" ht="15" hidden="false" customHeight="false" outlineLevel="0" collapsed="false">
      <c r="A22" s="8" t="s">
        <v>48</v>
      </c>
    </row>
    <row r="23" customFormat="false" ht="30.75" hidden="false" customHeight="true" outlineLevel="0" collapsed="false">
      <c r="A23" s="4" t="s">
        <v>61</v>
      </c>
      <c r="B23" s="4" t="s">
        <v>19</v>
      </c>
      <c r="C23" s="5" t="n">
        <v>-0.233</v>
      </c>
      <c r="D23" s="5" t="n">
        <v>0.055</v>
      </c>
      <c r="E23" s="6" t="n">
        <f aca="false">C23/D23</f>
        <v>-4.23636363636364</v>
      </c>
      <c r="F23" s="5" t="n">
        <v>-0.253</v>
      </c>
      <c r="G23" s="5" t="n">
        <v>0.056</v>
      </c>
      <c r="H23" s="5" t="n">
        <v>0</v>
      </c>
      <c r="I23" s="5" t="n">
        <v>0</v>
      </c>
      <c r="J23" s="5" t="n">
        <v>0.152</v>
      </c>
      <c r="K23" s="6" t="n">
        <v>-2.93</v>
      </c>
      <c r="L23" s="7" t="s">
        <v>20</v>
      </c>
      <c r="M23" s="5" t="n">
        <v>0.162</v>
      </c>
      <c r="N23" s="7" t="str">
        <f aca="false">IF(AND(I23&lt;=0.05,ABS(E23)&gt;=1.96,J23&gt;=0.05,L23="yes"),"Robust",IF(AND(H23&gt;0.1,ABS(E23)&lt;1.96),"Null","Fragile"))</f>
        <v>Robust</v>
      </c>
      <c r="O23" s="4"/>
      <c r="P23" s="5"/>
    </row>
    <row r="24" customFormat="false" ht="30.75" hidden="false" customHeight="true" outlineLevel="0" collapsed="false">
      <c r="A24" s="4" t="s">
        <v>63</v>
      </c>
      <c r="B24" s="4" t="s">
        <v>19</v>
      </c>
      <c r="C24" s="5" t="n">
        <v>-0.02</v>
      </c>
      <c r="D24" s="5" t="n">
        <v>0.052</v>
      </c>
      <c r="E24" s="6" t="n">
        <f aca="false">C24/D24</f>
        <v>-0.384615384615385</v>
      </c>
      <c r="F24" s="5" t="n">
        <v>-0.004</v>
      </c>
      <c r="G24" s="5" t="n">
        <v>0.044</v>
      </c>
      <c r="H24" s="5" t="n">
        <v>0.919</v>
      </c>
      <c r="I24" s="5" t="n">
        <v>0.996</v>
      </c>
      <c r="J24" s="5" t="n">
        <v>0</v>
      </c>
      <c r="K24" s="6" t="s">
        <v>27</v>
      </c>
      <c r="L24" s="7" t="s">
        <v>20</v>
      </c>
      <c r="M24" s="5" t="n">
        <v>0.134</v>
      </c>
      <c r="N24" s="7" t="str">
        <f aca="false">IF(AND(I24&lt;=0.05,ABS(E24)&gt;=1.96,J24&gt;=0.05,L24="yes"),"Robust",IF(AND(H24&gt;0.1,ABS(E24)&lt;1.96),"Null","Fragile"))</f>
        <v>Null</v>
      </c>
      <c r="O24" s="4"/>
      <c r="P24" s="5"/>
    </row>
    <row r="25" customFormat="false" ht="30.75" hidden="false" customHeight="true" outlineLevel="0" collapsed="false">
      <c r="A25" s="4" t="s">
        <v>65</v>
      </c>
      <c r="B25" s="4" t="s">
        <v>19</v>
      </c>
      <c r="C25" s="5" t="n">
        <v>-0.084</v>
      </c>
      <c r="D25" s="5" t="n">
        <v>0.094</v>
      </c>
      <c r="E25" s="6" t="n">
        <f aca="false">C25/D25</f>
        <v>-0.893617021276596</v>
      </c>
      <c r="F25" s="5" t="n">
        <v>-0.065</v>
      </c>
      <c r="G25" s="5" t="n">
        <v>0.063</v>
      </c>
      <c r="H25" s="5" t="n">
        <v>0.303</v>
      </c>
      <c r="I25" s="5" t="n">
        <v>0.827</v>
      </c>
      <c r="J25" s="5" t="n">
        <v>0</v>
      </c>
      <c r="K25" s="6" t="s">
        <v>27</v>
      </c>
      <c r="L25" s="7" t="s">
        <v>20</v>
      </c>
      <c r="M25" s="5" t="s">
        <v>27</v>
      </c>
      <c r="N25" s="7" t="str">
        <f aca="false">IF(AND(I25&lt;=0.05,ABS(E25)&gt;=1.96,J25&gt;=0.05,L25="yes"),"Robust",IF(AND(H25&gt;0.1,ABS(E25)&lt;1.96),"Null","Fragile"))</f>
        <v>Null</v>
      </c>
      <c r="O25" s="4"/>
      <c r="P25" s="5"/>
    </row>
    <row r="26" customFormat="false" ht="17.25" hidden="false" customHeight="true" outlineLevel="0" collapsed="false">
      <c r="A26" s="4" t="s">
        <v>67</v>
      </c>
      <c r="B26" s="4" t="s">
        <v>68</v>
      </c>
      <c r="C26" s="5" t="n">
        <v>-0.031</v>
      </c>
      <c r="D26" s="5" t="n">
        <v>0.706</v>
      </c>
      <c r="E26" s="6" t="n">
        <f aca="false">C26/D26</f>
        <v>-0.0439093484419264</v>
      </c>
      <c r="F26" s="5" t="n">
        <v>-0.889</v>
      </c>
      <c r="G26" s="5" t="n">
        <v>0.468</v>
      </c>
      <c r="H26" s="5" t="n">
        <v>0.058</v>
      </c>
      <c r="I26" s="5" t="n">
        <v>0.328</v>
      </c>
      <c r="J26" s="5" t="n">
        <v>0</v>
      </c>
      <c r="K26" s="6" t="n">
        <v>6.93</v>
      </c>
      <c r="L26" s="7" t="s">
        <v>20</v>
      </c>
      <c r="M26" s="5" t="n">
        <v>1.375</v>
      </c>
      <c r="N26" s="7" t="str">
        <f aca="false">IF(AND(I26&lt;=0.05,ABS(E26)&gt;=1.96,J26&gt;=0.05,L26="yes"),"Robust",IF(AND(H26&gt;0.1,ABS(E26)&lt;1.96),"Null","Fragile"))</f>
        <v>Fragile</v>
      </c>
      <c r="O26" s="4"/>
      <c r="P26" s="5"/>
    </row>
    <row r="27" customFormat="false" ht="30.75" hidden="false" customHeight="true" outlineLevel="0" collapsed="false">
      <c r="A27" s="4" t="s">
        <v>33</v>
      </c>
      <c r="B27" s="4" t="s">
        <v>19</v>
      </c>
      <c r="C27" s="5" t="n">
        <v>0.204</v>
      </c>
      <c r="D27" s="5" t="n">
        <v>0.1</v>
      </c>
      <c r="E27" s="6" t="n">
        <f aca="false">C27/D27</f>
        <v>2.04</v>
      </c>
      <c r="F27" s="5" t="n">
        <v>0.099</v>
      </c>
      <c r="G27" s="5" t="n">
        <v>0.072</v>
      </c>
      <c r="H27" s="5" t="n">
        <v>0.167</v>
      </c>
      <c r="I27" s="5" t="n">
        <v>0.67</v>
      </c>
      <c r="J27" s="5" t="n">
        <v>0</v>
      </c>
      <c r="K27" s="6" t="s">
        <v>27</v>
      </c>
      <c r="L27" s="7" t="s">
        <v>20</v>
      </c>
      <c r="M27" s="5" t="n">
        <v>0.232</v>
      </c>
      <c r="N27" s="7" t="str">
        <f aca="false">IF(AND(I27&lt;=0.05,ABS(E27)&gt;=1.96,J27&gt;=0.05,L27="yes"),"Robust",IF(AND(H27&gt;0.1,ABS(E27)&lt;1.96),"Null","Fragile"))</f>
        <v>Fragile</v>
      </c>
      <c r="O27" s="4"/>
      <c r="P27" s="5"/>
    </row>
    <row r="28" customFormat="false" ht="30.75" hidden="false" customHeight="true" outlineLevel="0" collapsed="false">
      <c r="A28" s="4" t="s">
        <v>71</v>
      </c>
      <c r="B28" s="4" t="s">
        <v>19</v>
      </c>
      <c r="C28" s="5" t="n">
        <v>0.224</v>
      </c>
      <c r="D28" s="5" t="n">
        <v>0.108</v>
      </c>
      <c r="E28" s="6" t="n">
        <f aca="false">C28/D28</f>
        <v>2.07407407407407</v>
      </c>
      <c r="F28" s="5" t="n">
        <v>0.154</v>
      </c>
      <c r="G28" s="5" t="n">
        <v>0.073</v>
      </c>
      <c r="H28" s="5" t="n">
        <v>0.034</v>
      </c>
      <c r="I28" s="5" t="n">
        <v>0.224</v>
      </c>
      <c r="J28" s="5" t="n">
        <v>0.005</v>
      </c>
      <c r="K28" s="6" t="s">
        <v>27</v>
      </c>
      <c r="L28" s="7" t="s">
        <v>20</v>
      </c>
      <c r="M28" s="5" t="n">
        <v>0.228</v>
      </c>
      <c r="N28" s="7" t="str">
        <f aca="false">IF(AND(I28&lt;=0.05,ABS(E28)&gt;=1.96,J28&gt;=0.05,L28="yes"),"Robust",IF(AND(H28&gt;0.1,ABS(E28)&lt;1.96),"Null","Fragile"))</f>
        <v>Fragile</v>
      </c>
      <c r="O28" s="4"/>
      <c r="P28" s="5"/>
    </row>
    <row r="29" customFormat="false" ht="30.75" hidden="false" customHeight="true" outlineLevel="0" collapsed="false">
      <c r="A29" s="4" t="s">
        <v>73</v>
      </c>
      <c r="B29" s="4" t="s">
        <v>19</v>
      </c>
      <c r="C29" s="5" t="n">
        <v>-0.065</v>
      </c>
      <c r="D29" s="5" t="n">
        <v>0.088</v>
      </c>
      <c r="E29" s="6" t="n">
        <f aca="false">C29/D29</f>
        <v>-0.738636363636364</v>
      </c>
      <c r="F29" s="5" t="n">
        <v>-0.129</v>
      </c>
      <c r="G29" s="5" t="n">
        <v>0.056</v>
      </c>
      <c r="H29" s="5" t="n">
        <v>0.021</v>
      </c>
      <c r="I29" s="5" t="n">
        <v>0.162</v>
      </c>
      <c r="J29" s="5" t="n">
        <v>0.005</v>
      </c>
      <c r="K29" s="6" t="s">
        <v>27</v>
      </c>
      <c r="L29" s="7" t="s">
        <v>20</v>
      </c>
      <c r="M29" s="5" t="n">
        <v>0.191</v>
      </c>
      <c r="N29" s="7" t="str">
        <f aca="false">IF(AND(I29&lt;=0.05,ABS(E29)&gt;=1.96,J29&gt;=0.05,L29="yes"),"Robust",IF(AND(H29&gt;0.1,ABS(E29)&lt;1.96),"Null","Fragile"))</f>
        <v>Fragile</v>
      </c>
      <c r="O29" s="4"/>
      <c r="P29" s="5"/>
    </row>
    <row r="30" customFormat="false" ht="30.75" hidden="false" customHeight="true" outlineLevel="0" collapsed="false">
      <c r="A30" s="4" t="s">
        <v>75</v>
      </c>
      <c r="B30" s="4" t="s">
        <v>19</v>
      </c>
      <c r="C30" s="5" t="n">
        <v>0.062</v>
      </c>
      <c r="D30" s="5" t="n">
        <v>0.093</v>
      </c>
      <c r="E30" s="6" t="n">
        <f aca="false">C30/D30</f>
        <v>0.666666666666667</v>
      </c>
      <c r="F30" s="5" t="n">
        <v>0.013</v>
      </c>
      <c r="G30" s="5" t="n">
        <v>0.069</v>
      </c>
      <c r="H30" s="5" t="n">
        <v>0.855</v>
      </c>
      <c r="I30" s="5" t="n">
        <v>0.996</v>
      </c>
      <c r="J30" s="5" t="n">
        <v>0</v>
      </c>
      <c r="K30" s="6" t="s">
        <v>27</v>
      </c>
      <c r="L30" s="7" t="s">
        <v>36</v>
      </c>
      <c r="M30" s="5" t="n">
        <v>0.214</v>
      </c>
      <c r="N30" s="7" t="str">
        <f aca="false">IF(AND(I30&lt;=0.05,ABS(E30)&gt;=1.96,J30&gt;=0.05,L30="yes"),"Robust",IF(AND(H30&gt;0.1,ABS(E30)&lt;1.96),"Null","Fragile"))</f>
        <v>Null</v>
      </c>
      <c r="O30" s="4"/>
      <c r="P30" s="5"/>
    </row>
    <row r="31" customFormat="false" ht="30.75" hidden="false" customHeight="true" outlineLevel="0" collapsed="false">
      <c r="A31" s="4" t="s">
        <v>77</v>
      </c>
      <c r="B31" s="4" t="s">
        <v>19</v>
      </c>
      <c r="C31" s="5" t="n">
        <v>-0.213</v>
      </c>
      <c r="D31" s="5" t="n">
        <v>0.106</v>
      </c>
      <c r="E31" s="6" t="n">
        <f aca="false">C31/D31</f>
        <v>-2.00943396226415</v>
      </c>
      <c r="F31" s="5" t="n">
        <v>-0.23</v>
      </c>
      <c r="G31" s="5" t="n">
        <v>0.08</v>
      </c>
      <c r="H31" s="5" t="n">
        <v>0.004</v>
      </c>
      <c r="I31" s="5" t="n">
        <v>0.056</v>
      </c>
      <c r="J31" s="5" t="n">
        <v>0.067</v>
      </c>
      <c r="K31" s="6" t="s">
        <v>27</v>
      </c>
      <c r="L31" s="7" t="s">
        <v>20</v>
      </c>
      <c r="M31" s="5" t="n">
        <v>0.231</v>
      </c>
      <c r="N31" s="7" t="str">
        <f aca="false">IF(AND(I31&lt;=0.05,ABS(E31)&gt;=1.96,J31&gt;=0.05,L31="yes"),"Robust",IF(AND(H31&gt;0.1,ABS(E31)&lt;1.96),"Null","Fragile"))</f>
        <v>Fragile</v>
      </c>
      <c r="O31" s="4"/>
      <c r="P31" s="5"/>
    </row>
    <row r="32" customFormat="false" ht="30.75" hidden="false" customHeight="true" outlineLevel="0" collapsed="false">
      <c r="A32" s="4" t="s">
        <v>79</v>
      </c>
      <c r="B32" s="4" t="s">
        <v>19</v>
      </c>
      <c r="C32" s="5" t="n">
        <v>-0.193</v>
      </c>
      <c r="D32" s="5" t="n">
        <v>0.088</v>
      </c>
      <c r="E32" s="6" t="n">
        <f aca="false">C32/D32</f>
        <v>-2.19318181818182</v>
      </c>
      <c r="F32" s="5" t="n">
        <v>-0.294</v>
      </c>
      <c r="G32" s="5" t="n">
        <v>0.074</v>
      </c>
      <c r="H32" s="5" t="n">
        <v>0</v>
      </c>
      <c r="I32" s="5" t="n">
        <v>0.002</v>
      </c>
      <c r="J32" s="5" t="n">
        <v>0.13</v>
      </c>
      <c r="K32" s="6" t="s">
        <v>27</v>
      </c>
      <c r="L32" s="7" t="s">
        <v>20</v>
      </c>
      <c r="M32" s="5" t="n">
        <v>0.22</v>
      </c>
      <c r="N32" s="7" t="str">
        <f aca="false">IF(AND(I32&lt;=0.05,ABS(E32)&gt;=1.96,J32&gt;=0.05,L32="yes"),"Robust",IF(AND(H32&gt;0.1,ABS(E32)&lt;1.96),"Null","Fragile"))</f>
        <v>Robust</v>
      </c>
      <c r="O32" s="4"/>
      <c r="P32" s="5"/>
    </row>
    <row r="33" customFormat="false" ht="30.75" hidden="false" customHeight="true" outlineLevel="0" collapsed="false">
      <c r="A33" s="4" t="s">
        <v>81</v>
      </c>
      <c r="B33" s="4" t="s">
        <v>19</v>
      </c>
      <c r="C33" s="5" t="n">
        <v>0.085</v>
      </c>
      <c r="D33" s="5" t="n">
        <v>0.098</v>
      </c>
      <c r="E33" s="6" t="n">
        <f aca="false">C33/D33</f>
        <v>0.86734693877551</v>
      </c>
      <c r="F33" s="5" t="n">
        <v>0.017</v>
      </c>
      <c r="G33" s="5" t="n">
        <v>0.076</v>
      </c>
      <c r="H33" s="5" t="n">
        <v>0.821</v>
      </c>
      <c r="I33" s="5" t="n">
        <v>0.996</v>
      </c>
      <c r="J33" s="5" t="n">
        <v>0</v>
      </c>
      <c r="K33" s="6" t="s">
        <v>27</v>
      </c>
      <c r="L33" s="7" t="s">
        <v>36</v>
      </c>
      <c r="M33" s="5" t="n">
        <v>0.226</v>
      </c>
      <c r="N33" s="7" t="str">
        <f aca="false">IF(AND(I33&lt;=0.05,ABS(E33)&gt;=1.96,J33&gt;=0.05,L33="yes"),"Robust",IF(AND(H33&gt;0.1,ABS(E33)&lt;1.96),"Null","Fragile"))</f>
        <v>Null</v>
      </c>
      <c r="O33" s="4"/>
      <c r="P33" s="5"/>
    </row>
    <row r="34" customFormat="false" ht="30.75" hidden="false" customHeight="true" outlineLevel="0" collapsed="false">
      <c r="A34" s="4" t="s">
        <v>35</v>
      </c>
      <c r="B34" s="4" t="s">
        <v>19</v>
      </c>
      <c r="C34" s="5" t="n">
        <v>0.077</v>
      </c>
      <c r="D34" s="5" t="n">
        <v>0.125</v>
      </c>
      <c r="E34" s="6" t="n">
        <f aca="false">C34/D34</f>
        <v>0.616</v>
      </c>
      <c r="F34" s="5" t="n">
        <v>-0.02</v>
      </c>
      <c r="G34" s="5" t="n">
        <v>0.079</v>
      </c>
      <c r="H34" s="5" t="n">
        <v>0.8</v>
      </c>
      <c r="I34" s="5" t="n">
        <v>0.996</v>
      </c>
      <c r="J34" s="5" t="n">
        <v>0</v>
      </c>
      <c r="K34" s="6" t="s">
        <v>27</v>
      </c>
      <c r="L34" s="7" t="s">
        <v>36</v>
      </c>
      <c r="M34" s="5" t="n">
        <v>0.24</v>
      </c>
      <c r="N34" s="7" t="str">
        <f aca="false">IF(AND(I34&lt;=0.05,ABS(E34)&gt;=1.96,J34&gt;=0.05,L34="yes"),"Robust",IF(AND(H34&gt;0.1,ABS(E34)&lt;1.96),"Null","Fragile"))</f>
        <v>Null</v>
      </c>
      <c r="O34" s="4"/>
      <c r="P34" s="5"/>
    </row>
    <row r="35" customFormat="false" ht="30.75" hidden="false" customHeight="true" outlineLevel="0" collapsed="false">
      <c r="A35" s="4" t="s">
        <v>84</v>
      </c>
      <c r="B35" s="4" t="s">
        <v>19</v>
      </c>
      <c r="C35" s="5" t="n">
        <v>-0.09</v>
      </c>
      <c r="D35" s="5" t="n">
        <v>0.107</v>
      </c>
      <c r="E35" s="6" t="n">
        <f aca="false">C35/D35</f>
        <v>-0.841121495327103</v>
      </c>
      <c r="F35" s="5" t="n">
        <v>-0.195</v>
      </c>
      <c r="G35" s="5" t="n">
        <v>0.081</v>
      </c>
      <c r="H35" s="5" t="n">
        <v>0.016</v>
      </c>
      <c r="I35" s="5" t="n">
        <v>0.155</v>
      </c>
      <c r="J35" s="5" t="n">
        <v>0.031</v>
      </c>
      <c r="K35" s="6" t="s">
        <v>27</v>
      </c>
      <c r="L35" s="7" t="s">
        <v>20</v>
      </c>
      <c r="M35" s="5" t="n">
        <v>0.24</v>
      </c>
      <c r="N35" s="7" t="str">
        <f aca="false">IF(AND(I35&lt;=0.05,ABS(E35)&gt;=1.96,J35&gt;=0.05,L35="yes"),"Robust",IF(AND(H35&gt;0.1,ABS(E35)&lt;1.96),"Null","Fragile"))</f>
        <v>Fragile</v>
      </c>
      <c r="O35" s="4"/>
      <c r="P35" s="5"/>
    </row>
    <row r="36" customFormat="false" ht="30.75" hidden="false" customHeight="true" outlineLevel="0" collapsed="false">
      <c r="A36" s="4" t="s">
        <v>86</v>
      </c>
      <c r="B36" s="4" t="s">
        <v>19</v>
      </c>
      <c r="C36" s="5" t="n">
        <v>-0.045</v>
      </c>
      <c r="D36" s="5" t="n">
        <v>0.101</v>
      </c>
      <c r="E36" s="6" t="n">
        <f aca="false">C36/D36</f>
        <v>-0.445544554455446</v>
      </c>
      <c r="F36" s="5" t="n">
        <v>-0.151</v>
      </c>
      <c r="G36" s="5" t="n">
        <v>0.069</v>
      </c>
      <c r="H36" s="5" t="n">
        <v>0.03</v>
      </c>
      <c r="I36" s="5" t="n">
        <v>0.178</v>
      </c>
      <c r="J36" s="5" t="n">
        <v>0.005</v>
      </c>
      <c r="K36" s="6" t="s">
        <v>27</v>
      </c>
      <c r="L36" s="7" t="s">
        <v>20</v>
      </c>
      <c r="M36" s="5" t="n">
        <v>0.221</v>
      </c>
      <c r="N36" s="7" t="str">
        <f aca="false">IF(AND(I36&lt;=0.05,ABS(E36)&gt;=1.96,J36&gt;=0.05,L36="yes"),"Robust",IF(AND(H36&gt;0.1,ABS(E36)&lt;1.96),"Null","Fragile"))</f>
        <v>Fragile</v>
      </c>
      <c r="O36" s="4"/>
      <c r="P36" s="5"/>
    </row>
    <row r="37" customFormat="false" ht="30.75" hidden="false" customHeight="true" outlineLevel="0" collapsed="false">
      <c r="A37" s="4" t="s">
        <v>88</v>
      </c>
      <c r="B37" s="4" t="s">
        <v>19</v>
      </c>
      <c r="C37" s="5" t="n">
        <v>-0.077</v>
      </c>
      <c r="D37" s="5" t="n">
        <v>0.088</v>
      </c>
      <c r="E37" s="6" t="n">
        <f aca="false">C37/D37</f>
        <v>-0.875</v>
      </c>
      <c r="F37" s="5" t="n">
        <v>-0.152</v>
      </c>
      <c r="G37" s="5" t="n">
        <v>0.063</v>
      </c>
      <c r="H37" s="5" t="n">
        <v>0.015</v>
      </c>
      <c r="I37" s="5" t="n">
        <v>0.155</v>
      </c>
      <c r="J37" s="5" t="n">
        <v>0.022</v>
      </c>
      <c r="K37" s="6" t="s">
        <v>27</v>
      </c>
      <c r="L37" s="7" t="s">
        <v>20</v>
      </c>
      <c r="M37" s="5" t="n">
        <v>0.206</v>
      </c>
      <c r="N37" s="7" t="str">
        <f aca="false">IF(AND(I37&lt;=0.05,ABS(E37)&gt;=1.96,J37&gt;=0.05,L37="yes"),"Robust",IF(AND(H37&gt;0.1,ABS(E37)&lt;1.96),"Null","Fragile"))</f>
        <v>Fragile</v>
      </c>
      <c r="O37" s="4"/>
      <c r="P37" s="5"/>
    </row>
    <row r="39" customFormat="false" ht="15" hidden="false" customHeight="false" outlineLevel="0" collapsed="false">
      <c r="A39" s="8" t="s">
        <v>49</v>
      </c>
      <c r="B39" s="8" t="s">
        <v>50</v>
      </c>
      <c r="C39" s="8" t="s">
        <v>51</v>
      </c>
    </row>
    <row r="40" customFormat="false" ht="15" hidden="false" customHeight="false" outlineLevel="0" collapsed="false">
      <c r="A40" s="9" t="s">
        <v>52</v>
      </c>
      <c r="B40" s="9" t="n">
        <f aca="false">COUNTIF(N6:N20,"Robust")</f>
        <v>2</v>
      </c>
      <c r="C40" s="9" t="n">
        <f aca="false">COUNTIF(N23:N37,"Robust")</f>
        <v>2</v>
      </c>
    </row>
    <row r="41" customFormat="false" ht="15" hidden="false" customHeight="false" outlineLevel="0" collapsed="false">
      <c r="A41" s="9" t="s">
        <v>53</v>
      </c>
      <c r="B41" s="9" t="n">
        <f aca="false">COUNTIF(N6:N20,"Fragile")</f>
        <v>6</v>
      </c>
      <c r="C41" s="9" t="n">
        <f aca="false">COUNTIF(N23:N37,"Fragile")</f>
        <v>8</v>
      </c>
    </row>
    <row r="42" customFormat="false" ht="15" hidden="false" customHeight="false" outlineLevel="0" collapsed="false">
      <c r="A42" s="9" t="s">
        <v>54</v>
      </c>
      <c r="B42" s="9" t="n">
        <f aca="false">COUNTIF(N6:N20,"Null")</f>
        <v>7</v>
      </c>
      <c r="C42" s="9" t="n">
        <f aca="false">COUNTIF(N23:N37,"Null")</f>
        <v>5</v>
      </c>
    </row>
    <row r="44" customFormat="false" ht="57" hidden="false" customHeight="true" outlineLevel="0" collapsed="false">
      <c r="A44" s="2" t="s">
        <v>90</v>
      </c>
      <c r="B44" s="2"/>
      <c r="C44" s="2"/>
      <c r="D44" s="2"/>
      <c r="E44" s="2"/>
      <c r="F44" s="2"/>
      <c r="G44" s="2"/>
      <c r="H44" s="2"/>
      <c r="I44" s="2"/>
      <c r="J44" s="2"/>
      <c r="K44" s="2"/>
      <c r="L44" s="2"/>
      <c r="M44" s="2"/>
      <c r="N44" s="2"/>
      <c r="O44" s="2"/>
      <c r="P44" s="2"/>
    </row>
  </sheetData>
  <mergeCells count="3">
    <mergeCell ref="A2:P2"/>
    <mergeCell ref="A3:P3"/>
    <mergeCell ref="A44:P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1"/>
    <col collapsed="false" customWidth="true" hidden="false" outlineLevel="0" max="4" min="4" style="0" width="12"/>
    <col collapsed="false" customWidth="true" hidden="false" outlineLevel="0" max="6" min="5" style="0" width="11"/>
    <col collapsed="false" customWidth="true" hidden="false" outlineLevel="0" max="9" min="7" style="0" width="12"/>
    <col collapsed="false" customWidth="true" hidden="false" outlineLevel="0" max="10" min="10" style="0" width="14"/>
    <col collapsed="false" customWidth="true" hidden="false" outlineLevel="0" max="11" min="11" style="0" width="11"/>
    <col collapsed="false" customWidth="true" hidden="false" outlineLevel="0" max="12" min="12" style="0" width="14"/>
    <col collapsed="false" customWidth="true" hidden="false" outlineLevel="0" max="13" min="13" style="0" width="16"/>
    <col collapsed="false" customWidth="true" hidden="false" outlineLevel="0" max="14" min="14" style="0" width="12"/>
    <col collapsed="false" customWidth="true" hidden="false" outlineLevel="0" max="15" min="15" style="0" width="60"/>
    <col collapsed="false" customWidth="true" hidden="false" outlineLevel="0" max="16" min="16" style="0" width="12"/>
  </cols>
  <sheetData>
    <row r="1" customFormat="false" ht="15" hidden="false" customHeight="false" outlineLevel="0" collapsed="false">
      <c r="A1" s="1" t="s">
        <v>91</v>
      </c>
    </row>
    <row r="2" customFormat="false" ht="70.5" hidden="false" customHeight="true" outlineLevel="0" collapsed="false">
      <c r="A2" s="2" t="s">
        <v>92</v>
      </c>
      <c r="B2" s="2"/>
      <c r="C2" s="2"/>
      <c r="D2" s="2"/>
      <c r="E2" s="2"/>
      <c r="F2" s="2"/>
      <c r="G2" s="2"/>
      <c r="H2" s="2"/>
      <c r="I2" s="2"/>
      <c r="J2" s="2"/>
      <c r="K2" s="2"/>
      <c r="L2" s="2"/>
      <c r="M2" s="2"/>
      <c r="N2" s="2"/>
      <c r="O2" s="2"/>
      <c r="P2" s="2"/>
    </row>
    <row r="3" customFormat="false" ht="43.5" hidden="false" customHeight="true" outlineLevel="0" collapsed="false">
      <c r="A3" s="2" t="s">
        <v>93</v>
      </c>
      <c r="B3" s="2"/>
      <c r="C3" s="2"/>
      <c r="D3" s="2"/>
      <c r="E3" s="2"/>
      <c r="F3" s="2"/>
      <c r="G3" s="2"/>
      <c r="H3" s="2"/>
      <c r="I3" s="2"/>
      <c r="J3" s="2"/>
      <c r="K3" s="2"/>
      <c r="L3" s="2"/>
      <c r="M3" s="2"/>
      <c r="N3" s="2"/>
      <c r="O3" s="2"/>
      <c r="P3" s="2"/>
    </row>
    <row r="5" customFormat="false" ht="79.5" hidden="false" customHeight="true" outlineLevel="0" collapsed="false">
      <c r="A5" s="3" t="s">
        <v>94</v>
      </c>
      <c r="B5" s="3" t="s">
        <v>4</v>
      </c>
      <c r="C5" s="3" t="s">
        <v>5</v>
      </c>
      <c r="D5" s="3" t="s">
        <v>6</v>
      </c>
      <c r="E5" s="3" t="s">
        <v>7</v>
      </c>
      <c r="F5" s="3" t="s">
        <v>8</v>
      </c>
      <c r="G5" s="3" t="s">
        <v>9</v>
      </c>
      <c r="H5" s="3" t="s">
        <v>10</v>
      </c>
      <c r="I5" s="3" t="s">
        <v>95</v>
      </c>
      <c r="J5" s="3" t="s">
        <v>12</v>
      </c>
      <c r="K5" s="3" t="s">
        <v>13</v>
      </c>
      <c r="L5" s="3" t="s">
        <v>14</v>
      </c>
      <c r="M5" s="3" t="s">
        <v>15</v>
      </c>
      <c r="N5" s="3" t="s">
        <v>96</v>
      </c>
      <c r="O5" s="3" t="s">
        <v>17</v>
      </c>
      <c r="P5" s="3" t="s">
        <v>97</v>
      </c>
    </row>
    <row r="6" customFormat="false" ht="84.75" hidden="false" customHeight="true" outlineLevel="0" collapsed="false">
      <c r="A6" s="4" t="s">
        <v>98</v>
      </c>
      <c r="B6" s="4" t="s">
        <v>99</v>
      </c>
      <c r="C6" s="5" t="n">
        <v>0.318</v>
      </c>
      <c r="D6" s="5" t="n">
        <v>0.199</v>
      </c>
      <c r="E6" s="6" t="n">
        <f aca="false">C6/D6</f>
        <v>1.59798994974874</v>
      </c>
      <c r="F6" s="5" t="n">
        <v>0.212</v>
      </c>
      <c r="G6" s="5" t="n">
        <v>0.136</v>
      </c>
      <c r="H6" s="5" t="n">
        <v>0.118</v>
      </c>
      <c r="I6" s="5" t="n">
        <v>0.257</v>
      </c>
      <c r="J6" s="5" t="n">
        <v>0</v>
      </c>
      <c r="K6" s="6" t="n">
        <v>2.47</v>
      </c>
      <c r="L6" s="7" t="s">
        <v>20</v>
      </c>
      <c r="M6" s="5" t="n">
        <v>0.42</v>
      </c>
      <c r="N6" s="7" t="str">
        <f aca="false">IF(AND(I6&lt;=0.05,ABS(E6)&gt;=1.96,J6&gt;=0.05,L6="yes"),"Robust",IF(AND(H6&gt;0.1,ABS(E6)&lt;1.96),"Null","Fragile"))</f>
        <v>Null</v>
      </c>
      <c r="O6" s="4" t="s">
        <v>100</v>
      </c>
      <c r="P6" s="5" t="n">
        <v>0.377</v>
      </c>
    </row>
    <row r="7" customFormat="false" ht="57.75" hidden="false" customHeight="true" outlineLevel="0" collapsed="false">
      <c r="A7" s="4" t="s">
        <v>101</v>
      </c>
      <c r="B7" s="4" t="s">
        <v>102</v>
      </c>
      <c r="C7" s="5" t="n">
        <v>-0.321</v>
      </c>
      <c r="D7" s="5" t="n">
        <v>0.257</v>
      </c>
      <c r="E7" s="6" t="n">
        <f aca="false">C7/D7</f>
        <v>-1.24902723735409</v>
      </c>
      <c r="F7" s="5" t="n">
        <v>-0.478</v>
      </c>
      <c r="G7" s="5" t="n">
        <v>0.182</v>
      </c>
      <c r="H7" s="5" t="n">
        <v>0.009</v>
      </c>
      <c r="I7" s="5" t="n">
        <v>0.024</v>
      </c>
      <c r="J7" s="5" t="n">
        <v>0.052</v>
      </c>
      <c r="K7" s="6" t="n">
        <v>1.76</v>
      </c>
      <c r="L7" s="7" t="s">
        <v>20</v>
      </c>
      <c r="M7" s="5" t="n">
        <v>0.5</v>
      </c>
      <c r="N7" s="7" t="str">
        <f aca="false">IF(AND(I7&lt;=0.05,ABS(E7)&gt;=1.96,J7&gt;=0.05,L7="yes"),"Robust",IF(AND(H7&gt;0.1,ABS(E7)&lt;1.96),"Null","Fragile"))</f>
        <v>Fragile</v>
      </c>
      <c r="O7" s="4" t="s">
        <v>103</v>
      </c>
      <c r="P7" s="5" t="n">
        <v>-0.52</v>
      </c>
    </row>
    <row r="8" customFormat="false" ht="44.25" hidden="false" customHeight="true" outlineLevel="0" collapsed="false">
      <c r="A8" s="4" t="s">
        <v>104</v>
      </c>
      <c r="B8" s="4" t="s">
        <v>102</v>
      </c>
      <c r="C8" s="5" t="n">
        <v>-0.045</v>
      </c>
      <c r="D8" s="5" t="n">
        <v>0.215</v>
      </c>
      <c r="E8" s="6" t="n">
        <f aca="false">C8/D8</f>
        <v>-0.209302325581395</v>
      </c>
      <c r="F8" s="5" t="n">
        <v>-0.146</v>
      </c>
      <c r="G8" s="5" t="n">
        <v>0.148</v>
      </c>
      <c r="H8" s="5" t="n">
        <v>0.325</v>
      </c>
      <c r="I8" s="5" t="n">
        <v>0.459</v>
      </c>
      <c r="J8" s="5" t="n">
        <v>0</v>
      </c>
      <c r="K8" s="6" t="n">
        <v>33.74</v>
      </c>
      <c r="L8" s="7" t="s">
        <v>20</v>
      </c>
      <c r="M8" s="5" t="n">
        <v>0.462</v>
      </c>
      <c r="N8" s="7" t="str">
        <f aca="false">IF(AND(I8&lt;=0.05,ABS(E8)&gt;=1.96,J8&gt;=0.05,L8="yes"),"Robust",IF(AND(H8&gt;0.1,ABS(E8)&lt;1.96),"Null","Fragile"))</f>
        <v>Null</v>
      </c>
      <c r="O8" s="4" t="s">
        <v>105</v>
      </c>
      <c r="P8" s="5" t="n">
        <v>0.006</v>
      </c>
    </row>
    <row r="9" customFormat="false" ht="71.25" hidden="false" customHeight="true" outlineLevel="0" collapsed="false">
      <c r="A9" s="4" t="s">
        <v>106</v>
      </c>
      <c r="B9" s="4" t="s">
        <v>107</v>
      </c>
      <c r="C9" s="5" t="n">
        <v>0.176</v>
      </c>
      <c r="D9" s="5" t="n">
        <v>0.236</v>
      </c>
      <c r="E9" s="6" t="n">
        <f aca="false">C9/D9</f>
        <v>0.745762711864407</v>
      </c>
      <c r="F9" s="5" t="n">
        <v>0.058</v>
      </c>
      <c r="G9" s="5" t="n">
        <v>0.156</v>
      </c>
      <c r="H9" s="5" t="n">
        <v>0.709</v>
      </c>
      <c r="I9" s="5" t="n">
        <v>0.686</v>
      </c>
      <c r="J9" s="5" t="n">
        <v>0</v>
      </c>
      <c r="K9" s="6" t="n">
        <v>3.41</v>
      </c>
      <c r="L9" s="7" t="s">
        <v>36</v>
      </c>
      <c r="M9" s="5" t="n">
        <v>0.456</v>
      </c>
      <c r="N9" s="7" t="str">
        <f aca="false">IF(AND(I9&lt;=0.05,ABS(E9)&gt;=1.96,J9&gt;=0.05,L9="yes"),"Robust",IF(AND(H9&gt;0.1,ABS(E9)&lt;1.96),"Null","Fragile"))</f>
        <v>Null</v>
      </c>
      <c r="O9" s="4" t="s">
        <v>108</v>
      </c>
      <c r="P9" s="5" t="n">
        <v>0.2</v>
      </c>
    </row>
    <row r="10" customFormat="false" ht="30.75" hidden="false" customHeight="true" outlineLevel="0" collapsed="false">
      <c r="A10" s="4" t="s">
        <v>109</v>
      </c>
      <c r="B10" s="4" t="s">
        <v>110</v>
      </c>
      <c r="C10" s="5" t="n">
        <v>0.16</v>
      </c>
      <c r="D10" s="5" t="n">
        <v>0.177</v>
      </c>
      <c r="E10" s="6" t="n">
        <f aca="false">C10/D10</f>
        <v>0.903954802259887</v>
      </c>
      <c r="F10" s="5" t="n">
        <v>0.068</v>
      </c>
      <c r="G10" s="5"/>
      <c r="H10" s="5"/>
      <c r="I10" s="5" t="s">
        <v>111</v>
      </c>
      <c r="J10" s="5" t="n">
        <v>0</v>
      </c>
      <c r="K10" s="6" t="n">
        <v>4.18</v>
      </c>
      <c r="L10" s="7" t="s">
        <v>20</v>
      </c>
      <c r="M10" s="5" t="n">
        <v>0.34</v>
      </c>
      <c r="N10" s="7" t="s">
        <v>112</v>
      </c>
      <c r="O10" s="4"/>
      <c r="P10" s="5" t="n">
        <v>0.115</v>
      </c>
    </row>
    <row r="11" customFormat="false" ht="30.75" hidden="false" customHeight="true" outlineLevel="0" collapsed="false">
      <c r="A11" s="4" t="s">
        <v>113</v>
      </c>
      <c r="B11" s="4" t="s">
        <v>19</v>
      </c>
      <c r="C11" s="5" t="n">
        <v>0.141</v>
      </c>
      <c r="D11" s="5" t="n">
        <v>0.112</v>
      </c>
      <c r="E11" s="6" t="n">
        <f aca="false">C11/D11</f>
        <v>1.25892857142857</v>
      </c>
      <c r="F11" s="5" t="n">
        <v>0.091</v>
      </c>
      <c r="G11" s="5"/>
      <c r="H11" s="5"/>
      <c r="I11" s="5" t="s">
        <v>111</v>
      </c>
      <c r="J11" s="5" t="n">
        <v>0</v>
      </c>
      <c r="K11" s="6" t="n">
        <v>2.28</v>
      </c>
      <c r="L11" s="7" t="s">
        <v>36</v>
      </c>
      <c r="M11" s="5" t="n">
        <v>0.213</v>
      </c>
      <c r="N11" s="7" t="s">
        <v>112</v>
      </c>
      <c r="O11" s="4"/>
      <c r="P11" s="5" t="n">
        <v>0.18</v>
      </c>
    </row>
    <row r="13" customFormat="false" ht="15" hidden="false" customHeight="false" outlineLevel="0" collapsed="false">
      <c r="A13" s="8" t="s">
        <v>114</v>
      </c>
    </row>
    <row r="14" customFormat="false" ht="17.25" hidden="false" customHeight="true" outlineLevel="0" collapsed="false">
      <c r="A14" s="4" t="s">
        <v>98</v>
      </c>
      <c r="B14" s="4" t="s">
        <v>99</v>
      </c>
      <c r="C14" s="5" t="n">
        <v>0.464</v>
      </c>
      <c r="D14" s="5" t="n">
        <v>0.188</v>
      </c>
      <c r="E14" s="6" t="n">
        <f aca="false">C14/D14</f>
        <v>2.46808510638298</v>
      </c>
      <c r="F14" s="5" t="n">
        <v>0.311</v>
      </c>
      <c r="G14" s="5" t="n">
        <v>0.128</v>
      </c>
      <c r="H14" s="5" t="n">
        <v>0.015</v>
      </c>
      <c r="I14" s="5" t="n">
        <v>0.04</v>
      </c>
      <c r="J14" s="5" t="n">
        <v>0.016</v>
      </c>
      <c r="K14" s="6" t="n">
        <v>1.24</v>
      </c>
      <c r="L14" s="7" t="s">
        <v>20</v>
      </c>
      <c r="M14" s="5" t="n">
        <v>0.532</v>
      </c>
      <c r="N14" s="7" t="str">
        <f aca="false">IF(AND(I14&lt;=0.05,ABS(E14)&gt;=1.96,J14&gt;=0.05,L14="yes"),"Robust",IF(AND(H14&gt;0.1,ABS(E14)&lt;1.96),"Null","Fragile"))</f>
        <v>Fragile</v>
      </c>
      <c r="O14" s="4"/>
      <c r="P14" s="5" t="n">
        <v>0.377</v>
      </c>
    </row>
    <row r="15" customFormat="false" ht="17.25" hidden="false" customHeight="true" outlineLevel="0" collapsed="false">
      <c r="A15" s="4" t="s">
        <v>101</v>
      </c>
      <c r="B15" s="4" t="s">
        <v>102</v>
      </c>
      <c r="C15" s="5" t="n">
        <v>-0.369</v>
      </c>
      <c r="D15" s="5" t="n">
        <v>0.215</v>
      </c>
      <c r="E15" s="6" t="n">
        <f aca="false">C15/D15</f>
        <v>-1.71627906976744</v>
      </c>
      <c r="F15" s="5" t="n">
        <v>-0.508</v>
      </c>
      <c r="G15" s="5" t="n">
        <v>0.164</v>
      </c>
      <c r="H15" s="5" t="n">
        <v>0.002</v>
      </c>
      <c r="I15" s="5" t="n">
        <v>0.007</v>
      </c>
      <c r="J15" s="5" t="n">
        <v>0.066</v>
      </c>
      <c r="K15" s="6" t="n">
        <v>1.25</v>
      </c>
      <c r="L15" s="7" t="s">
        <v>20</v>
      </c>
      <c r="M15" s="5" t="n">
        <v>0.603</v>
      </c>
      <c r="N15" s="7" t="str">
        <f aca="false">IF(AND(I15&lt;=0.05,ABS(E15)&gt;=1.96,J15&gt;=0.05,L15="yes"),"Robust",IF(AND(H15&gt;0.1,ABS(E15)&lt;1.96),"Null","Fragile"))</f>
        <v>Fragile</v>
      </c>
      <c r="O15" s="4"/>
      <c r="P15" s="5" t="n">
        <v>-0.52</v>
      </c>
    </row>
    <row r="16" customFormat="false" ht="17.25" hidden="false" customHeight="true" outlineLevel="0" collapsed="false">
      <c r="A16" s="4" t="s">
        <v>104</v>
      </c>
      <c r="B16" s="4" t="s">
        <v>102</v>
      </c>
      <c r="C16" s="5" t="n">
        <v>-0.298</v>
      </c>
      <c r="D16" s="5" t="n">
        <v>0.24</v>
      </c>
      <c r="E16" s="6" t="n">
        <f aca="false">C16/D16</f>
        <v>-1.24166666666667</v>
      </c>
      <c r="F16" s="5" t="n">
        <v>-0.249</v>
      </c>
      <c r="G16" s="5" t="n">
        <v>0.133</v>
      </c>
      <c r="H16" s="5" t="n">
        <v>0.061</v>
      </c>
      <c r="I16" s="5" t="n">
        <v>0.094</v>
      </c>
      <c r="J16" s="5" t="n">
        <v>0</v>
      </c>
      <c r="K16" s="6" t="n">
        <v>-1.89</v>
      </c>
      <c r="L16" s="7" t="s">
        <v>20</v>
      </c>
      <c r="M16" s="5" t="n">
        <v>0.542</v>
      </c>
      <c r="N16" s="7" t="str">
        <f aca="false">IF(AND(I16&lt;=0.05,ABS(E16)&gt;=1.96,J16&gt;=0.05,L16="yes"),"Robust",IF(AND(H16&gt;0.1,ABS(E16)&lt;1.96),"Null","Fragile"))</f>
        <v>Fragile</v>
      </c>
      <c r="O16" s="4"/>
      <c r="P16" s="5" t="n">
        <v>0.006</v>
      </c>
    </row>
    <row r="17" customFormat="false" ht="30.75" hidden="false" customHeight="true" outlineLevel="0" collapsed="false">
      <c r="A17" s="4" t="s">
        <v>106</v>
      </c>
      <c r="B17" s="4" t="s">
        <v>107</v>
      </c>
      <c r="C17" s="5" t="n">
        <v>0</v>
      </c>
      <c r="D17" s="5" t="n">
        <v>0.226</v>
      </c>
      <c r="E17" s="6" t="n">
        <f aca="false">C17/D17</f>
        <v>-0</v>
      </c>
      <c r="F17" s="5" t="n">
        <v>0.03</v>
      </c>
      <c r="G17" s="5" t="n">
        <v>0.144</v>
      </c>
      <c r="H17" s="5" t="n">
        <v>0.834</v>
      </c>
      <c r="I17" s="5" t="n">
        <v>0.83</v>
      </c>
      <c r="J17" s="5" t="n">
        <v>0</v>
      </c>
      <c r="K17" s="6" t="n">
        <v>0.29</v>
      </c>
      <c r="L17" s="7" t="s">
        <v>36</v>
      </c>
      <c r="M17" s="5" t="n">
        <v>0.543</v>
      </c>
      <c r="N17" s="7" t="str">
        <f aca="false">IF(AND(I17&lt;=0.05,ABS(E17)&gt;=1.96,J17&gt;=0.05,L17="yes"),"Robust",IF(AND(H17&gt;0.1,ABS(E17)&lt;1.96),"Null","Fragile"))</f>
        <v>Null</v>
      </c>
      <c r="O17" s="4"/>
      <c r="P17" s="5" t="n">
        <v>0.2</v>
      </c>
    </row>
    <row r="18" customFormat="false" ht="30.75" hidden="false" customHeight="true" outlineLevel="0" collapsed="false">
      <c r="A18" s="4" t="s">
        <v>109</v>
      </c>
      <c r="B18" s="4" t="s">
        <v>110</v>
      </c>
      <c r="C18" s="5" t="n">
        <v>0.102</v>
      </c>
      <c r="D18" s="5" t="n">
        <v>0.151</v>
      </c>
      <c r="E18" s="6" t="n">
        <f aca="false">C18/D18</f>
        <v>0.675496688741722</v>
      </c>
      <c r="F18" s="5" t="n">
        <v>0.085</v>
      </c>
      <c r="G18" s="5"/>
      <c r="H18" s="5"/>
      <c r="I18" s="5" t="s">
        <v>111</v>
      </c>
      <c r="J18" s="5" t="n">
        <v>0</v>
      </c>
      <c r="K18" s="6" t="n">
        <v>1.78</v>
      </c>
      <c r="L18" s="7" t="s">
        <v>36</v>
      </c>
      <c r="M18" s="5" t="n">
        <v>0.411</v>
      </c>
      <c r="N18" s="7" t="s">
        <v>112</v>
      </c>
      <c r="O18" s="4"/>
      <c r="P18" s="5" t="n">
        <v>0.115</v>
      </c>
    </row>
    <row r="19" customFormat="false" ht="30.75" hidden="false" customHeight="true" outlineLevel="0" collapsed="false">
      <c r="A19" s="4" t="s">
        <v>113</v>
      </c>
      <c r="B19" s="4" t="s">
        <v>19</v>
      </c>
      <c r="C19" s="5" t="n">
        <v>0.11</v>
      </c>
      <c r="D19" s="5" t="n">
        <v>0.105</v>
      </c>
      <c r="E19" s="6" t="n">
        <f aca="false">C19/D19</f>
        <v>1.04761904761905</v>
      </c>
      <c r="F19" s="5" t="n">
        <v>0.119</v>
      </c>
      <c r="G19" s="5"/>
      <c r="H19" s="5"/>
      <c r="I19" s="5" t="s">
        <v>111</v>
      </c>
      <c r="J19" s="5" t="n">
        <v>0</v>
      </c>
      <c r="K19" s="6" t="n">
        <v>1.14</v>
      </c>
      <c r="L19" s="7" t="s">
        <v>20</v>
      </c>
      <c r="M19" s="5" t="n">
        <v>0.276</v>
      </c>
      <c r="N19" s="7" t="s">
        <v>112</v>
      </c>
      <c r="O19" s="4"/>
      <c r="P19" s="5" t="n">
        <v>0.18</v>
      </c>
    </row>
    <row r="21" customFormat="false" ht="15" hidden="false" customHeight="false" outlineLevel="0" collapsed="false">
      <c r="A21" s="8" t="s">
        <v>115</v>
      </c>
    </row>
    <row r="22" customFormat="false" ht="55.5" hidden="false" customHeight="true" outlineLevel="0" collapsed="false">
      <c r="A22" s="3" t="s">
        <v>94</v>
      </c>
      <c r="B22" s="3" t="s">
        <v>116</v>
      </c>
      <c r="C22" s="3" t="s">
        <v>117</v>
      </c>
      <c r="D22" s="3" t="s">
        <v>118</v>
      </c>
      <c r="E22" s="3" t="s">
        <v>119</v>
      </c>
      <c r="F22" s="3" t="s">
        <v>120</v>
      </c>
      <c r="G22" s="3" t="s">
        <v>121</v>
      </c>
      <c r="H22" s="3" t="s">
        <v>122</v>
      </c>
      <c r="I22" s="3" t="s">
        <v>123</v>
      </c>
      <c r="J22" s="3" t="s">
        <v>124</v>
      </c>
      <c r="K22" s="3" t="s">
        <v>125</v>
      </c>
      <c r="L22" s="3" t="s">
        <v>126</v>
      </c>
      <c r="M22" s="3" t="s">
        <v>127</v>
      </c>
      <c r="N22" s="3" t="s">
        <v>128</v>
      </c>
      <c r="O22" s="3" t="s">
        <v>129</v>
      </c>
      <c r="P22" s="3" t="s">
        <v>130</v>
      </c>
    </row>
    <row r="23" customFormat="false" ht="15" hidden="false" customHeight="false" outlineLevel="0" collapsed="false">
      <c r="A23" s="4" t="s">
        <v>98</v>
      </c>
      <c r="B23" s="7" t="s">
        <v>131</v>
      </c>
      <c r="C23" s="7" t="n">
        <v>116</v>
      </c>
      <c r="D23" s="7" t="n">
        <v>94</v>
      </c>
      <c r="E23" s="5" t="n">
        <v>0.273</v>
      </c>
      <c r="F23" s="5" t="n">
        <v>0.122</v>
      </c>
      <c r="G23" s="5" t="n">
        <v>0.212</v>
      </c>
      <c r="H23" s="5" t="n">
        <v>0.148</v>
      </c>
      <c r="I23" s="5" t="n">
        <v>0.264</v>
      </c>
      <c r="J23" s="5" t="n">
        <v>0.172</v>
      </c>
      <c r="K23" s="5" t="n">
        <v>0.318</v>
      </c>
      <c r="L23" s="5" t="n">
        <v>0.199</v>
      </c>
      <c r="M23" s="5" t="n">
        <v>0.337</v>
      </c>
      <c r="N23" s="5" t="n">
        <v>0.179</v>
      </c>
      <c r="O23" s="5" t="n">
        <v>0.149</v>
      </c>
      <c r="P23" s="5" t="n">
        <v>0.244</v>
      </c>
    </row>
    <row r="24" customFormat="false" ht="15" hidden="false" customHeight="false" outlineLevel="0" collapsed="false">
      <c r="A24" s="4" t="s">
        <v>101</v>
      </c>
      <c r="B24" s="7" t="s">
        <v>131</v>
      </c>
      <c r="C24" s="7" t="n">
        <v>116</v>
      </c>
      <c r="D24" s="7" t="n">
        <v>94</v>
      </c>
      <c r="E24" s="5" t="n">
        <v>-0.529</v>
      </c>
      <c r="F24" s="5" t="n">
        <v>0.145</v>
      </c>
      <c r="G24" s="5" t="n">
        <v>-0.478</v>
      </c>
      <c r="H24" s="5" t="n">
        <v>0.193</v>
      </c>
      <c r="I24" s="5" t="n">
        <v>-0.425</v>
      </c>
      <c r="J24" s="5" t="n">
        <v>0.202</v>
      </c>
      <c r="K24" s="5" t="n">
        <v>-0.321</v>
      </c>
      <c r="L24" s="5" t="n">
        <v>0.257</v>
      </c>
      <c r="M24" s="5" t="n">
        <v>-0.363</v>
      </c>
      <c r="N24" s="5" t="n">
        <v>0.223</v>
      </c>
      <c r="O24" s="5" t="n">
        <v>-0.528</v>
      </c>
      <c r="P24" s="5" t="n">
        <v>0.3</v>
      </c>
    </row>
    <row r="25" customFormat="false" ht="15" hidden="false" customHeight="false" outlineLevel="0" collapsed="false">
      <c r="A25" s="4" t="s">
        <v>104</v>
      </c>
      <c r="B25" s="7" t="s">
        <v>131</v>
      </c>
      <c r="C25" s="7" t="n">
        <v>116</v>
      </c>
      <c r="D25" s="7" t="n">
        <v>94</v>
      </c>
      <c r="E25" s="5" t="n">
        <v>-0.106</v>
      </c>
      <c r="F25" s="5" t="n">
        <v>0.125</v>
      </c>
      <c r="G25" s="5" t="n">
        <v>-0.146</v>
      </c>
      <c r="H25" s="5" t="n">
        <v>0.152</v>
      </c>
      <c r="I25" s="5" t="n">
        <v>-0.175</v>
      </c>
      <c r="J25" s="5" t="n">
        <v>0.192</v>
      </c>
      <c r="K25" s="5" t="n">
        <v>-0.045</v>
      </c>
      <c r="L25" s="5" t="n">
        <v>0.215</v>
      </c>
      <c r="M25" s="5" t="n">
        <v>-0.196</v>
      </c>
      <c r="N25" s="5" t="n">
        <v>0.196</v>
      </c>
      <c r="O25" s="5" t="n">
        <v>-0.522</v>
      </c>
      <c r="P25" s="5" t="n">
        <v>0.262</v>
      </c>
    </row>
    <row r="26" customFormat="false" ht="15" hidden="false" customHeight="false" outlineLevel="0" collapsed="false">
      <c r="A26" s="4" t="s">
        <v>106</v>
      </c>
      <c r="B26" s="7" t="s">
        <v>131</v>
      </c>
      <c r="C26" s="7" t="n">
        <v>116</v>
      </c>
      <c r="D26" s="7" t="n">
        <v>94</v>
      </c>
      <c r="E26" s="5" t="n">
        <v>0.077</v>
      </c>
      <c r="F26" s="5" t="n">
        <v>0.137</v>
      </c>
      <c r="G26" s="5" t="n">
        <v>0.058</v>
      </c>
      <c r="H26" s="5" t="n">
        <v>0.172</v>
      </c>
      <c r="I26" s="5" t="n">
        <v>0.045</v>
      </c>
      <c r="J26" s="5" t="n">
        <v>0.198</v>
      </c>
      <c r="K26" s="5" t="n">
        <v>0.176</v>
      </c>
      <c r="L26" s="5" t="n">
        <v>0.236</v>
      </c>
      <c r="M26" s="5" t="n">
        <v>0.02</v>
      </c>
      <c r="N26" s="5" t="n">
        <v>0.2</v>
      </c>
      <c r="O26" s="5" t="n">
        <v>-0.274</v>
      </c>
      <c r="P26" s="5" t="n">
        <v>0.261</v>
      </c>
    </row>
    <row r="27" customFormat="false" ht="23.85" hidden="false" customHeight="false" outlineLevel="0" collapsed="false">
      <c r="A27" s="4" t="s">
        <v>109</v>
      </c>
      <c r="B27" s="7" t="s">
        <v>131</v>
      </c>
      <c r="C27" s="7" t="n">
        <v>116</v>
      </c>
      <c r="D27" s="7" t="n">
        <v>94</v>
      </c>
      <c r="E27" s="5" t="n">
        <v>0.08</v>
      </c>
      <c r="F27" s="5" t="n">
        <v>0.102</v>
      </c>
      <c r="G27" s="5" t="n">
        <v>0.068</v>
      </c>
      <c r="H27" s="5" t="n">
        <v>0.131</v>
      </c>
      <c r="I27" s="5" t="n">
        <v>0.068</v>
      </c>
      <c r="J27" s="5" t="n">
        <v>0.136</v>
      </c>
      <c r="K27" s="5" t="n">
        <v>0.16</v>
      </c>
      <c r="L27" s="5" t="n">
        <v>0.177</v>
      </c>
      <c r="M27" s="5" t="n">
        <v>0.039</v>
      </c>
      <c r="N27" s="5" t="n">
        <v>0.145</v>
      </c>
      <c r="O27" s="5" t="n">
        <v>0.001</v>
      </c>
      <c r="P27" s="5" t="n">
        <v>0.197</v>
      </c>
    </row>
    <row r="28" customFormat="false" ht="23.85" hidden="false" customHeight="false" outlineLevel="0" collapsed="false">
      <c r="A28" s="4" t="s">
        <v>113</v>
      </c>
      <c r="B28" s="7" t="s">
        <v>131</v>
      </c>
      <c r="C28" s="7" t="n">
        <v>116</v>
      </c>
      <c r="D28" s="7" t="n">
        <v>94</v>
      </c>
      <c r="E28" s="5" t="n">
        <v>0.127</v>
      </c>
      <c r="F28" s="5" t="n">
        <v>0.063</v>
      </c>
      <c r="G28" s="5" t="n">
        <v>0.091</v>
      </c>
      <c r="H28" s="5" t="n">
        <v>0.078</v>
      </c>
      <c r="I28" s="5" t="n">
        <v>0.109</v>
      </c>
      <c r="J28" s="5" t="n">
        <v>0.084</v>
      </c>
      <c r="K28" s="5" t="n">
        <v>0.141</v>
      </c>
      <c r="L28" s="5" t="n">
        <v>0.112</v>
      </c>
      <c r="M28" s="5" t="n">
        <v>0.098</v>
      </c>
      <c r="N28" s="5" t="n">
        <v>0.088</v>
      </c>
      <c r="O28" s="5" t="n">
        <v>-0.005</v>
      </c>
      <c r="P28" s="5" t="n">
        <v>0.121</v>
      </c>
    </row>
    <row r="29" customFormat="false" ht="15" hidden="false" customHeight="false" outlineLevel="0" collapsed="false">
      <c r="A29" s="4" t="s">
        <v>98</v>
      </c>
      <c r="B29" s="7" t="s">
        <v>132</v>
      </c>
      <c r="C29" s="7" t="n">
        <v>209</v>
      </c>
      <c r="D29" s="7" t="s">
        <v>133</v>
      </c>
      <c r="E29" s="5" t="n">
        <v>0.377</v>
      </c>
      <c r="F29" s="5" t="n">
        <v>0.088</v>
      </c>
      <c r="G29" s="5" t="n">
        <v>0.311</v>
      </c>
      <c r="H29" s="5" t="n">
        <v>0.126</v>
      </c>
      <c r="I29" s="5" t="n">
        <v>0.428</v>
      </c>
      <c r="J29" s="5" t="n">
        <v>0.175</v>
      </c>
      <c r="K29" s="5" t="n">
        <v>0.464</v>
      </c>
      <c r="L29" s="5" t="n">
        <v>0.188</v>
      </c>
      <c r="M29" s="5" t="n">
        <v>0.541</v>
      </c>
      <c r="N29" s="5" t="n">
        <v>0.236</v>
      </c>
      <c r="O29" s="5" t="n">
        <v>0.25</v>
      </c>
      <c r="P29" s="5" t="n">
        <v>0.206</v>
      </c>
    </row>
    <row r="30" customFormat="false" ht="15" hidden="false" customHeight="false" outlineLevel="0" collapsed="false">
      <c r="A30" s="4" t="s">
        <v>101</v>
      </c>
      <c r="B30" s="7" t="s">
        <v>132</v>
      </c>
      <c r="C30" s="7" t="n">
        <v>209</v>
      </c>
      <c r="D30" s="7" t="s">
        <v>133</v>
      </c>
      <c r="E30" s="5" t="n">
        <v>-0.52</v>
      </c>
      <c r="F30" s="5" t="n">
        <v>0.112</v>
      </c>
      <c r="G30" s="5" t="n">
        <v>-0.508</v>
      </c>
      <c r="H30" s="5" t="n">
        <v>0.161</v>
      </c>
      <c r="I30" s="5" t="n">
        <v>-0.558</v>
      </c>
      <c r="J30" s="5" t="n">
        <v>0.204</v>
      </c>
      <c r="K30" s="5" t="n">
        <v>-0.369</v>
      </c>
      <c r="L30" s="5" t="n">
        <v>0.215</v>
      </c>
      <c r="M30" s="5" t="n">
        <v>-0.492</v>
      </c>
      <c r="N30" s="5" t="n">
        <v>0.273</v>
      </c>
      <c r="O30" s="5" t="n">
        <v>-0.575</v>
      </c>
      <c r="P30" s="5" t="n">
        <v>0.251</v>
      </c>
    </row>
    <row r="31" customFormat="false" ht="15" hidden="false" customHeight="false" outlineLevel="0" collapsed="false">
      <c r="A31" s="4" t="s">
        <v>104</v>
      </c>
      <c r="B31" s="7" t="s">
        <v>132</v>
      </c>
      <c r="C31" s="7" t="n">
        <v>209</v>
      </c>
      <c r="D31" s="7" t="s">
        <v>133</v>
      </c>
      <c r="E31" s="5" t="n">
        <v>0.006</v>
      </c>
      <c r="F31" s="5" t="n">
        <v>0.095</v>
      </c>
      <c r="G31" s="5" t="n">
        <v>-0.249</v>
      </c>
      <c r="H31" s="5" t="n">
        <v>0.128</v>
      </c>
      <c r="I31" s="5" t="n">
        <v>-0.378</v>
      </c>
      <c r="J31" s="5" t="n">
        <v>0.204</v>
      </c>
      <c r="K31" s="5" t="n">
        <v>-0.298</v>
      </c>
      <c r="L31" s="5" t="n">
        <v>0.24</v>
      </c>
      <c r="M31" s="5" t="n">
        <v>-0.401</v>
      </c>
      <c r="N31" s="5" t="n">
        <v>0.221</v>
      </c>
      <c r="O31" s="5" t="n">
        <v>-0.554</v>
      </c>
      <c r="P31" s="5" t="n">
        <v>0.225</v>
      </c>
    </row>
    <row r="32" customFormat="false" ht="15" hidden="false" customHeight="false" outlineLevel="0" collapsed="false">
      <c r="A32" s="4" t="s">
        <v>106</v>
      </c>
      <c r="B32" s="7" t="s">
        <v>132</v>
      </c>
      <c r="C32" s="7" t="n">
        <v>209</v>
      </c>
      <c r="D32" s="7" t="s">
        <v>133</v>
      </c>
      <c r="E32" s="5" t="n">
        <v>0.2</v>
      </c>
      <c r="F32" s="5" t="n">
        <v>0.104</v>
      </c>
      <c r="G32" s="5" t="n">
        <v>0.03</v>
      </c>
      <c r="H32" s="5" t="n">
        <v>0.148</v>
      </c>
      <c r="I32" s="5" t="n">
        <v>-0.141</v>
      </c>
      <c r="J32" s="5" t="n">
        <v>0.216</v>
      </c>
      <c r="K32" s="5" t="n">
        <v>0</v>
      </c>
      <c r="L32" s="5" t="n">
        <v>0.226</v>
      </c>
      <c r="M32" s="5" t="n">
        <v>-0.125</v>
      </c>
      <c r="N32" s="5" t="n">
        <v>0.26</v>
      </c>
      <c r="O32" s="5" t="n">
        <v>-0.248</v>
      </c>
      <c r="P32" s="5" t="n">
        <v>0.243</v>
      </c>
    </row>
    <row r="33" customFormat="false" ht="23.85" hidden="false" customHeight="false" outlineLevel="0" collapsed="false">
      <c r="A33" s="4" t="s">
        <v>109</v>
      </c>
      <c r="B33" s="7" t="s">
        <v>132</v>
      </c>
      <c r="C33" s="7" t="n">
        <v>209</v>
      </c>
      <c r="D33" s="7" t="s">
        <v>133</v>
      </c>
      <c r="E33" s="5" t="n">
        <v>0.115</v>
      </c>
      <c r="F33" s="5" t="n">
        <v>0.078</v>
      </c>
      <c r="G33" s="5" t="n">
        <v>0.085</v>
      </c>
      <c r="H33" s="5" t="n">
        <v>0.112</v>
      </c>
      <c r="I33" s="5" t="n">
        <v>-0.01</v>
      </c>
      <c r="J33" s="5" t="n">
        <v>0.129</v>
      </c>
      <c r="K33" s="5" t="n">
        <v>0.102</v>
      </c>
      <c r="L33" s="5" t="n">
        <v>0.151</v>
      </c>
      <c r="M33" s="5" t="n">
        <v>0.01</v>
      </c>
      <c r="N33" s="5" t="n">
        <v>0.186</v>
      </c>
      <c r="O33" s="5" t="n">
        <v>-0.035</v>
      </c>
      <c r="P33" s="5" t="n">
        <v>0.186</v>
      </c>
    </row>
    <row r="34" customFormat="false" ht="23.85" hidden="false" customHeight="false" outlineLevel="0" collapsed="false">
      <c r="A34" s="4" t="s">
        <v>113</v>
      </c>
      <c r="B34" s="7" t="s">
        <v>132</v>
      </c>
      <c r="C34" s="7" t="n">
        <v>209</v>
      </c>
      <c r="D34" s="7" t="s">
        <v>133</v>
      </c>
      <c r="E34" s="5" t="n">
        <v>0.18</v>
      </c>
      <c r="F34" s="5" t="n">
        <v>0.045</v>
      </c>
      <c r="G34" s="5" t="n">
        <v>0.119</v>
      </c>
      <c r="H34" s="5" t="n">
        <v>0.066</v>
      </c>
      <c r="I34" s="5" t="n">
        <v>0.068</v>
      </c>
      <c r="J34" s="5" t="n">
        <v>0.087</v>
      </c>
      <c r="K34" s="5" t="n">
        <v>0.11</v>
      </c>
      <c r="L34" s="5" t="n">
        <v>0.105</v>
      </c>
      <c r="M34" s="5" t="n">
        <v>0.082</v>
      </c>
      <c r="N34" s="5" t="n">
        <v>0.119</v>
      </c>
      <c r="O34" s="5" t="n">
        <v>0.017</v>
      </c>
      <c r="P34" s="5" t="n">
        <v>0.111</v>
      </c>
    </row>
  </sheetData>
  <mergeCells count="2">
    <mergeCell ref="A2:P2"/>
    <mergeCell ref="A3:P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0" min="2" style="0" width="13"/>
    <col collapsed="false" customWidth="true" hidden="false" outlineLevel="0" max="11" min="11" style="0" width="16"/>
    <col collapsed="false" customWidth="true" hidden="false" outlineLevel="0" max="15" min="12" style="0" width="13"/>
    <col collapsed="false" customWidth="true" hidden="false" outlineLevel="0" max="16" min="16" style="0" width="18"/>
    <col collapsed="false" customWidth="true" hidden="false" outlineLevel="0" max="19" min="17" style="0" width="13"/>
    <col collapsed="false" customWidth="true" hidden="false" outlineLevel="0" max="20" min="20" style="0" width="22"/>
  </cols>
  <sheetData>
    <row r="1" customFormat="false" ht="15" hidden="false" customHeight="false" outlineLevel="0" collapsed="false">
      <c r="A1" s="1" t="s">
        <v>134</v>
      </c>
    </row>
    <row r="2" customFormat="false" ht="57" hidden="false" customHeight="true" outlineLevel="0" collapsed="false">
      <c r="A2" s="2" t="s">
        <v>135</v>
      </c>
      <c r="B2" s="2"/>
      <c r="C2" s="2"/>
      <c r="D2" s="2"/>
      <c r="E2" s="2"/>
      <c r="F2" s="2"/>
      <c r="G2" s="2"/>
      <c r="H2" s="2"/>
      <c r="I2" s="2"/>
      <c r="J2" s="2"/>
      <c r="K2" s="2"/>
      <c r="L2" s="2"/>
      <c r="M2" s="2"/>
      <c r="N2" s="2"/>
    </row>
    <row r="3" customFormat="false" ht="84" hidden="false" customHeight="true" outlineLevel="0" collapsed="false">
      <c r="A3" s="2" t="s">
        <v>136</v>
      </c>
      <c r="B3" s="2"/>
      <c r="C3" s="2"/>
      <c r="D3" s="2"/>
      <c r="E3" s="2"/>
      <c r="F3" s="2"/>
      <c r="G3" s="2"/>
      <c r="H3" s="2"/>
      <c r="I3" s="2"/>
      <c r="J3" s="2"/>
      <c r="K3" s="2"/>
      <c r="L3" s="2"/>
      <c r="M3" s="2"/>
      <c r="N3" s="2"/>
    </row>
    <row r="5" customFormat="false" ht="15" hidden="false" customHeight="false" outlineLevel="0" collapsed="false">
      <c r="A5" s="8" t="s">
        <v>137</v>
      </c>
    </row>
    <row r="6" customFormat="false" ht="15" hidden="false" customHeight="false" outlineLevel="0" collapsed="false">
      <c r="A6" s="4" t="s">
        <v>138</v>
      </c>
      <c r="B6" s="7" t="s">
        <v>139</v>
      </c>
      <c r="C6" s="5" t="n">
        <v>0.922</v>
      </c>
      <c r="D6" s="7" t="n">
        <v>257</v>
      </c>
      <c r="E6" s="7" t="s">
        <v>140</v>
      </c>
      <c r="F6" s="5" t="n">
        <v>0.782</v>
      </c>
      <c r="G6" s="7" t="n">
        <v>133</v>
      </c>
    </row>
    <row r="7" customFormat="false" ht="69.75" hidden="false" customHeight="true" outlineLevel="0" collapsed="false">
      <c r="A7" s="3" t="s">
        <v>141</v>
      </c>
      <c r="B7" s="3" t="s">
        <v>142</v>
      </c>
      <c r="C7" s="3" t="s">
        <v>143</v>
      </c>
      <c r="D7" s="3" t="s">
        <v>144</v>
      </c>
      <c r="E7" s="3" t="s">
        <v>145</v>
      </c>
      <c r="F7" s="3" t="s">
        <v>146</v>
      </c>
      <c r="G7" s="3" t="s">
        <v>147</v>
      </c>
      <c r="H7" s="3" t="s">
        <v>148</v>
      </c>
      <c r="I7" s="3" t="s">
        <v>149</v>
      </c>
      <c r="J7" s="3" t="s">
        <v>150</v>
      </c>
      <c r="K7" s="3" t="s">
        <v>151</v>
      </c>
      <c r="L7" s="3" t="s">
        <v>152</v>
      </c>
      <c r="M7" s="3" t="s">
        <v>153</v>
      </c>
      <c r="N7" s="3" t="s">
        <v>154</v>
      </c>
    </row>
    <row r="8" customFormat="false" ht="44.25" hidden="false" customHeight="true" outlineLevel="0" collapsed="false">
      <c r="A8" s="4" t="s">
        <v>155</v>
      </c>
      <c r="B8" s="5" t="s">
        <v>27</v>
      </c>
      <c r="C8" s="7" t="n">
        <v>234</v>
      </c>
      <c r="D8" s="5" t="s">
        <v>27</v>
      </c>
      <c r="E8" s="7" t="n">
        <v>20</v>
      </c>
      <c r="F8" s="5" t="s">
        <v>27</v>
      </c>
      <c r="G8" s="7" t="n">
        <v>103</v>
      </c>
      <c r="H8" s="5" t="s">
        <v>156</v>
      </c>
      <c r="I8" s="7" t="n">
        <v>28</v>
      </c>
      <c r="J8" s="5" t="s">
        <v>27</v>
      </c>
      <c r="K8" s="10" t="s">
        <v>157</v>
      </c>
      <c r="L8" s="5"/>
      <c r="M8" s="5"/>
      <c r="N8" s="5"/>
    </row>
    <row r="9" customFormat="false" ht="44.25" hidden="false" customHeight="true" outlineLevel="0" collapsed="false">
      <c r="A9" s="4" t="s">
        <v>158</v>
      </c>
      <c r="B9" s="5" t="s">
        <v>27</v>
      </c>
      <c r="C9" s="7" t="n">
        <v>234</v>
      </c>
      <c r="D9" s="5" t="s">
        <v>27</v>
      </c>
      <c r="E9" s="7" t="n">
        <v>20</v>
      </c>
      <c r="F9" s="5" t="s">
        <v>27</v>
      </c>
      <c r="G9" s="7" t="n">
        <v>103</v>
      </c>
      <c r="H9" s="5" t="s">
        <v>156</v>
      </c>
      <c r="I9" s="7" t="n">
        <v>28</v>
      </c>
      <c r="J9" s="5" t="s">
        <v>27</v>
      </c>
      <c r="K9" s="10" t="s">
        <v>157</v>
      </c>
      <c r="L9" s="5"/>
      <c r="M9" s="5"/>
      <c r="N9" s="5"/>
    </row>
    <row r="10" customFormat="false" ht="44.25" hidden="false" customHeight="true" outlineLevel="0" collapsed="false">
      <c r="A10" s="4" t="s">
        <v>159</v>
      </c>
      <c r="B10" s="5" t="s">
        <v>27</v>
      </c>
      <c r="C10" s="7" t="n">
        <v>236</v>
      </c>
      <c r="D10" s="5" t="s">
        <v>27</v>
      </c>
      <c r="E10" s="7" t="n">
        <v>20</v>
      </c>
      <c r="F10" s="5" t="s">
        <v>27</v>
      </c>
      <c r="G10" s="7" t="n">
        <v>100</v>
      </c>
      <c r="H10" s="5" t="s">
        <v>156</v>
      </c>
      <c r="I10" s="7" t="n">
        <v>28</v>
      </c>
      <c r="J10" s="5" t="s">
        <v>27</v>
      </c>
      <c r="K10" s="10" t="s">
        <v>157</v>
      </c>
      <c r="L10" s="5"/>
      <c r="M10" s="5"/>
      <c r="N10" s="5"/>
    </row>
    <row r="11" customFormat="false" ht="44.25" hidden="false" customHeight="true" outlineLevel="0" collapsed="false">
      <c r="A11" s="4" t="s">
        <v>160</v>
      </c>
      <c r="B11" s="5" t="s">
        <v>27</v>
      </c>
      <c r="C11" s="7" t="n">
        <v>234</v>
      </c>
      <c r="D11" s="5" t="s">
        <v>27</v>
      </c>
      <c r="E11" s="7" t="n">
        <v>20</v>
      </c>
      <c r="F11" s="5" t="s">
        <v>27</v>
      </c>
      <c r="G11" s="7" t="n">
        <v>101</v>
      </c>
      <c r="H11" s="5" t="s">
        <v>156</v>
      </c>
      <c r="I11" s="7" t="n">
        <v>28</v>
      </c>
      <c r="J11" s="5" t="s">
        <v>27</v>
      </c>
      <c r="K11" s="10" t="s">
        <v>157</v>
      </c>
      <c r="L11" s="5"/>
      <c r="M11" s="5"/>
      <c r="N11" s="5"/>
    </row>
    <row r="12" customFormat="false" ht="44.25" hidden="false" customHeight="true" outlineLevel="0" collapsed="false">
      <c r="A12" s="4" t="s">
        <v>161</v>
      </c>
      <c r="B12" s="5" t="s">
        <v>27</v>
      </c>
      <c r="C12" s="7" t="n">
        <v>236</v>
      </c>
      <c r="D12" s="5" t="s">
        <v>27</v>
      </c>
      <c r="E12" s="7" t="n">
        <v>20</v>
      </c>
      <c r="F12" s="5" t="s">
        <v>27</v>
      </c>
      <c r="G12" s="7" t="n">
        <v>101</v>
      </c>
      <c r="H12" s="5" t="s">
        <v>156</v>
      </c>
      <c r="I12" s="7" t="n">
        <v>28</v>
      </c>
      <c r="J12" s="5" t="s">
        <v>27</v>
      </c>
      <c r="K12" s="10" t="s">
        <v>157</v>
      </c>
      <c r="L12" s="5"/>
      <c r="M12" s="5"/>
      <c r="N12" s="5"/>
    </row>
    <row r="13" customFormat="false" ht="44.25" hidden="false" customHeight="true" outlineLevel="0" collapsed="false">
      <c r="A13" s="4" t="s">
        <v>162</v>
      </c>
      <c r="B13" s="5" t="s">
        <v>27</v>
      </c>
      <c r="C13" s="7" t="n">
        <v>236</v>
      </c>
      <c r="D13" s="5" t="s">
        <v>27</v>
      </c>
      <c r="E13" s="7" t="n">
        <v>20</v>
      </c>
      <c r="F13" s="5" t="s">
        <v>27</v>
      </c>
      <c r="G13" s="7" t="n">
        <v>100</v>
      </c>
      <c r="H13" s="5" t="s">
        <v>156</v>
      </c>
      <c r="I13" s="7" t="n">
        <v>28</v>
      </c>
      <c r="J13" s="5" t="s">
        <v>27</v>
      </c>
      <c r="K13" s="10" t="s">
        <v>157</v>
      </c>
      <c r="L13" s="5"/>
      <c r="M13" s="5"/>
      <c r="N13" s="5"/>
    </row>
    <row r="14" customFormat="false" ht="44.25" hidden="false" customHeight="true" outlineLevel="0" collapsed="false">
      <c r="A14" s="4" t="s">
        <v>163</v>
      </c>
      <c r="B14" s="5" t="s">
        <v>27</v>
      </c>
      <c r="C14" s="7" t="n">
        <v>236</v>
      </c>
      <c r="D14" s="5" t="s">
        <v>27</v>
      </c>
      <c r="E14" s="7" t="n">
        <v>20</v>
      </c>
      <c r="F14" s="5" t="s">
        <v>27</v>
      </c>
      <c r="G14" s="7" t="n">
        <v>102</v>
      </c>
      <c r="H14" s="5" t="s">
        <v>156</v>
      </c>
      <c r="I14" s="7" t="n">
        <v>28</v>
      </c>
      <c r="J14" s="5" t="s">
        <v>27</v>
      </c>
      <c r="K14" s="10" t="s">
        <v>157</v>
      </c>
      <c r="L14" s="5"/>
      <c r="M14" s="5"/>
      <c r="N14" s="5"/>
    </row>
    <row r="15" customFormat="false" ht="44.25" hidden="false" customHeight="true" outlineLevel="0" collapsed="false">
      <c r="A15" s="4" t="s">
        <v>164</v>
      </c>
      <c r="B15" s="5" t="s">
        <v>27</v>
      </c>
      <c r="C15" s="7" t="n">
        <v>236</v>
      </c>
      <c r="D15" s="5" t="s">
        <v>27</v>
      </c>
      <c r="E15" s="7" t="n">
        <v>20</v>
      </c>
      <c r="F15" s="5" t="s">
        <v>27</v>
      </c>
      <c r="G15" s="7" t="n">
        <v>101</v>
      </c>
      <c r="H15" s="5" t="s">
        <v>156</v>
      </c>
      <c r="I15" s="7" t="n">
        <v>28</v>
      </c>
      <c r="J15" s="5" t="s">
        <v>27</v>
      </c>
      <c r="K15" s="10" t="s">
        <v>157</v>
      </c>
      <c r="L15" s="5"/>
      <c r="M15" s="5"/>
      <c r="N15" s="5"/>
    </row>
    <row r="16" customFormat="false" ht="44.25" hidden="false" customHeight="true" outlineLevel="0" collapsed="false">
      <c r="A16" s="4" t="s">
        <v>165</v>
      </c>
      <c r="B16" s="5" t="s">
        <v>27</v>
      </c>
      <c r="C16" s="7" t="n">
        <v>234</v>
      </c>
      <c r="D16" s="5" t="s">
        <v>27</v>
      </c>
      <c r="E16" s="7" t="n">
        <v>20</v>
      </c>
      <c r="F16" s="5" t="s">
        <v>27</v>
      </c>
      <c r="G16" s="7" t="n">
        <v>101</v>
      </c>
      <c r="H16" s="5" t="s">
        <v>156</v>
      </c>
      <c r="I16" s="7" t="n">
        <v>28</v>
      </c>
      <c r="J16" s="5" t="s">
        <v>27</v>
      </c>
      <c r="K16" s="10" t="s">
        <v>157</v>
      </c>
      <c r="L16" s="5"/>
      <c r="M16" s="5"/>
      <c r="N16" s="5"/>
    </row>
    <row r="17" customFormat="false" ht="44.25" hidden="false" customHeight="true" outlineLevel="0" collapsed="false">
      <c r="A17" s="4" t="s">
        <v>166</v>
      </c>
      <c r="B17" s="5" t="s">
        <v>27</v>
      </c>
      <c r="C17" s="7" t="n">
        <v>234</v>
      </c>
      <c r="D17" s="5" t="s">
        <v>27</v>
      </c>
      <c r="E17" s="7" t="n">
        <v>20</v>
      </c>
      <c r="F17" s="5" t="s">
        <v>27</v>
      </c>
      <c r="G17" s="7" t="n">
        <v>100</v>
      </c>
      <c r="H17" s="5" t="s">
        <v>156</v>
      </c>
      <c r="I17" s="7" t="n">
        <v>28</v>
      </c>
      <c r="J17" s="5" t="s">
        <v>27</v>
      </c>
      <c r="K17" s="10" t="s">
        <v>157</v>
      </c>
      <c r="L17" s="5"/>
      <c r="M17" s="5"/>
      <c r="N17" s="5"/>
    </row>
    <row r="18" customFormat="false" ht="44.25" hidden="false" customHeight="true" outlineLevel="0" collapsed="false">
      <c r="A18" s="4" t="s">
        <v>167</v>
      </c>
      <c r="B18" s="5" t="s">
        <v>27</v>
      </c>
      <c r="C18" s="7" t="n">
        <v>235</v>
      </c>
      <c r="D18" s="5" t="s">
        <v>27</v>
      </c>
      <c r="E18" s="7" t="n">
        <v>20</v>
      </c>
      <c r="F18" s="5" t="s">
        <v>27</v>
      </c>
      <c r="G18" s="7" t="n">
        <v>102</v>
      </c>
      <c r="H18" s="5" t="s">
        <v>156</v>
      </c>
      <c r="I18" s="7" t="n">
        <v>28</v>
      </c>
      <c r="J18" s="5" t="s">
        <v>27</v>
      </c>
      <c r="K18" s="10" t="s">
        <v>157</v>
      </c>
      <c r="L18" s="5"/>
      <c r="M18" s="5"/>
      <c r="N18" s="5"/>
    </row>
    <row r="19" customFormat="false" ht="44.25" hidden="false" customHeight="true" outlineLevel="0" collapsed="false">
      <c r="A19" s="4" t="s">
        <v>98</v>
      </c>
      <c r="B19" s="5" t="s">
        <v>27</v>
      </c>
      <c r="C19" s="7" t="n">
        <v>234</v>
      </c>
      <c r="D19" s="5" t="s">
        <v>27</v>
      </c>
      <c r="E19" s="7" t="n">
        <v>20</v>
      </c>
      <c r="F19" s="5" t="s">
        <v>27</v>
      </c>
      <c r="G19" s="7" t="n">
        <v>103</v>
      </c>
      <c r="H19" s="5" t="s">
        <v>27</v>
      </c>
      <c r="I19" s="7" t="n">
        <v>28</v>
      </c>
      <c r="J19" s="6" t="n">
        <v>0.61</v>
      </c>
      <c r="K19" s="10" t="s">
        <v>27</v>
      </c>
      <c r="L19" s="6" t="n">
        <v>0.47</v>
      </c>
      <c r="M19" s="5" t="s">
        <v>27</v>
      </c>
      <c r="N19" s="6" t="n">
        <v>0.4</v>
      </c>
    </row>
    <row r="20" customFormat="false" ht="44.25" hidden="false" customHeight="true" outlineLevel="0" collapsed="false">
      <c r="A20" s="4" t="s">
        <v>101</v>
      </c>
      <c r="B20" s="5" t="s">
        <v>27</v>
      </c>
      <c r="C20" s="7" t="n">
        <v>236</v>
      </c>
      <c r="D20" s="5" t="s">
        <v>27</v>
      </c>
      <c r="E20" s="7" t="n">
        <v>20</v>
      </c>
      <c r="F20" s="5" t="s">
        <v>27</v>
      </c>
      <c r="G20" s="7" t="n">
        <v>100</v>
      </c>
      <c r="H20" s="5" t="s">
        <v>27</v>
      </c>
      <c r="I20" s="7" t="n">
        <v>28</v>
      </c>
      <c r="J20" s="6" t="n">
        <v>-0.38</v>
      </c>
      <c r="K20" s="10" t="s">
        <v>27</v>
      </c>
      <c r="L20" s="6" t="n">
        <v>-0.3</v>
      </c>
      <c r="M20" s="5" t="s">
        <v>27</v>
      </c>
      <c r="N20" s="6" t="n">
        <v>-0.58</v>
      </c>
    </row>
    <row r="21" customFormat="false" ht="44.25" hidden="false" customHeight="true" outlineLevel="0" collapsed="false">
      <c r="A21" s="4" t="s">
        <v>104</v>
      </c>
      <c r="B21" s="5" t="s">
        <v>27</v>
      </c>
      <c r="C21" s="7" t="n">
        <v>234</v>
      </c>
      <c r="D21" s="5" t="s">
        <v>27</v>
      </c>
      <c r="E21" s="7" t="n">
        <v>20</v>
      </c>
      <c r="F21" s="5" t="s">
        <v>27</v>
      </c>
      <c r="G21" s="7" t="n">
        <v>100</v>
      </c>
      <c r="H21" s="5" t="s">
        <v>27</v>
      </c>
      <c r="I21" s="7" t="n">
        <v>28</v>
      </c>
      <c r="J21" s="6" t="n">
        <v>0.1</v>
      </c>
      <c r="K21" s="10" t="s">
        <v>27</v>
      </c>
      <c r="L21" s="6" t="n">
        <v>0.08</v>
      </c>
      <c r="M21" s="5" t="s">
        <v>27</v>
      </c>
      <c r="N21" s="6" t="n">
        <v>-0.01</v>
      </c>
    </row>
    <row r="22" customFormat="false" ht="44.25" hidden="false" customHeight="true" outlineLevel="0" collapsed="false">
      <c r="A22" s="4" t="s">
        <v>106</v>
      </c>
      <c r="B22" s="5" t="s">
        <v>27</v>
      </c>
      <c r="C22" s="7" t="n">
        <v>234</v>
      </c>
      <c r="D22" s="5" t="s">
        <v>27</v>
      </c>
      <c r="E22" s="7" t="n">
        <v>20</v>
      </c>
      <c r="F22" s="5" t="s">
        <v>27</v>
      </c>
      <c r="G22" s="7" t="n">
        <v>100</v>
      </c>
      <c r="H22" s="5" t="s">
        <v>27</v>
      </c>
      <c r="I22" s="7" t="n">
        <v>28</v>
      </c>
      <c r="J22" s="6" t="n">
        <v>0.45</v>
      </c>
      <c r="K22" s="10" t="s">
        <v>27</v>
      </c>
      <c r="L22" s="6" t="n">
        <v>0.35</v>
      </c>
      <c r="M22" s="5" t="s">
        <v>27</v>
      </c>
      <c r="N22" s="6" t="n">
        <v>0.17</v>
      </c>
    </row>
    <row r="24" customFormat="false" ht="15" hidden="false" customHeight="false" outlineLevel="0" collapsed="false">
      <c r="A24" s="8" t="s">
        <v>168</v>
      </c>
    </row>
    <row r="25" customFormat="false" ht="15" hidden="false" customHeight="false" outlineLevel="0" collapsed="false">
      <c r="A25" s="4" t="s">
        <v>138</v>
      </c>
      <c r="B25" s="7" t="s">
        <v>139</v>
      </c>
      <c r="C25" s="5" t="n">
        <v>0.948</v>
      </c>
      <c r="D25" s="7" t="n">
        <v>116</v>
      </c>
      <c r="E25" s="7" t="s">
        <v>140</v>
      </c>
      <c r="F25" s="5" t="n">
        <v>0.768</v>
      </c>
      <c r="G25" s="7" t="n">
        <v>95</v>
      </c>
    </row>
    <row r="26" customFormat="false" ht="69.75" hidden="false" customHeight="true" outlineLevel="0" collapsed="false">
      <c r="A26" s="3" t="s">
        <v>141</v>
      </c>
      <c r="B26" s="3" t="s">
        <v>142</v>
      </c>
      <c r="C26" s="3" t="s">
        <v>143</v>
      </c>
      <c r="D26" s="3" t="s">
        <v>144</v>
      </c>
      <c r="E26" s="3" t="s">
        <v>145</v>
      </c>
      <c r="F26" s="3" t="s">
        <v>146</v>
      </c>
      <c r="G26" s="3" t="s">
        <v>147</v>
      </c>
      <c r="H26" s="3" t="s">
        <v>148</v>
      </c>
      <c r="I26" s="3" t="s">
        <v>149</v>
      </c>
      <c r="J26" s="3" t="s">
        <v>150</v>
      </c>
      <c r="K26" s="3" t="s">
        <v>151</v>
      </c>
      <c r="L26" s="3" t="s">
        <v>152</v>
      </c>
      <c r="M26" s="3" t="s">
        <v>153</v>
      </c>
      <c r="N26" s="3" t="s">
        <v>154</v>
      </c>
      <c r="O26" s="3" t="s">
        <v>169</v>
      </c>
      <c r="P26" s="3" t="s">
        <v>170</v>
      </c>
      <c r="Q26" s="3" t="s">
        <v>171</v>
      </c>
      <c r="R26" s="3" t="s">
        <v>172</v>
      </c>
      <c r="S26" s="3" t="s">
        <v>173</v>
      </c>
      <c r="T26" s="3" t="s">
        <v>174</v>
      </c>
    </row>
    <row r="27" customFormat="false" ht="57.75" hidden="false" customHeight="true" outlineLevel="0" collapsed="false">
      <c r="A27" s="4" t="s">
        <v>155</v>
      </c>
      <c r="B27" s="5" t="n">
        <v>0.665</v>
      </c>
      <c r="C27" s="7" t="s">
        <v>175</v>
      </c>
      <c r="D27" s="5" t="s">
        <v>176</v>
      </c>
      <c r="E27" s="7" t="s">
        <v>156</v>
      </c>
      <c r="F27" s="5" t="n">
        <v>0.863</v>
      </c>
      <c r="G27" s="7" t="n">
        <v>73</v>
      </c>
      <c r="H27" s="5" t="s">
        <v>156</v>
      </c>
      <c r="I27" s="7" t="n">
        <v>21</v>
      </c>
      <c r="J27" s="5" t="n">
        <v>0.198</v>
      </c>
      <c r="K27" s="10" t="s">
        <v>157</v>
      </c>
      <c r="L27" s="5"/>
      <c r="M27" s="5"/>
      <c r="N27" s="5"/>
      <c r="O27" s="5" t="n">
        <v>0.094</v>
      </c>
      <c r="P27" s="4"/>
      <c r="Q27" s="5" t="n">
        <v>0.209</v>
      </c>
      <c r="R27" s="5" t="n">
        <v>0.071</v>
      </c>
      <c r="S27" s="5" t="n">
        <v>0.003</v>
      </c>
      <c r="T27" s="4" t="s">
        <v>177</v>
      </c>
    </row>
    <row r="28" customFormat="false" ht="57.75" hidden="false" customHeight="true" outlineLevel="0" collapsed="false">
      <c r="A28" s="4" t="s">
        <v>158</v>
      </c>
      <c r="B28" s="5" t="n">
        <v>0.656</v>
      </c>
      <c r="C28" s="7" t="s">
        <v>175</v>
      </c>
      <c r="D28" s="5" t="s">
        <v>176</v>
      </c>
      <c r="E28" s="7" t="s">
        <v>156</v>
      </c>
      <c r="F28" s="5" t="s">
        <v>178</v>
      </c>
      <c r="G28" s="7" t="n">
        <v>73</v>
      </c>
      <c r="H28" s="5" t="s">
        <v>156</v>
      </c>
      <c r="I28" s="7" t="n">
        <v>21</v>
      </c>
      <c r="J28" s="5" t="s">
        <v>27</v>
      </c>
      <c r="K28" s="10" t="s">
        <v>157</v>
      </c>
      <c r="L28" s="5"/>
      <c r="M28" s="5"/>
      <c r="N28" s="5"/>
      <c r="O28" s="5" t="s">
        <v>27</v>
      </c>
      <c r="P28" s="4"/>
      <c r="Q28" s="5" t="n">
        <v>0.253</v>
      </c>
      <c r="R28" s="5" t="n">
        <v>0.07</v>
      </c>
      <c r="S28" s="5" t="n">
        <v>0</v>
      </c>
      <c r="T28" s="4" t="s">
        <v>177</v>
      </c>
    </row>
    <row r="29" customFormat="false" ht="57.75" hidden="false" customHeight="true" outlineLevel="0" collapsed="false">
      <c r="A29" s="4" t="s">
        <v>159</v>
      </c>
      <c r="B29" s="5" t="n">
        <v>0.281</v>
      </c>
      <c r="C29" s="7" t="s">
        <v>175</v>
      </c>
      <c r="D29" s="5" t="s">
        <v>176</v>
      </c>
      <c r="E29" s="7" t="s">
        <v>156</v>
      </c>
      <c r="F29" s="5" t="n">
        <v>0.164</v>
      </c>
      <c r="G29" s="7" t="n">
        <v>73</v>
      </c>
      <c r="H29" s="5" t="s">
        <v>156</v>
      </c>
      <c r="I29" s="7" t="n">
        <v>21</v>
      </c>
      <c r="J29" s="5" t="n">
        <v>-0.117</v>
      </c>
      <c r="K29" s="10" t="s">
        <v>157</v>
      </c>
      <c r="L29" s="5"/>
      <c r="M29" s="5"/>
      <c r="N29" s="5"/>
      <c r="O29" s="5" t="n">
        <v>0.085</v>
      </c>
      <c r="P29" s="4"/>
      <c r="Q29" s="5" t="n">
        <v>-0.109</v>
      </c>
      <c r="R29" s="5" t="n">
        <v>0.068</v>
      </c>
      <c r="S29" s="5" t="n">
        <v>0.11</v>
      </c>
      <c r="T29" s="4" t="s">
        <v>177</v>
      </c>
    </row>
    <row r="30" customFormat="false" ht="57.75" hidden="false" customHeight="true" outlineLevel="0" collapsed="false">
      <c r="A30" s="4" t="s">
        <v>160</v>
      </c>
      <c r="B30" s="5" t="n">
        <v>0.293</v>
      </c>
      <c r="C30" s="7" t="s">
        <v>175</v>
      </c>
      <c r="D30" s="5" t="s">
        <v>176</v>
      </c>
      <c r="E30" s="7" t="s">
        <v>156</v>
      </c>
      <c r="F30" s="5" t="n">
        <v>0.301</v>
      </c>
      <c r="G30" s="7" t="n">
        <v>73</v>
      </c>
      <c r="H30" s="5" t="s">
        <v>156</v>
      </c>
      <c r="I30" s="7" t="n">
        <v>21</v>
      </c>
      <c r="J30" s="5" t="n">
        <v>0.008</v>
      </c>
      <c r="K30" s="10" t="s">
        <v>157</v>
      </c>
      <c r="L30" s="5"/>
      <c r="M30" s="5"/>
      <c r="N30" s="5"/>
      <c r="O30" s="5" t="n">
        <v>0.096</v>
      </c>
      <c r="P30" s="4"/>
      <c r="Q30" s="5" t="n">
        <v>0.039</v>
      </c>
      <c r="R30" s="5" t="n">
        <v>0.089</v>
      </c>
      <c r="S30" s="5" t="n">
        <v>0.66</v>
      </c>
      <c r="T30" s="4" t="s">
        <v>177</v>
      </c>
    </row>
    <row r="31" customFormat="false" ht="57.75" hidden="false" customHeight="true" outlineLevel="0" collapsed="false">
      <c r="A31" s="4" t="s">
        <v>161</v>
      </c>
      <c r="B31" s="5" t="n">
        <v>0.584</v>
      </c>
      <c r="C31" s="7" t="s">
        <v>175</v>
      </c>
      <c r="D31" s="5" t="s">
        <v>176</v>
      </c>
      <c r="E31" s="7" t="s">
        <v>156</v>
      </c>
      <c r="F31" s="5" t="n">
        <v>0.342</v>
      </c>
      <c r="G31" s="7" t="n">
        <v>73</v>
      </c>
      <c r="H31" s="5" t="s">
        <v>156</v>
      </c>
      <c r="I31" s="7" t="n">
        <v>21</v>
      </c>
      <c r="J31" s="5" t="n">
        <v>-0.241</v>
      </c>
      <c r="K31" s="10" t="s">
        <v>157</v>
      </c>
      <c r="L31" s="5"/>
      <c r="M31" s="5"/>
      <c r="N31" s="5"/>
      <c r="O31" s="5" t="n">
        <v>0.098</v>
      </c>
      <c r="P31" s="4"/>
      <c r="Q31" s="5" t="n">
        <v>-0.199</v>
      </c>
      <c r="R31" s="5" t="n">
        <v>0.094</v>
      </c>
      <c r="S31" s="5" t="n">
        <v>0.034</v>
      </c>
      <c r="T31" s="4" t="s">
        <v>177</v>
      </c>
    </row>
    <row r="32" customFormat="false" ht="57.75" hidden="false" customHeight="true" outlineLevel="0" collapsed="false">
      <c r="A32" s="4" t="s">
        <v>162</v>
      </c>
      <c r="B32" s="5" t="n">
        <v>0.812</v>
      </c>
      <c r="C32" s="7" t="s">
        <v>175</v>
      </c>
      <c r="D32" s="5" t="s">
        <v>176</v>
      </c>
      <c r="E32" s="7" t="s">
        <v>156</v>
      </c>
      <c r="F32" s="5" t="n">
        <v>0.616</v>
      </c>
      <c r="G32" s="7" t="n">
        <v>73</v>
      </c>
      <c r="H32" s="5" t="s">
        <v>156</v>
      </c>
      <c r="I32" s="7" t="n">
        <v>21</v>
      </c>
      <c r="J32" s="5" t="n">
        <v>-0.195</v>
      </c>
      <c r="K32" s="10" t="s">
        <v>157</v>
      </c>
      <c r="L32" s="5"/>
      <c r="M32" s="5"/>
      <c r="N32" s="5"/>
      <c r="O32" s="5" t="n">
        <v>0.08</v>
      </c>
      <c r="P32" s="4"/>
      <c r="Q32" s="5" t="n">
        <v>-0.17</v>
      </c>
      <c r="R32" s="5" t="n">
        <v>0.087</v>
      </c>
      <c r="S32" s="5" t="n">
        <v>0.05</v>
      </c>
      <c r="T32" s="4" t="s">
        <v>177</v>
      </c>
    </row>
    <row r="33" customFormat="false" ht="57.75" hidden="false" customHeight="true" outlineLevel="0" collapsed="false">
      <c r="A33" s="4" t="s">
        <v>163</v>
      </c>
      <c r="B33" s="5" t="n">
        <v>0.357</v>
      </c>
      <c r="C33" s="7" t="s">
        <v>175</v>
      </c>
      <c r="D33" s="5" t="s">
        <v>176</v>
      </c>
      <c r="E33" s="7" t="s">
        <v>156</v>
      </c>
      <c r="F33" s="5" t="n">
        <v>0.37</v>
      </c>
      <c r="G33" s="7" t="n">
        <v>73</v>
      </c>
      <c r="H33" s="5" t="s">
        <v>156</v>
      </c>
      <c r="I33" s="7" t="n">
        <v>21</v>
      </c>
      <c r="J33" s="5" t="n">
        <v>0.013</v>
      </c>
      <c r="K33" s="10" t="s">
        <v>157</v>
      </c>
      <c r="L33" s="5"/>
      <c r="M33" s="5"/>
      <c r="N33" s="5"/>
      <c r="O33" s="5" t="n">
        <v>0.095</v>
      </c>
      <c r="P33" s="4"/>
      <c r="Q33" s="5" t="n">
        <v>0.09</v>
      </c>
      <c r="R33" s="5" t="n">
        <v>0.093</v>
      </c>
      <c r="S33" s="5" t="n">
        <v>0.336</v>
      </c>
      <c r="T33" s="4" t="s">
        <v>177</v>
      </c>
    </row>
    <row r="34" customFormat="false" ht="57.75" hidden="false" customHeight="true" outlineLevel="0" collapsed="false">
      <c r="A34" s="4" t="s">
        <v>164</v>
      </c>
      <c r="B34" s="5" t="n">
        <v>0.513</v>
      </c>
      <c r="C34" s="7" t="s">
        <v>175</v>
      </c>
      <c r="D34" s="5" t="s">
        <v>176</v>
      </c>
      <c r="E34" s="7" t="s">
        <v>156</v>
      </c>
      <c r="F34" s="5" t="n">
        <v>0.671</v>
      </c>
      <c r="G34" s="7" t="n">
        <v>73</v>
      </c>
      <c r="H34" s="5" t="s">
        <v>156</v>
      </c>
      <c r="I34" s="7" t="n">
        <v>21</v>
      </c>
      <c r="J34" s="5" t="n">
        <v>0.159</v>
      </c>
      <c r="K34" s="10" t="s">
        <v>157</v>
      </c>
      <c r="L34" s="5"/>
      <c r="M34" s="5"/>
      <c r="N34" s="5"/>
      <c r="O34" s="5" t="n">
        <v>0.099</v>
      </c>
      <c r="P34" s="4"/>
      <c r="Q34" s="5" t="n">
        <v>0.1</v>
      </c>
      <c r="R34" s="5" t="n">
        <v>0.088</v>
      </c>
      <c r="S34" s="5" t="n">
        <v>0.256</v>
      </c>
      <c r="T34" s="4" t="s">
        <v>177</v>
      </c>
    </row>
    <row r="35" customFormat="false" ht="57.75" hidden="false" customHeight="true" outlineLevel="0" collapsed="false">
      <c r="A35" s="4" t="s">
        <v>165</v>
      </c>
      <c r="B35" s="5" t="n">
        <v>0.56</v>
      </c>
      <c r="C35" s="7" t="s">
        <v>175</v>
      </c>
      <c r="D35" s="5" t="s">
        <v>176</v>
      </c>
      <c r="E35" s="7" t="s">
        <v>156</v>
      </c>
      <c r="F35" s="5" t="n">
        <v>0.452</v>
      </c>
      <c r="G35" s="7" t="n">
        <v>73</v>
      </c>
      <c r="H35" s="5" t="s">
        <v>156</v>
      </c>
      <c r="I35" s="7" t="n">
        <v>21</v>
      </c>
      <c r="J35" s="5" t="n">
        <v>-0.108</v>
      </c>
      <c r="K35" s="10" t="s">
        <v>157</v>
      </c>
      <c r="L35" s="5"/>
      <c r="M35" s="5"/>
      <c r="N35" s="5"/>
      <c r="O35" s="5" t="n">
        <v>0.098</v>
      </c>
      <c r="P35" s="4"/>
      <c r="Q35" s="5" t="n">
        <v>-0.082</v>
      </c>
      <c r="R35" s="5" t="n">
        <v>0.095</v>
      </c>
      <c r="S35" s="5" t="n">
        <v>0.385</v>
      </c>
      <c r="T35" s="4" t="s">
        <v>177</v>
      </c>
    </row>
    <row r="36" customFormat="false" ht="57.75" hidden="false" customHeight="true" outlineLevel="0" collapsed="false">
      <c r="A36" s="4" t="s">
        <v>166</v>
      </c>
      <c r="B36" s="5" t="n">
        <v>0.247</v>
      </c>
      <c r="C36" s="7" t="s">
        <v>175</v>
      </c>
      <c r="D36" s="5" t="s">
        <v>176</v>
      </c>
      <c r="E36" s="7" t="s">
        <v>156</v>
      </c>
      <c r="F36" s="5" t="n">
        <v>0.219</v>
      </c>
      <c r="G36" s="7" t="n">
        <v>73</v>
      </c>
      <c r="H36" s="5" t="s">
        <v>156</v>
      </c>
      <c r="I36" s="7" t="n">
        <v>21</v>
      </c>
      <c r="J36" s="5" t="n">
        <v>-0.028</v>
      </c>
      <c r="K36" s="10" t="s">
        <v>157</v>
      </c>
      <c r="L36" s="5"/>
      <c r="M36" s="5"/>
      <c r="N36" s="5"/>
      <c r="O36" s="5" t="n">
        <v>0.092</v>
      </c>
      <c r="P36" s="4"/>
      <c r="Q36" s="5" t="n">
        <v>-0.058</v>
      </c>
      <c r="R36" s="5" t="n">
        <v>0.083</v>
      </c>
      <c r="S36" s="5" t="n">
        <v>0.485</v>
      </c>
      <c r="T36" s="4" t="s">
        <v>177</v>
      </c>
    </row>
    <row r="37" customFormat="false" ht="57.75" hidden="false" customHeight="true" outlineLevel="0" collapsed="false">
      <c r="A37" s="4" t="s">
        <v>167</v>
      </c>
      <c r="B37" s="5" t="n">
        <v>0.265</v>
      </c>
      <c r="C37" s="7" t="s">
        <v>175</v>
      </c>
      <c r="D37" s="5" t="s">
        <v>176</v>
      </c>
      <c r="E37" s="7" t="s">
        <v>156</v>
      </c>
      <c r="F37" s="5" t="n">
        <v>0.205</v>
      </c>
      <c r="G37" s="7" t="n">
        <v>73</v>
      </c>
      <c r="H37" s="5" t="s">
        <v>156</v>
      </c>
      <c r="I37" s="7" t="n">
        <v>21</v>
      </c>
      <c r="J37" s="5" t="n">
        <v>-0.06</v>
      </c>
      <c r="K37" s="10" t="s">
        <v>157</v>
      </c>
      <c r="L37" s="5"/>
      <c r="M37" s="5"/>
      <c r="N37" s="5"/>
      <c r="O37" s="5" t="n">
        <v>0.09</v>
      </c>
      <c r="P37" s="4"/>
      <c r="Q37" s="5" t="n">
        <v>-0.158</v>
      </c>
      <c r="R37" s="5" t="n">
        <v>0.077</v>
      </c>
      <c r="S37" s="5" t="n">
        <v>0.041</v>
      </c>
      <c r="T37" s="4" t="s">
        <v>177</v>
      </c>
    </row>
    <row r="38" customFormat="false" ht="57.75" hidden="false" customHeight="true" outlineLevel="0" collapsed="false">
      <c r="A38" s="4" t="s">
        <v>98</v>
      </c>
      <c r="B38" s="5" t="n">
        <v>1.321</v>
      </c>
      <c r="C38" s="7" t="s">
        <v>175</v>
      </c>
      <c r="D38" s="5" t="s">
        <v>176</v>
      </c>
      <c r="E38" s="7" t="s">
        <v>156</v>
      </c>
      <c r="F38" s="5" t="s">
        <v>27</v>
      </c>
      <c r="G38" s="7" t="n">
        <v>73</v>
      </c>
      <c r="H38" s="5" t="s">
        <v>27</v>
      </c>
      <c r="I38" s="7" t="n">
        <v>21</v>
      </c>
      <c r="J38" s="5" t="s">
        <v>27</v>
      </c>
      <c r="K38" s="10" t="s">
        <v>157</v>
      </c>
      <c r="L38" s="5"/>
      <c r="M38" s="5"/>
      <c r="N38" s="5"/>
      <c r="O38" s="5" t="s">
        <v>27</v>
      </c>
      <c r="P38" s="4"/>
      <c r="Q38" s="5" t="n">
        <v>0.462</v>
      </c>
      <c r="R38" s="5" t="n">
        <v>0.129</v>
      </c>
      <c r="S38" s="5" t="n">
        <v>0</v>
      </c>
      <c r="T38" s="4" t="s">
        <v>177</v>
      </c>
    </row>
    <row r="39" customFormat="false" ht="57.75" hidden="false" customHeight="true" outlineLevel="0" collapsed="false">
      <c r="A39" s="4" t="s">
        <v>101</v>
      </c>
      <c r="B39" s="5" t="n">
        <v>1.908</v>
      </c>
      <c r="C39" s="7" t="s">
        <v>175</v>
      </c>
      <c r="D39" s="5" t="s">
        <v>176</v>
      </c>
      <c r="E39" s="7" t="s">
        <v>156</v>
      </c>
      <c r="F39" s="5" t="n">
        <v>1.63</v>
      </c>
      <c r="G39" s="7" t="n">
        <v>73</v>
      </c>
      <c r="H39" s="5" t="s">
        <v>27</v>
      </c>
      <c r="I39" s="7" t="n">
        <v>21</v>
      </c>
      <c r="J39" s="5" t="n">
        <v>-0.278</v>
      </c>
      <c r="K39" s="10" t="s">
        <v>157</v>
      </c>
      <c r="L39" s="5"/>
      <c r="M39" s="5"/>
      <c r="N39" s="5"/>
      <c r="O39" s="5" t="n">
        <v>0.208</v>
      </c>
      <c r="P39" s="4"/>
      <c r="Q39" s="5" t="n">
        <v>-0.27</v>
      </c>
      <c r="R39" s="5" t="n">
        <v>0.197</v>
      </c>
      <c r="S39" s="5" t="n">
        <v>0.172</v>
      </c>
      <c r="T39" s="4" t="s">
        <v>177</v>
      </c>
    </row>
    <row r="40" customFormat="false" ht="57.75" hidden="false" customHeight="true" outlineLevel="0" collapsed="false">
      <c r="A40" s="4" t="s">
        <v>104</v>
      </c>
      <c r="B40" s="5" t="n">
        <v>0.932</v>
      </c>
      <c r="C40" s="7" t="s">
        <v>175</v>
      </c>
      <c r="D40" s="5" t="s">
        <v>176</v>
      </c>
      <c r="E40" s="7" t="s">
        <v>156</v>
      </c>
      <c r="F40" s="5" t="n">
        <v>0.836</v>
      </c>
      <c r="G40" s="7" t="n">
        <v>73</v>
      </c>
      <c r="H40" s="5" t="s">
        <v>27</v>
      </c>
      <c r="I40" s="7" t="n">
        <v>21</v>
      </c>
      <c r="J40" s="5" t="n">
        <v>-0.096</v>
      </c>
      <c r="K40" s="10" t="s">
        <v>157</v>
      </c>
      <c r="L40" s="5"/>
      <c r="M40" s="5"/>
      <c r="N40" s="5"/>
      <c r="O40" s="5" t="n">
        <v>0.191</v>
      </c>
      <c r="P40" s="4"/>
      <c r="Q40" s="5" t="n">
        <v>0.019</v>
      </c>
      <c r="R40" s="5" t="n">
        <v>0.176</v>
      </c>
      <c r="S40" s="5" t="n">
        <v>0.912</v>
      </c>
      <c r="T40" s="4" t="s">
        <v>177</v>
      </c>
    </row>
    <row r="41" customFormat="false" ht="57.75" hidden="false" customHeight="true" outlineLevel="0" collapsed="false">
      <c r="A41" s="4" t="s">
        <v>106</v>
      </c>
      <c r="B41" s="5" t="n">
        <v>1.922</v>
      </c>
      <c r="C41" s="7" t="s">
        <v>175</v>
      </c>
      <c r="D41" s="5" t="s">
        <v>176</v>
      </c>
      <c r="E41" s="7" t="s">
        <v>156</v>
      </c>
      <c r="F41" s="5" t="n">
        <v>2.178</v>
      </c>
      <c r="G41" s="7" t="n">
        <v>73</v>
      </c>
      <c r="H41" s="5" t="s">
        <v>27</v>
      </c>
      <c r="I41" s="7" t="n">
        <v>21</v>
      </c>
      <c r="J41" s="5" t="n">
        <v>0.256</v>
      </c>
      <c r="K41" s="10" t="s">
        <v>157</v>
      </c>
      <c r="L41" s="5"/>
      <c r="M41" s="5"/>
      <c r="N41" s="5"/>
      <c r="O41" s="5" t="n">
        <v>0.173</v>
      </c>
      <c r="P41" s="4"/>
      <c r="Q41" s="5" t="n">
        <v>0.358</v>
      </c>
      <c r="R41" s="5" t="n">
        <v>0.147</v>
      </c>
      <c r="S41" s="5" t="n">
        <v>0.015</v>
      </c>
      <c r="T41" s="4" t="s">
        <v>177</v>
      </c>
    </row>
    <row r="43" customFormat="false" ht="15" hidden="false" customHeight="false" outlineLevel="0" collapsed="false">
      <c r="A43" s="8" t="s">
        <v>179</v>
      </c>
    </row>
    <row r="44" customFormat="false" ht="39.75" hidden="false" customHeight="true" outlineLevel="0" collapsed="false">
      <c r="A44" s="3" t="s">
        <v>141</v>
      </c>
      <c r="B44" s="3" t="s">
        <v>180</v>
      </c>
      <c r="C44" s="3" t="s">
        <v>181</v>
      </c>
      <c r="D44" s="3" t="s">
        <v>182</v>
      </c>
      <c r="E44" s="3" t="s">
        <v>183</v>
      </c>
      <c r="F44" s="3" t="s">
        <v>184</v>
      </c>
    </row>
    <row r="45" customFormat="false" ht="30.75" hidden="false" customHeight="true" outlineLevel="0" collapsed="false">
      <c r="A45" s="4" t="s">
        <v>155</v>
      </c>
      <c r="B45" s="5" t="n">
        <v>0.619</v>
      </c>
      <c r="C45" s="7" t="n">
        <v>42</v>
      </c>
      <c r="D45" s="5" t="s">
        <v>178</v>
      </c>
      <c r="E45" s="7" t="n">
        <v>88</v>
      </c>
      <c r="F45" s="5"/>
    </row>
    <row r="46" customFormat="false" ht="44.25" hidden="false" customHeight="true" outlineLevel="0" collapsed="false">
      <c r="A46" s="4" t="s">
        <v>158</v>
      </c>
      <c r="B46" s="5" t="n">
        <v>0.571</v>
      </c>
      <c r="C46" s="7" t="n">
        <v>42</v>
      </c>
      <c r="D46" s="5" t="s">
        <v>178</v>
      </c>
      <c r="E46" s="7" t="n">
        <v>88</v>
      </c>
      <c r="F46" s="5"/>
    </row>
    <row r="47" customFormat="false" ht="30.75" hidden="false" customHeight="true" outlineLevel="0" collapsed="false">
      <c r="A47" s="4" t="s">
        <v>159</v>
      </c>
      <c r="B47" s="5" t="s">
        <v>156</v>
      </c>
      <c r="C47" s="7" t="n">
        <v>42</v>
      </c>
      <c r="D47" s="5" t="s">
        <v>27</v>
      </c>
      <c r="E47" s="7" t="n">
        <v>87</v>
      </c>
      <c r="F47" s="5"/>
    </row>
    <row r="48" customFormat="false" ht="30.75" hidden="false" customHeight="true" outlineLevel="0" collapsed="false">
      <c r="A48" s="4" t="s">
        <v>160</v>
      </c>
      <c r="B48" s="5" t="s">
        <v>156</v>
      </c>
      <c r="C48" s="7" t="n">
        <v>42</v>
      </c>
      <c r="D48" s="5" t="n">
        <v>0.368</v>
      </c>
      <c r="E48" s="7" t="n">
        <v>87</v>
      </c>
      <c r="F48" s="5"/>
    </row>
    <row r="49" customFormat="false" ht="30.75" hidden="false" customHeight="true" outlineLevel="0" collapsed="false">
      <c r="A49" s="4" t="s">
        <v>161</v>
      </c>
      <c r="B49" s="5" t="n">
        <v>0.738</v>
      </c>
      <c r="C49" s="7" t="n">
        <v>42</v>
      </c>
      <c r="D49" s="5" t="n">
        <v>0.375</v>
      </c>
      <c r="E49" s="7" t="n">
        <v>88</v>
      </c>
      <c r="F49" s="5" t="n">
        <v>-0.363</v>
      </c>
    </row>
    <row r="50" customFormat="false" ht="17.25" hidden="false" customHeight="true" outlineLevel="0" collapsed="false">
      <c r="A50" s="4" t="s">
        <v>162</v>
      </c>
      <c r="B50" s="5" t="n">
        <v>0.571</v>
      </c>
      <c r="C50" s="7" t="n">
        <v>42</v>
      </c>
      <c r="D50" s="5" t="n">
        <v>0.724</v>
      </c>
      <c r="E50" s="7" t="n">
        <v>87</v>
      </c>
      <c r="F50" s="5" t="n">
        <v>0.153</v>
      </c>
    </row>
    <row r="51" customFormat="false" ht="30.75" hidden="false" customHeight="true" outlineLevel="0" collapsed="false">
      <c r="A51" s="4" t="s">
        <v>163</v>
      </c>
      <c r="B51" s="5" t="n">
        <v>0.5</v>
      </c>
      <c r="C51" s="7" t="n">
        <v>42</v>
      </c>
      <c r="D51" s="5" t="n">
        <v>0.386</v>
      </c>
      <c r="E51" s="7" t="n">
        <v>88</v>
      </c>
      <c r="F51" s="5" t="n">
        <v>-0.114</v>
      </c>
    </row>
    <row r="52" customFormat="false" ht="44.25" hidden="false" customHeight="true" outlineLevel="0" collapsed="false">
      <c r="A52" s="4" t="s">
        <v>164</v>
      </c>
      <c r="B52" s="5" t="n">
        <v>0.738</v>
      </c>
      <c r="C52" s="7" t="n">
        <v>42</v>
      </c>
      <c r="D52" s="5" t="n">
        <v>0.69</v>
      </c>
      <c r="E52" s="7" t="n">
        <v>87</v>
      </c>
      <c r="F52" s="5" t="n">
        <v>-0.048</v>
      </c>
    </row>
    <row r="53" customFormat="false" ht="30.75" hidden="false" customHeight="true" outlineLevel="0" collapsed="false">
      <c r="A53" s="4" t="s">
        <v>165</v>
      </c>
      <c r="B53" s="5" t="n">
        <v>0.5</v>
      </c>
      <c r="C53" s="7" t="n">
        <v>42</v>
      </c>
      <c r="D53" s="5" t="n">
        <v>0.471</v>
      </c>
      <c r="E53" s="7" t="n">
        <v>87</v>
      </c>
      <c r="F53" s="5" t="n">
        <v>-0.029</v>
      </c>
    </row>
    <row r="54" customFormat="false" ht="30.75" hidden="false" customHeight="true" outlineLevel="0" collapsed="false">
      <c r="A54" s="4" t="s">
        <v>166</v>
      </c>
      <c r="B54" s="5" t="s">
        <v>156</v>
      </c>
      <c r="C54" s="7" t="n">
        <v>42</v>
      </c>
      <c r="D54" s="5" t="s">
        <v>27</v>
      </c>
      <c r="E54" s="7" t="n">
        <v>87</v>
      </c>
      <c r="F54" s="5"/>
    </row>
    <row r="55" customFormat="false" ht="44.25" hidden="false" customHeight="true" outlineLevel="0" collapsed="false">
      <c r="A55" s="4" t="s">
        <v>167</v>
      </c>
      <c r="B55" s="5" t="s">
        <v>156</v>
      </c>
      <c r="C55" s="7" t="n">
        <v>42</v>
      </c>
      <c r="D55" s="5" t="n">
        <v>0.172</v>
      </c>
      <c r="E55" s="7" t="n">
        <v>87</v>
      </c>
      <c r="F55" s="5"/>
    </row>
    <row r="56" customFormat="false" ht="44.25" hidden="false" customHeight="true" outlineLevel="0" collapsed="false">
      <c r="A56" s="4" t="s">
        <v>98</v>
      </c>
      <c r="B56" s="5" t="n">
        <v>1.19</v>
      </c>
      <c r="C56" s="7" t="n">
        <v>42</v>
      </c>
      <c r="D56" s="5" t="s">
        <v>27</v>
      </c>
      <c r="E56" s="7" t="n">
        <v>88</v>
      </c>
      <c r="F56" s="5"/>
    </row>
    <row r="57" customFormat="false" ht="44.25" hidden="false" customHeight="true" outlineLevel="0" collapsed="false">
      <c r="A57" s="4" t="s">
        <v>101</v>
      </c>
      <c r="B57" s="5" t="n">
        <v>2.048</v>
      </c>
      <c r="C57" s="7" t="n">
        <v>42</v>
      </c>
      <c r="D57" s="5" t="n">
        <v>1.782</v>
      </c>
      <c r="E57" s="7" t="n">
        <v>87</v>
      </c>
      <c r="F57" s="5" t="n">
        <v>-0.266</v>
      </c>
    </row>
    <row r="58" customFormat="false" ht="44.25" hidden="false" customHeight="true" outlineLevel="0" collapsed="false">
      <c r="A58" s="4" t="s">
        <v>104</v>
      </c>
      <c r="B58" s="5" t="s">
        <v>27</v>
      </c>
      <c r="C58" s="7" t="n">
        <v>42</v>
      </c>
      <c r="D58" s="5" t="s">
        <v>27</v>
      </c>
      <c r="E58" s="7" t="n">
        <v>87</v>
      </c>
      <c r="F58" s="5"/>
    </row>
    <row r="59" customFormat="false" ht="44.25" hidden="false" customHeight="true" outlineLevel="0" collapsed="false">
      <c r="A59" s="4" t="s">
        <v>106</v>
      </c>
      <c r="B59" s="5" t="n">
        <v>1.69</v>
      </c>
      <c r="C59" s="7" t="n">
        <v>42</v>
      </c>
      <c r="D59" s="5" t="n">
        <v>2.322</v>
      </c>
      <c r="E59" s="7" t="n">
        <v>87</v>
      </c>
      <c r="F59" s="5" t="n">
        <v>0.631</v>
      </c>
    </row>
  </sheetData>
  <mergeCells count="2">
    <mergeCell ref="A2:N2"/>
    <mergeCell ref="A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6"/>
    <col collapsed="false" customWidth="true" hidden="false" outlineLevel="0" max="9" min="9" style="0" width="12"/>
    <col collapsed="false" customWidth="true" hidden="false" outlineLevel="0" max="13" min="10" style="0" width="14"/>
    <col collapsed="false" customWidth="true" hidden="false" outlineLevel="0" max="14" min="14" style="0" width="16"/>
  </cols>
  <sheetData>
    <row r="1" customFormat="false" ht="15" hidden="false" customHeight="false" outlineLevel="0" collapsed="false">
      <c r="A1" s="1" t="s">
        <v>185</v>
      </c>
    </row>
    <row r="2" customFormat="false" ht="97.5" hidden="false" customHeight="true" outlineLevel="0" collapsed="false">
      <c r="A2" s="2" t="s">
        <v>186</v>
      </c>
      <c r="B2" s="2"/>
      <c r="C2" s="2"/>
      <c r="D2" s="2"/>
      <c r="E2" s="2"/>
      <c r="F2" s="2"/>
      <c r="G2" s="2"/>
      <c r="H2" s="2"/>
      <c r="I2" s="2"/>
      <c r="J2" s="2"/>
    </row>
    <row r="3" customFormat="false" ht="178.5" hidden="false" customHeight="true" outlineLevel="0" collapsed="false">
      <c r="A3" s="2" t="s">
        <v>187</v>
      </c>
      <c r="B3" s="2"/>
      <c r="C3" s="2"/>
      <c r="D3" s="2"/>
      <c r="E3" s="2"/>
      <c r="F3" s="2"/>
      <c r="G3" s="2"/>
      <c r="H3" s="2"/>
      <c r="I3" s="2"/>
      <c r="J3" s="2"/>
    </row>
    <row r="5" customFormat="false" ht="17.25" hidden="false" customHeight="true" outlineLevel="0" collapsed="false">
      <c r="A5" s="8" t="s">
        <v>188</v>
      </c>
    </row>
    <row r="6" customFormat="false" ht="354.75" hidden="false" customHeight="true" outlineLevel="0" collapsed="false">
      <c r="A6" s="11" t="s">
        <v>189</v>
      </c>
      <c r="B6" s="11"/>
      <c r="C6" s="11"/>
      <c r="D6" s="11"/>
      <c r="E6" s="11"/>
      <c r="F6" s="11"/>
      <c r="G6" s="11"/>
      <c r="H6" s="11"/>
      <c r="I6" s="11"/>
      <c r="J6" s="11"/>
    </row>
    <row r="7" customFormat="false" ht="17.25" hidden="false" customHeight="true" outlineLevel="0" collapsed="false"/>
    <row r="8" customFormat="false" ht="17.25" hidden="false" customHeight="true" outlineLevel="0" collapsed="false">
      <c r="A8" s="8" t="s">
        <v>190</v>
      </c>
    </row>
    <row r="9" customFormat="false" ht="30.75" hidden="false" customHeight="true" outlineLevel="0" collapsed="false">
      <c r="A9" s="3" t="s">
        <v>191</v>
      </c>
      <c r="B9" s="3" t="s">
        <v>192</v>
      </c>
      <c r="C9" s="3" t="s">
        <v>193</v>
      </c>
      <c r="D9" s="3" t="s">
        <v>194</v>
      </c>
      <c r="E9" s="3" t="s">
        <v>195</v>
      </c>
      <c r="F9" s="3" t="s">
        <v>196</v>
      </c>
      <c r="G9" s="3" t="s">
        <v>197</v>
      </c>
    </row>
    <row r="10" customFormat="false" ht="17.25" hidden="false" customHeight="true" outlineLevel="0" collapsed="false">
      <c r="A10" s="4" t="s">
        <v>198</v>
      </c>
      <c r="B10" s="7" t="n">
        <v>257</v>
      </c>
      <c r="C10" s="5" t="n">
        <v>0.233</v>
      </c>
      <c r="D10" s="7" t="n">
        <v>134</v>
      </c>
      <c r="E10" s="5" t="n">
        <v>0.381</v>
      </c>
      <c r="F10" s="7" t="n">
        <v>391</v>
      </c>
      <c r="G10" s="5" t="n">
        <v>0.284</v>
      </c>
    </row>
    <row r="11" customFormat="false" ht="17.25" hidden="false" customHeight="true" outlineLevel="0" collapsed="false">
      <c r="A11" s="4" t="s">
        <v>199</v>
      </c>
      <c r="B11" s="7" t="n">
        <v>257</v>
      </c>
      <c r="C11" s="5" t="n">
        <v>0.202</v>
      </c>
      <c r="D11" s="7" t="n">
        <v>133</v>
      </c>
      <c r="E11" s="5" t="n">
        <v>0.18</v>
      </c>
      <c r="F11" s="7" t="n">
        <v>390</v>
      </c>
      <c r="G11" s="5" t="n">
        <v>0.195</v>
      </c>
    </row>
    <row r="12" customFormat="false" ht="17.25" hidden="false" customHeight="true" outlineLevel="0" collapsed="false"/>
    <row r="13" customFormat="false" ht="17.25" hidden="false" customHeight="true" outlineLevel="0" collapsed="false">
      <c r="A13" s="8" t="s">
        <v>200</v>
      </c>
    </row>
    <row r="14" customFormat="false" ht="71.25" hidden="false" customHeight="true" outlineLevel="0" collapsed="false">
      <c r="A14" s="3" t="s">
        <v>3</v>
      </c>
      <c r="B14" s="3" t="s">
        <v>4</v>
      </c>
      <c r="C14" s="3" t="s">
        <v>201</v>
      </c>
      <c r="D14" s="3" t="s">
        <v>172</v>
      </c>
      <c r="E14" s="3" t="s">
        <v>202</v>
      </c>
      <c r="F14" s="3" t="s">
        <v>203</v>
      </c>
      <c r="G14" s="3" t="s">
        <v>204</v>
      </c>
      <c r="H14" s="3" t="s">
        <v>205</v>
      </c>
      <c r="I14" s="3" t="s">
        <v>206</v>
      </c>
      <c r="J14" s="3" t="s">
        <v>207</v>
      </c>
      <c r="K14" s="3" t="s">
        <v>208</v>
      </c>
      <c r="L14" s="3" t="s">
        <v>209</v>
      </c>
      <c r="M14" s="3" t="s">
        <v>210</v>
      </c>
      <c r="N14" s="3" t="s">
        <v>211</v>
      </c>
    </row>
    <row r="15" customFormat="false" ht="17.25" hidden="false" customHeight="true" outlineLevel="0" collapsed="false">
      <c r="A15" s="4" t="s">
        <v>18</v>
      </c>
      <c r="B15" s="7" t="s">
        <v>19</v>
      </c>
      <c r="C15" s="5" t="n">
        <v>0.096</v>
      </c>
      <c r="D15" s="5" t="n">
        <v>0.078</v>
      </c>
      <c r="E15" s="5" t="n">
        <v>0.216</v>
      </c>
      <c r="F15" s="5" t="n">
        <v>0.209</v>
      </c>
      <c r="G15" s="5" t="n">
        <v>0.719</v>
      </c>
      <c r="H15" s="4" t="s">
        <v>212</v>
      </c>
      <c r="I15" s="7" t="n">
        <v>205</v>
      </c>
      <c r="J15" s="5" t="n">
        <v>-0.068</v>
      </c>
      <c r="K15" s="5" t="n">
        <v>0.148</v>
      </c>
      <c r="L15" s="5" t="n">
        <v>0.643</v>
      </c>
      <c r="M15" s="5" t="n">
        <v>0.999</v>
      </c>
      <c r="N15" s="5" t="n">
        <v>0.413</v>
      </c>
    </row>
    <row r="16" customFormat="false" ht="17.25" hidden="false" customHeight="true" outlineLevel="0" collapsed="false">
      <c r="A16" s="4" t="s">
        <v>22</v>
      </c>
      <c r="B16" s="7" t="s">
        <v>19</v>
      </c>
      <c r="C16" s="5" t="n">
        <v>-0.035</v>
      </c>
      <c r="D16" s="5" t="n">
        <v>0.085</v>
      </c>
      <c r="E16" s="5" t="n">
        <v>0.681</v>
      </c>
      <c r="F16" s="5" t="n">
        <v>0.679</v>
      </c>
      <c r="G16" s="5" t="n">
        <v>0.942</v>
      </c>
      <c r="H16" s="4" t="s">
        <v>212</v>
      </c>
      <c r="I16" s="7" t="n">
        <v>187</v>
      </c>
      <c r="J16" s="5" t="n">
        <v>0.043</v>
      </c>
      <c r="K16" s="5" t="n">
        <v>0.16</v>
      </c>
      <c r="L16" s="5" t="n">
        <v>0.788</v>
      </c>
      <c r="M16" s="5" t="n">
        <v>1</v>
      </c>
      <c r="N16" s="5" t="n">
        <v>0.447</v>
      </c>
    </row>
    <row r="17" customFormat="false" ht="17.25" hidden="false" customHeight="true" outlineLevel="0" collapsed="false">
      <c r="A17" s="4" t="s">
        <v>24</v>
      </c>
      <c r="B17" s="7" t="s">
        <v>19</v>
      </c>
      <c r="C17" s="5" t="n">
        <v>0.127</v>
      </c>
      <c r="D17" s="5" t="n">
        <v>0.069</v>
      </c>
      <c r="E17" s="5" t="n">
        <v>0.064</v>
      </c>
      <c r="F17" s="5" t="n">
        <v>0.065</v>
      </c>
      <c r="G17" s="5" t="n">
        <v>0.476</v>
      </c>
      <c r="H17" s="4" t="s">
        <v>212</v>
      </c>
      <c r="I17" s="7" t="n">
        <v>211</v>
      </c>
      <c r="J17" s="5" t="n">
        <v>0.339</v>
      </c>
      <c r="K17" s="5" t="n">
        <v>0.136</v>
      </c>
      <c r="L17" s="5" t="n">
        <v>0.013</v>
      </c>
      <c r="M17" s="5" t="n">
        <v>0.155</v>
      </c>
      <c r="N17" s="5" t="n">
        <v>0.381</v>
      </c>
    </row>
    <row r="18" customFormat="false" ht="17.25" hidden="false" customHeight="true" outlineLevel="0" collapsed="false">
      <c r="A18" s="4" t="s">
        <v>38</v>
      </c>
      <c r="B18" s="7" t="s">
        <v>39</v>
      </c>
      <c r="C18" s="5" t="n">
        <v>-0.049</v>
      </c>
      <c r="D18" s="5" t="n">
        <v>0.108</v>
      </c>
      <c r="E18" s="5" t="n">
        <v>0.651</v>
      </c>
      <c r="F18" s="5" t="n">
        <v>0.649</v>
      </c>
      <c r="G18" s="5" t="n">
        <v>0.942</v>
      </c>
      <c r="H18" s="4" t="s">
        <v>212</v>
      </c>
      <c r="I18" s="7" t="n">
        <v>193</v>
      </c>
      <c r="J18" s="5" t="n">
        <v>-0.145</v>
      </c>
      <c r="K18" s="5" t="n">
        <v>0.215</v>
      </c>
      <c r="L18" s="5" t="n">
        <v>0.5</v>
      </c>
      <c r="M18" s="5" t="n">
        <v>0.998</v>
      </c>
      <c r="N18" s="5" t="n">
        <v>0.603</v>
      </c>
    </row>
    <row r="19" customFormat="false" ht="17.25" hidden="false" customHeight="true" outlineLevel="0" collapsed="false">
      <c r="A19" s="4" t="s">
        <v>61</v>
      </c>
      <c r="B19" s="7" t="s">
        <v>19</v>
      </c>
      <c r="C19" s="5" t="n">
        <v>0.085</v>
      </c>
      <c r="D19" s="5" t="n">
        <v>0.047</v>
      </c>
      <c r="E19" s="5" t="n">
        <v>0.074</v>
      </c>
      <c r="F19" s="5" t="n">
        <v>0.078</v>
      </c>
      <c r="G19" s="5" t="n">
        <v>0.49</v>
      </c>
      <c r="H19" s="4" t="s">
        <v>212</v>
      </c>
      <c r="I19" s="7" t="n">
        <v>211</v>
      </c>
      <c r="J19" s="5" t="n">
        <v>0.136</v>
      </c>
      <c r="K19" s="5" t="n">
        <v>0.1</v>
      </c>
      <c r="L19" s="5" t="n">
        <v>0.173</v>
      </c>
      <c r="M19" s="5" t="n">
        <v>0.887</v>
      </c>
      <c r="N19" s="5" t="n">
        <v>0.279</v>
      </c>
    </row>
    <row r="20" customFormat="false" ht="30.75" hidden="false" customHeight="true" outlineLevel="0" collapsed="false">
      <c r="A20" s="4" t="s">
        <v>67</v>
      </c>
      <c r="B20" s="7" t="s">
        <v>68</v>
      </c>
      <c r="C20" s="5" t="n">
        <v>1.255</v>
      </c>
      <c r="D20" s="5" t="n">
        <v>0.395</v>
      </c>
      <c r="E20" s="5" t="n">
        <v>0.001</v>
      </c>
      <c r="F20" s="5" t="n">
        <v>0.002</v>
      </c>
      <c r="G20" s="5" t="n">
        <v>0.036</v>
      </c>
      <c r="H20" s="4" t="s">
        <v>213</v>
      </c>
      <c r="I20" s="7" t="n">
        <v>210</v>
      </c>
      <c r="J20" s="5" t="n">
        <v>0.419</v>
      </c>
      <c r="K20" s="5" t="n">
        <v>0.79</v>
      </c>
      <c r="L20" s="5" t="n">
        <v>0.596</v>
      </c>
      <c r="M20" s="5" t="n">
        <v>0.999</v>
      </c>
      <c r="N20" s="5" t="n">
        <v>2.211</v>
      </c>
    </row>
    <row r="21" customFormat="false" ht="17.25" hidden="false" customHeight="true" outlineLevel="0" collapsed="false">
      <c r="A21" s="4" t="s">
        <v>33</v>
      </c>
      <c r="B21" s="7" t="s">
        <v>19</v>
      </c>
      <c r="C21" s="5" t="n">
        <v>0.123</v>
      </c>
      <c r="D21" s="5" t="n">
        <v>0.07</v>
      </c>
      <c r="E21" s="5" t="n">
        <v>0.078</v>
      </c>
      <c r="F21" s="5" t="n">
        <v>0.074</v>
      </c>
      <c r="G21" s="5" t="n">
        <v>0.487</v>
      </c>
      <c r="H21" s="4" t="s">
        <v>212</v>
      </c>
      <c r="I21" s="7" t="n">
        <v>210</v>
      </c>
      <c r="J21" s="5" t="n">
        <v>0.08</v>
      </c>
      <c r="K21" s="5" t="n">
        <v>0.136</v>
      </c>
      <c r="L21" s="5" t="n">
        <v>0.558</v>
      </c>
      <c r="M21" s="5" t="n">
        <v>0.999</v>
      </c>
      <c r="N21" s="5" t="n">
        <v>0.381</v>
      </c>
    </row>
    <row r="22" customFormat="false" ht="17.25" hidden="false" customHeight="true" outlineLevel="0" collapsed="false">
      <c r="A22" s="4" t="s">
        <v>71</v>
      </c>
      <c r="B22" s="7" t="s">
        <v>19</v>
      </c>
      <c r="C22" s="5" t="n">
        <v>0.104</v>
      </c>
      <c r="D22" s="5" t="n">
        <v>0.068</v>
      </c>
      <c r="E22" s="5" t="n">
        <v>0.125</v>
      </c>
      <c r="F22" s="5" t="n">
        <v>0.131</v>
      </c>
      <c r="G22" s="5" t="n">
        <v>0.609</v>
      </c>
      <c r="H22" s="4" t="s">
        <v>212</v>
      </c>
      <c r="I22" s="7" t="n">
        <v>210</v>
      </c>
      <c r="J22" s="5" t="n">
        <v>-0.068</v>
      </c>
      <c r="K22" s="5" t="n">
        <v>0.133</v>
      </c>
      <c r="L22" s="5" t="n">
        <v>0.611</v>
      </c>
      <c r="M22" s="5" t="n">
        <v>0.999</v>
      </c>
      <c r="N22" s="5" t="n">
        <v>0.373</v>
      </c>
    </row>
    <row r="23" customFormat="false" ht="17.25" hidden="false" customHeight="true" outlineLevel="0" collapsed="false">
      <c r="A23" s="4" t="s">
        <v>73</v>
      </c>
      <c r="B23" s="7" t="s">
        <v>19</v>
      </c>
      <c r="C23" s="5" t="n">
        <v>0.124</v>
      </c>
      <c r="D23" s="5" t="n">
        <v>0.068</v>
      </c>
      <c r="E23" s="5" t="n">
        <v>0.066</v>
      </c>
      <c r="F23" s="5" t="n">
        <v>0.069</v>
      </c>
      <c r="G23" s="5" t="n">
        <v>0.476</v>
      </c>
      <c r="H23" s="4" t="s">
        <v>212</v>
      </c>
      <c r="I23" s="7" t="n">
        <v>210</v>
      </c>
      <c r="J23" s="5" t="n">
        <v>-0.038</v>
      </c>
      <c r="K23" s="5" t="n">
        <v>0.131</v>
      </c>
      <c r="L23" s="5" t="n">
        <v>0.771</v>
      </c>
      <c r="M23" s="5" t="n">
        <v>0.999</v>
      </c>
      <c r="N23" s="5" t="n">
        <v>0.366</v>
      </c>
    </row>
    <row r="24" customFormat="false" ht="17.25" hidden="false" customHeight="true" outlineLevel="0" collapsed="false">
      <c r="A24" s="4" t="s">
        <v>75</v>
      </c>
      <c r="B24" s="7" t="s">
        <v>19</v>
      </c>
      <c r="C24" s="5" t="n">
        <v>0.105</v>
      </c>
      <c r="D24" s="5" t="n">
        <v>0.071</v>
      </c>
      <c r="E24" s="5" t="n">
        <v>0.136</v>
      </c>
      <c r="F24" s="5" t="n">
        <v>0.133</v>
      </c>
      <c r="G24" s="5" t="n">
        <v>0.609</v>
      </c>
      <c r="H24" s="4" t="s">
        <v>212</v>
      </c>
      <c r="I24" s="7" t="n">
        <v>210</v>
      </c>
      <c r="J24" s="5" t="n">
        <v>0.118</v>
      </c>
      <c r="K24" s="5" t="n">
        <v>0.141</v>
      </c>
      <c r="L24" s="5" t="n">
        <v>0.404</v>
      </c>
      <c r="M24" s="5" t="n">
        <v>0.996</v>
      </c>
      <c r="N24" s="5" t="n">
        <v>0.395</v>
      </c>
    </row>
    <row r="25" customFormat="false" ht="17.25" hidden="false" customHeight="true" outlineLevel="0" collapsed="false">
      <c r="A25" s="4" t="s">
        <v>77</v>
      </c>
      <c r="B25" s="7" t="s">
        <v>19</v>
      </c>
      <c r="C25" s="5" t="n">
        <v>0.152</v>
      </c>
      <c r="D25" s="5" t="n">
        <v>0.076</v>
      </c>
      <c r="E25" s="5" t="n">
        <v>0.046</v>
      </c>
      <c r="F25" s="5" t="n">
        <v>0.044</v>
      </c>
      <c r="G25" s="5" t="n">
        <v>0.393</v>
      </c>
      <c r="H25" s="4" t="s">
        <v>214</v>
      </c>
      <c r="I25" s="7" t="n">
        <v>210</v>
      </c>
      <c r="J25" s="5" t="n">
        <v>0.008</v>
      </c>
      <c r="K25" s="5" t="n">
        <v>0.148</v>
      </c>
      <c r="L25" s="5" t="n">
        <v>0.956</v>
      </c>
      <c r="M25" s="5" t="n">
        <v>1</v>
      </c>
      <c r="N25" s="5" t="n">
        <v>0.414</v>
      </c>
    </row>
    <row r="26" customFormat="false" ht="17.25" hidden="false" customHeight="true" outlineLevel="0" collapsed="false">
      <c r="A26" s="4" t="s">
        <v>79</v>
      </c>
      <c r="B26" s="7" t="s">
        <v>19</v>
      </c>
      <c r="C26" s="5" t="n">
        <v>0.189</v>
      </c>
      <c r="D26" s="5" t="n">
        <v>0.067</v>
      </c>
      <c r="E26" s="5" t="n">
        <v>0.005</v>
      </c>
      <c r="F26" s="5" t="n">
        <v>0.005</v>
      </c>
      <c r="G26" s="5" t="n">
        <v>0.092</v>
      </c>
      <c r="H26" s="4" t="s">
        <v>214</v>
      </c>
      <c r="I26" s="7" t="n">
        <v>210</v>
      </c>
      <c r="J26" s="5" t="n">
        <v>-0.042</v>
      </c>
      <c r="K26" s="5" t="n">
        <v>0.118</v>
      </c>
      <c r="L26" s="5" t="n">
        <v>0.723</v>
      </c>
      <c r="M26" s="5" t="n">
        <v>0.999</v>
      </c>
      <c r="N26" s="5" t="n">
        <v>0.33</v>
      </c>
    </row>
    <row r="27" customFormat="false" ht="17.25" hidden="false" customHeight="true" outlineLevel="0" collapsed="false">
      <c r="A27" s="4" t="s">
        <v>81</v>
      </c>
      <c r="B27" s="7" t="s">
        <v>19</v>
      </c>
      <c r="C27" s="5" t="n">
        <v>0.126</v>
      </c>
      <c r="D27" s="5" t="n">
        <v>0.076</v>
      </c>
      <c r="E27" s="5" t="n">
        <v>0.098</v>
      </c>
      <c r="F27" s="5" t="n">
        <v>0.102</v>
      </c>
      <c r="G27" s="5" t="n">
        <v>0.548</v>
      </c>
      <c r="H27" s="4" t="s">
        <v>212</v>
      </c>
      <c r="I27" s="7" t="n">
        <v>210</v>
      </c>
      <c r="J27" s="5" t="n">
        <v>0.25</v>
      </c>
      <c r="K27" s="5" t="n">
        <v>0.15</v>
      </c>
      <c r="L27" s="5" t="n">
        <v>0.094</v>
      </c>
      <c r="M27" s="5" t="n">
        <v>0.706</v>
      </c>
      <c r="N27" s="5" t="n">
        <v>0.419</v>
      </c>
    </row>
    <row r="28" customFormat="false" ht="17.25" hidden="false" customHeight="true" outlineLevel="0" collapsed="false">
      <c r="A28" s="4" t="s">
        <v>35</v>
      </c>
      <c r="B28" s="7" t="s">
        <v>19</v>
      </c>
      <c r="C28" s="5" t="n">
        <v>0.197</v>
      </c>
      <c r="D28" s="5" t="n">
        <v>0.078</v>
      </c>
      <c r="E28" s="5" t="n">
        <v>0.011</v>
      </c>
      <c r="F28" s="5" t="n">
        <v>0.01</v>
      </c>
      <c r="G28" s="5" t="n">
        <v>0.145</v>
      </c>
      <c r="H28" s="4" t="s">
        <v>214</v>
      </c>
      <c r="I28" s="7" t="n">
        <v>210</v>
      </c>
      <c r="J28" s="5" t="n">
        <v>0.103</v>
      </c>
      <c r="K28" s="5" t="n">
        <v>0.154</v>
      </c>
      <c r="L28" s="5" t="n">
        <v>0.505</v>
      </c>
      <c r="M28" s="5" t="n">
        <v>0.998</v>
      </c>
      <c r="N28" s="5" t="n">
        <v>0.432</v>
      </c>
    </row>
    <row r="29" customFormat="false" ht="17.25" hidden="false" customHeight="true" outlineLevel="0" collapsed="false">
      <c r="A29" s="4" t="s">
        <v>84</v>
      </c>
      <c r="B29" s="7" t="s">
        <v>19</v>
      </c>
      <c r="C29" s="5" t="n">
        <v>0.075</v>
      </c>
      <c r="D29" s="5" t="n">
        <v>0.074</v>
      </c>
      <c r="E29" s="5" t="n">
        <v>0.315</v>
      </c>
      <c r="F29" s="5" t="n">
        <v>0.318</v>
      </c>
      <c r="G29" s="5" t="n">
        <v>0.802</v>
      </c>
      <c r="H29" s="4" t="s">
        <v>212</v>
      </c>
      <c r="I29" s="7" t="n">
        <v>210</v>
      </c>
      <c r="J29" s="5" t="n">
        <v>-0.123</v>
      </c>
      <c r="K29" s="5" t="n">
        <v>0.148</v>
      </c>
      <c r="L29" s="5" t="n">
        <v>0.405</v>
      </c>
      <c r="M29" s="5" t="n">
        <v>0.996</v>
      </c>
      <c r="N29" s="5" t="n">
        <v>0.415</v>
      </c>
    </row>
    <row r="30" customFormat="false" ht="17.25" hidden="false" customHeight="true" outlineLevel="0" collapsed="false">
      <c r="A30" s="4" t="s">
        <v>86</v>
      </c>
      <c r="B30" s="7" t="s">
        <v>19</v>
      </c>
      <c r="C30" s="5" t="n">
        <v>0.013</v>
      </c>
      <c r="D30" s="5" t="n">
        <v>0.068</v>
      </c>
      <c r="E30" s="5" t="n">
        <v>0.845</v>
      </c>
      <c r="F30" s="5" t="n">
        <v>0.844</v>
      </c>
      <c r="G30" s="5" t="n">
        <v>0.942</v>
      </c>
      <c r="H30" s="4" t="s">
        <v>212</v>
      </c>
      <c r="I30" s="7" t="n">
        <v>210</v>
      </c>
      <c r="J30" s="5" t="n">
        <v>0.023</v>
      </c>
      <c r="K30" s="5" t="n">
        <v>0.137</v>
      </c>
      <c r="L30" s="5" t="n">
        <v>0.866</v>
      </c>
      <c r="M30" s="5" t="n">
        <v>1</v>
      </c>
      <c r="N30" s="5" t="n">
        <v>0.383</v>
      </c>
    </row>
    <row r="31" customFormat="false" ht="30.75" hidden="false" customHeight="true" outlineLevel="0" collapsed="false">
      <c r="A31" s="4" t="s">
        <v>88</v>
      </c>
      <c r="B31" s="7" t="s">
        <v>19</v>
      </c>
      <c r="C31" s="5" t="n">
        <v>0.048</v>
      </c>
      <c r="D31" s="5" t="n">
        <v>0.066</v>
      </c>
      <c r="E31" s="5" t="n">
        <v>0.473</v>
      </c>
      <c r="F31" s="5" t="n">
        <v>0.473</v>
      </c>
      <c r="G31" s="5" t="n">
        <v>0.91</v>
      </c>
      <c r="H31" s="4" t="s">
        <v>212</v>
      </c>
      <c r="I31" s="7" t="n">
        <v>210</v>
      </c>
      <c r="J31" s="5" t="n">
        <v>0.108</v>
      </c>
      <c r="K31" s="5" t="n">
        <v>0.129</v>
      </c>
      <c r="L31" s="5" t="n">
        <v>0.403</v>
      </c>
      <c r="M31" s="5" t="n">
        <v>0.996</v>
      </c>
      <c r="N31" s="5" t="n">
        <v>0.362</v>
      </c>
    </row>
    <row r="32" customFormat="false" ht="17.25" hidden="false" customHeight="true" outlineLevel="0" collapsed="false">
      <c r="A32" s="4" t="s">
        <v>98</v>
      </c>
      <c r="B32" s="7" t="s">
        <v>99</v>
      </c>
      <c r="C32" s="5" t="n">
        <v>0.226</v>
      </c>
      <c r="D32" s="5" t="n">
        <v>0.131</v>
      </c>
      <c r="E32" s="5" t="n">
        <v>0.084</v>
      </c>
      <c r="F32" s="5" t="n">
        <v>0.084</v>
      </c>
      <c r="G32" s="5" t="n">
        <v>0.49</v>
      </c>
      <c r="H32" s="4" t="s">
        <v>212</v>
      </c>
      <c r="I32" s="7" t="n">
        <v>210</v>
      </c>
      <c r="J32" s="5" t="n">
        <v>0.012</v>
      </c>
      <c r="K32" s="5" t="n">
        <v>0.256</v>
      </c>
      <c r="L32" s="5" t="n">
        <v>0.963</v>
      </c>
      <c r="M32" s="5" t="n">
        <v>1</v>
      </c>
      <c r="N32" s="5" t="n">
        <v>0.718</v>
      </c>
    </row>
    <row r="33" customFormat="false" ht="30.75" hidden="false" customHeight="true" outlineLevel="0" collapsed="false">
      <c r="A33" s="4" t="s">
        <v>101</v>
      </c>
      <c r="B33" s="7" t="s">
        <v>102</v>
      </c>
      <c r="C33" s="5" t="n">
        <v>0.538</v>
      </c>
      <c r="D33" s="5" t="n">
        <v>0.145</v>
      </c>
      <c r="E33" s="5" t="n">
        <v>0</v>
      </c>
      <c r="F33" s="5" t="n">
        <v>0</v>
      </c>
      <c r="G33" s="5" t="n">
        <v>0.011</v>
      </c>
      <c r="H33" s="4" t="s">
        <v>213</v>
      </c>
      <c r="I33" s="7" t="n">
        <v>210</v>
      </c>
      <c r="J33" s="5" t="n">
        <v>0.069</v>
      </c>
      <c r="K33" s="5" t="n">
        <v>0.29</v>
      </c>
      <c r="L33" s="5" t="n">
        <v>0.812</v>
      </c>
      <c r="M33" s="5" t="n">
        <v>1</v>
      </c>
      <c r="N33" s="5" t="n">
        <v>0.812</v>
      </c>
    </row>
    <row r="34" customFormat="false" ht="17.25" hidden="false" customHeight="true" outlineLevel="0" collapsed="false">
      <c r="A34" s="4" t="s">
        <v>104</v>
      </c>
      <c r="B34" s="7" t="s">
        <v>102</v>
      </c>
      <c r="C34" s="5" t="n">
        <v>0.355</v>
      </c>
      <c r="D34" s="5" t="n">
        <v>0.148</v>
      </c>
      <c r="E34" s="5" t="n">
        <v>0.016</v>
      </c>
      <c r="F34" s="5" t="n">
        <v>0.018</v>
      </c>
      <c r="G34" s="5" t="n">
        <v>0.201</v>
      </c>
      <c r="H34" s="4" t="s">
        <v>214</v>
      </c>
      <c r="I34" s="7" t="n">
        <v>210</v>
      </c>
      <c r="J34" s="5" t="n">
        <v>0.33</v>
      </c>
      <c r="K34" s="5" t="n">
        <v>0.294</v>
      </c>
      <c r="L34" s="5" t="n">
        <v>0.262</v>
      </c>
      <c r="M34" s="5" t="n">
        <v>0.959</v>
      </c>
      <c r="N34" s="5" t="n">
        <v>0.823</v>
      </c>
    </row>
    <row r="35" customFormat="false" ht="17.25" hidden="false" customHeight="true" outlineLevel="0" collapsed="false">
      <c r="A35" s="4" t="s">
        <v>106</v>
      </c>
      <c r="B35" s="7" t="s">
        <v>107</v>
      </c>
      <c r="C35" s="5" t="n">
        <v>0.345</v>
      </c>
      <c r="D35" s="5" t="n">
        <v>0.128</v>
      </c>
      <c r="E35" s="5" t="n">
        <v>0.007</v>
      </c>
      <c r="F35" s="5" t="n">
        <v>0.009</v>
      </c>
      <c r="G35" s="5" t="n">
        <v>0.129</v>
      </c>
      <c r="H35" s="4" t="s">
        <v>214</v>
      </c>
      <c r="I35" s="7" t="n">
        <v>210</v>
      </c>
      <c r="J35" s="5" t="n">
        <v>0.094</v>
      </c>
      <c r="K35" s="5" t="n">
        <v>0.253</v>
      </c>
      <c r="L35" s="5" t="n">
        <v>0.71</v>
      </c>
      <c r="M35" s="5" t="n">
        <v>0.999</v>
      </c>
      <c r="N35" s="5" t="n">
        <v>0.71</v>
      </c>
    </row>
    <row r="36" customFormat="false" ht="17.25" hidden="false" customHeight="true" outlineLevel="0" collapsed="false"/>
    <row r="37" customFormat="false" ht="17.25" hidden="false" customHeight="true" outlineLevel="0" collapsed="false">
      <c r="A37" s="8" t="s">
        <v>215</v>
      </c>
    </row>
    <row r="38" customFormat="false" ht="71.25" hidden="false" customHeight="true" outlineLevel="0" collapsed="false">
      <c r="A38" s="3" t="s">
        <v>3</v>
      </c>
      <c r="B38" s="3" t="s">
        <v>4</v>
      </c>
      <c r="C38" s="3" t="s">
        <v>201</v>
      </c>
      <c r="D38" s="3" t="s">
        <v>172</v>
      </c>
      <c r="E38" s="3" t="s">
        <v>202</v>
      </c>
      <c r="F38" s="3" t="s">
        <v>203</v>
      </c>
      <c r="G38" s="3" t="s">
        <v>204</v>
      </c>
      <c r="H38" s="3" t="s">
        <v>205</v>
      </c>
      <c r="I38" s="3" t="s">
        <v>206</v>
      </c>
      <c r="J38" s="3" t="s">
        <v>207</v>
      </c>
      <c r="K38" s="3" t="s">
        <v>208</v>
      </c>
      <c r="L38" s="3" t="s">
        <v>209</v>
      </c>
      <c r="M38" s="3" t="s">
        <v>210</v>
      </c>
      <c r="N38" s="3" t="s">
        <v>211</v>
      </c>
    </row>
    <row r="39" customFormat="false" ht="17.25" hidden="false" customHeight="true" outlineLevel="0" collapsed="false">
      <c r="A39" s="4" t="s">
        <v>18</v>
      </c>
      <c r="B39" s="7" t="s">
        <v>19</v>
      </c>
      <c r="C39" s="5" t="n">
        <v>0.084</v>
      </c>
      <c r="D39" s="5" t="n">
        <v>0.062</v>
      </c>
      <c r="E39" s="5" t="n">
        <v>0.173</v>
      </c>
      <c r="F39" s="5" t="n">
        <v>0.169</v>
      </c>
      <c r="G39" s="5" t="n">
        <v>0.763</v>
      </c>
      <c r="H39" s="4" t="s">
        <v>212</v>
      </c>
      <c r="I39" s="7" t="s">
        <v>216</v>
      </c>
      <c r="J39" s="5" t="n">
        <v>0.004</v>
      </c>
      <c r="K39" s="5" t="n">
        <v>0.12</v>
      </c>
      <c r="L39" s="5" t="n">
        <v>0.976</v>
      </c>
      <c r="M39" s="5" t="n">
        <v>1</v>
      </c>
      <c r="N39" s="5" t="n">
        <v>0.336</v>
      </c>
    </row>
    <row r="40" customFormat="false" ht="17.25" hidden="false" customHeight="true" outlineLevel="0" collapsed="false">
      <c r="A40" s="4" t="s">
        <v>22</v>
      </c>
      <c r="B40" s="7" t="s">
        <v>19</v>
      </c>
      <c r="C40" s="5" t="n">
        <v>-0.048</v>
      </c>
      <c r="D40" s="5" t="n">
        <v>0.066</v>
      </c>
      <c r="E40" s="5" t="n">
        <v>0.464</v>
      </c>
      <c r="F40" s="5" t="n">
        <v>0.465</v>
      </c>
      <c r="G40" s="5" t="n">
        <v>0.922</v>
      </c>
      <c r="H40" s="4" t="s">
        <v>212</v>
      </c>
      <c r="I40" s="7" t="s">
        <v>216</v>
      </c>
      <c r="J40" s="5" t="n">
        <v>0.124</v>
      </c>
      <c r="K40" s="5" t="n">
        <v>0.131</v>
      </c>
      <c r="L40" s="5" t="n">
        <v>0.344</v>
      </c>
      <c r="M40" s="5" t="n">
        <v>0.988</v>
      </c>
      <c r="N40" s="5" t="n">
        <v>0.366</v>
      </c>
    </row>
    <row r="41" customFormat="false" ht="17.25" hidden="false" customHeight="true" outlineLevel="0" collapsed="false">
      <c r="A41" s="4" t="s">
        <v>24</v>
      </c>
      <c r="B41" s="7" t="s">
        <v>19</v>
      </c>
      <c r="C41" s="5" t="n">
        <v>0.079</v>
      </c>
      <c r="D41" s="5" t="n">
        <v>0.058</v>
      </c>
      <c r="E41" s="5" t="n">
        <v>0.173</v>
      </c>
      <c r="F41" s="5" t="n">
        <v>0.179</v>
      </c>
      <c r="G41" s="5" t="n">
        <v>0.763</v>
      </c>
      <c r="H41" s="4" t="s">
        <v>212</v>
      </c>
      <c r="I41" s="7" t="s">
        <v>216</v>
      </c>
      <c r="J41" s="5" t="n">
        <v>0.337</v>
      </c>
      <c r="K41" s="5" t="n">
        <v>0.114</v>
      </c>
      <c r="L41" s="5" t="n">
        <v>0.003</v>
      </c>
      <c r="M41" s="5" t="n">
        <v>0.06</v>
      </c>
      <c r="N41" s="5" t="n">
        <v>0.32</v>
      </c>
    </row>
    <row r="42" customFormat="false" ht="17.25" hidden="false" customHeight="true" outlineLevel="0" collapsed="false">
      <c r="A42" s="4" t="s">
        <v>38</v>
      </c>
      <c r="B42" s="7" t="s">
        <v>39</v>
      </c>
      <c r="C42" s="5" t="n">
        <v>-0.053</v>
      </c>
      <c r="D42" s="5" t="n">
        <v>0.097</v>
      </c>
      <c r="E42" s="5" t="n">
        <v>0.588</v>
      </c>
      <c r="F42" s="5" t="n">
        <v>0.588</v>
      </c>
      <c r="G42" s="5" t="n">
        <v>0.922</v>
      </c>
      <c r="H42" s="4" t="s">
        <v>212</v>
      </c>
      <c r="I42" s="7" t="s">
        <v>216</v>
      </c>
      <c r="J42" s="5" t="n">
        <v>-0.029</v>
      </c>
      <c r="K42" s="5" t="n">
        <v>0.191</v>
      </c>
      <c r="L42" s="5" t="n">
        <v>0.879</v>
      </c>
      <c r="M42" s="5" t="n">
        <v>1</v>
      </c>
      <c r="N42" s="5" t="n">
        <v>0.534</v>
      </c>
    </row>
    <row r="43" customFormat="false" ht="17.25" hidden="false" customHeight="true" outlineLevel="0" collapsed="false">
      <c r="A43" s="4" t="s">
        <v>61</v>
      </c>
      <c r="B43" s="7" t="s">
        <v>19</v>
      </c>
      <c r="C43" s="5" t="n">
        <v>0.064</v>
      </c>
      <c r="D43" s="5" t="n">
        <v>0.041</v>
      </c>
      <c r="E43" s="5" t="n">
        <v>0.114</v>
      </c>
      <c r="F43" s="5" t="n">
        <v>0.112</v>
      </c>
      <c r="G43" s="5" t="n">
        <v>0.641</v>
      </c>
      <c r="H43" s="4" t="s">
        <v>212</v>
      </c>
      <c r="I43" s="7" t="s">
        <v>216</v>
      </c>
      <c r="J43" s="5" t="n">
        <v>0.036</v>
      </c>
      <c r="K43" s="5" t="n">
        <v>0.085</v>
      </c>
      <c r="L43" s="5" t="n">
        <v>0.672</v>
      </c>
      <c r="M43" s="5" t="n">
        <v>1</v>
      </c>
      <c r="N43" s="5" t="n">
        <v>0.237</v>
      </c>
    </row>
    <row r="44" customFormat="false" ht="30.75" hidden="false" customHeight="true" outlineLevel="0" collapsed="false">
      <c r="A44" s="4" t="s">
        <v>67</v>
      </c>
      <c r="B44" s="7" t="s">
        <v>68</v>
      </c>
      <c r="C44" s="5" t="n">
        <v>0.961</v>
      </c>
      <c r="D44" s="5" t="n">
        <v>0.309</v>
      </c>
      <c r="E44" s="5" t="n">
        <v>0.002</v>
      </c>
      <c r="F44" s="5" t="n">
        <v>0.002</v>
      </c>
      <c r="G44" s="5" t="n">
        <v>0.036</v>
      </c>
      <c r="H44" s="4" t="s">
        <v>213</v>
      </c>
      <c r="I44" s="7" t="s">
        <v>216</v>
      </c>
      <c r="J44" s="5" t="n">
        <v>-0.197</v>
      </c>
      <c r="K44" s="5" t="n">
        <v>0.637</v>
      </c>
      <c r="L44" s="5" t="n">
        <v>0.757</v>
      </c>
      <c r="M44" s="5" t="n">
        <v>1</v>
      </c>
      <c r="N44" s="5" t="n">
        <v>1.785</v>
      </c>
    </row>
    <row r="45" customFormat="false" ht="17.25" hidden="false" customHeight="true" outlineLevel="0" collapsed="false">
      <c r="A45" s="4" t="s">
        <v>33</v>
      </c>
      <c r="B45" s="7" t="s">
        <v>19</v>
      </c>
      <c r="C45" s="5" t="n">
        <v>0.147</v>
      </c>
      <c r="D45" s="5" t="n">
        <v>0.057</v>
      </c>
      <c r="E45" s="5" t="n">
        <v>0.01</v>
      </c>
      <c r="F45" s="5" t="n">
        <v>0.01</v>
      </c>
      <c r="G45" s="5" t="n">
        <v>0.141</v>
      </c>
      <c r="H45" s="4" t="s">
        <v>214</v>
      </c>
      <c r="I45" s="7" t="s">
        <v>216</v>
      </c>
      <c r="J45" s="5" t="n">
        <v>-0.087</v>
      </c>
      <c r="K45" s="5" t="n">
        <v>0.114</v>
      </c>
      <c r="L45" s="5" t="n">
        <v>0.448</v>
      </c>
      <c r="M45" s="5" t="n">
        <v>0.995</v>
      </c>
      <c r="N45" s="5" t="n">
        <v>0.32</v>
      </c>
    </row>
    <row r="46" customFormat="false" ht="17.25" hidden="false" customHeight="true" outlineLevel="0" collapsed="false">
      <c r="A46" s="4" t="s">
        <v>71</v>
      </c>
      <c r="B46" s="7" t="s">
        <v>19</v>
      </c>
      <c r="C46" s="5" t="n">
        <v>0.102</v>
      </c>
      <c r="D46" s="5" t="n">
        <v>0.058</v>
      </c>
      <c r="E46" s="5" t="n">
        <v>0.076</v>
      </c>
      <c r="F46" s="5" t="n">
        <v>0.076</v>
      </c>
      <c r="G46" s="5" t="n">
        <v>0.554</v>
      </c>
      <c r="H46" s="4" t="s">
        <v>212</v>
      </c>
      <c r="I46" s="7" t="s">
        <v>216</v>
      </c>
      <c r="J46" s="5" t="n">
        <v>-0.205</v>
      </c>
      <c r="K46" s="5" t="n">
        <v>0.114</v>
      </c>
      <c r="L46" s="5" t="n">
        <v>0.072</v>
      </c>
      <c r="M46" s="5" t="n">
        <v>0.584</v>
      </c>
      <c r="N46" s="5" t="n">
        <v>0.319</v>
      </c>
    </row>
    <row r="47" customFormat="false" ht="17.25" hidden="false" customHeight="true" outlineLevel="0" collapsed="false">
      <c r="A47" s="4" t="s">
        <v>73</v>
      </c>
      <c r="B47" s="7" t="s">
        <v>19</v>
      </c>
      <c r="C47" s="5" t="n">
        <v>0.064</v>
      </c>
      <c r="D47" s="5" t="n">
        <v>0.052</v>
      </c>
      <c r="E47" s="5" t="n">
        <v>0.219</v>
      </c>
      <c r="F47" s="5" t="n">
        <v>0.22</v>
      </c>
      <c r="G47" s="5" t="n">
        <v>0.788</v>
      </c>
      <c r="H47" s="4" t="s">
        <v>212</v>
      </c>
      <c r="I47" s="7" t="s">
        <v>216</v>
      </c>
      <c r="J47" s="5" t="n">
        <v>-0.011</v>
      </c>
      <c r="K47" s="5" t="n">
        <v>0.099</v>
      </c>
      <c r="L47" s="5" t="n">
        <v>0.913</v>
      </c>
      <c r="M47" s="5" t="n">
        <v>1</v>
      </c>
      <c r="N47" s="5" t="n">
        <v>0.278</v>
      </c>
    </row>
    <row r="48" customFormat="false" ht="17.25" hidden="false" customHeight="true" outlineLevel="0" collapsed="false">
      <c r="A48" s="4" t="s">
        <v>75</v>
      </c>
      <c r="B48" s="7" t="s">
        <v>19</v>
      </c>
      <c r="C48" s="5" t="n">
        <v>0.047</v>
      </c>
      <c r="D48" s="5" t="n">
        <v>0.054</v>
      </c>
      <c r="E48" s="5" t="n">
        <v>0.389</v>
      </c>
      <c r="F48" s="5" t="n">
        <v>0.384</v>
      </c>
      <c r="G48" s="5" t="n">
        <v>0.922</v>
      </c>
      <c r="H48" s="4" t="s">
        <v>212</v>
      </c>
      <c r="I48" s="7" t="s">
        <v>216</v>
      </c>
      <c r="J48" s="5" t="n">
        <v>0.058</v>
      </c>
      <c r="K48" s="5" t="n">
        <v>0.108</v>
      </c>
      <c r="L48" s="5" t="n">
        <v>0.589</v>
      </c>
      <c r="M48" s="5" t="n">
        <v>0.999</v>
      </c>
      <c r="N48" s="5" t="n">
        <v>0.303</v>
      </c>
    </row>
    <row r="49" customFormat="false" ht="17.25" hidden="false" customHeight="true" outlineLevel="0" collapsed="false">
      <c r="A49" s="4" t="s">
        <v>77</v>
      </c>
      <c r="B49" s="7" t="s">
        <v>19</v>
      </c>
      <c r="C49" s="5" t="n">
        <v>0.131</v>
      </c>
      <c r="D49" s="5" t="n">
        <v>0.058</v>
      </c>
      <c r="E49" s="5" t="n">
        <v>0.025</v>
      </c>
      <c r="F49" s="5" t="n">
        <v>0.025</v>
      </c>
      <c r="G49" s="5" t="n">
        <v>0.287</v>
      </c>
      <c r="H49" s="4" t="s">
        <v>214</v>
      </c>
      <c r="I49" s="7" t="s">
        <v>216</v>
      </c>
      <c r="J49" s="5" t="n">
        <v>-0.021</v>
      </c>
      <c r="K49" s="5" t="n">
        <v>0.119</v>
      </c>
      <c r="L49" s="5" t="n">
        <v>0.859</v>
      </c>
      <c r="M49" s="5" t="n">
        <v>1</v>
      </c>
      <c r="N49" s="5" t="n">
        <v>0.333</v>
      </c>
    </row>
    <row r="50" customFormat="false" ht="17.25" hidden="false" customHeight="true" outlineLevel="0" collapsed="false">
      <c r="A50" s="4" t="s">
        <v>79</v>
      </c>
      <c r="B50" s="7" t="s">
        <v>19</v>
      </c>
      <c r="C50" s="5" t="n">
        <v>0.125</v>
      </c>
      <c r="D50" s="5" t="n">
        <v>0.055</v>
      </c>
      <c r="E50" s="5" t="n">
        <v>0.023</v>
      </c>
      <c r="F50" s="5" t="n">
        <v>0.025</v>
      </c>
      <c r="G50" s="5" t="n">
        <v>0.287</v>
      </c>
      <c r="H50" s="4" t="s">
        <v>214</v>
      </c>
      <c r="I50" s="7" t="s">
        <v>216</v>
      </c>
      <c r="J50" s="5" t="n">
        <v>-0.135</v>
      </c>
      <c r="K50" s="5" t="n">
        <v>0.107</v>
      </c>
      <c r="L50" s="5" t="n">
        <v>0.209</v>
      </c>
      <c r="M50" s="5" t="n">
        <v>0.936</v>
      </c>
      <c r="N50" s="5" t="n">
        <v>0.301</v>
      </c>
    </row>
    <row r="51" customFormat="false" ht="17.25" hidden="false" customHeight="true" outlineLevel="0" collapsed="false">
      <c r="A51" s="4" t="s">
        <v>81</v>
      </c>
      <c r="B51" s="7" t="s">
        <v>19</v>
      </c>
      <c r="C51" s="5" t="n">
        <v>0.096</v>
      </c>
      <c r="D51" s="5" t="n">
        <v>0.059</v>
      </c>
      <c r="E51" s="5" t="n">
        <v>0.102</v>
      </c>
      <c r="F51" s="5" t="n">
        <v>0.102</v>
      </c>
      <c r="G51" s="5" t="n">
        <v>0.633</v>
      </c>
      <c r="H51" s="4" t="s">
        <v>212</v>
      </c>
      <c r="I51" s="7" t="s">
        <v>216</v>
      </c>
      <c r="J51" s="5" t="n">
        <v>0.3</v>
      </c>
      <c r="K51" s="5" t="n">
        <v>0.118</v>
      </c>
      <c r="L51" s="5" t="n">
        <v>0.011</v>
      </c>
      <c r="M51" s="5" t="n">
        <v>0.148</v>
      </c>
      <c r="N51" s="5" t="n">
        <v>0.33</v>
      </c>
    </row>
    <row r="52" customFormat="false" ht="30.75" hidden="false" customHeight="true" outlineLevel="0" collapsed="false">
      <c r="A52" s="4" t="s">
        <v>35</v>
      </c>
      <c r="B52" s="7" t="s">
        <v>19</v>
      </c>
      <c r="C52" s="5" t="n">
        <v>0.196</v>
      </c>
      <c r="D52" s="5" t="n">
        <v>0.06</v>
      </c>
      <c r="E52" s="5" t="n">
        <v>0.001</v>
      </c>
      <c r="F52" s="5" t="n">
        <v>0.001</v>
      </c>
      <c r="G52" s="5" t="n">
        <v>0.018</v>
      </c>
      <c r="H52" s="4" t="s">
        <v>213</v>
      </c>
      <c r="I52" s="7" t="s">
        <v>216</v>
      </c>
      <c r="J52" s="5" t="n">
        <v>-0.009</v>
      </c>
      <c r="K52" s="5" t="n">
        <v>0.122</v>
      </c>
      <c r="L52" s="5" t="n">
        <v>0.943</v>
      </c>
      <c r="M52" s="5" t="n">
        <v>1</v>
      </c>
      <c r="N52" s="5" t="n">
        <v>0.341</v>
      </c>
    </row>
    <row r="53" customFormat="false" ht="17.25" hidden="false" customHeight="true" outlineLevel="0" collapsed="false">
      <c r="A53" s="4" t="s">
        <v>84</v>
      </c>
      <c r="B53" s="7" t="s">
        <v>19</v>
      </c>
      <c r="C53" s="5" t="n">
        <v>0.04</v>
      </c>
      <c r="D53" s="5" t="n">
        <v>0.059</v>
      </c>
      <c r="E53" s="5" t="n">
        <v>0.498</v>
      </c>
      <c r="F53" s="5" t="n">
        <v>0.499</v>
      </c>
      <c r="G53" s="5" t="n">
        <v>0.922</v>
      </c>
      <c r="H53" s="4" t="s">
        <v>212</v>
      </c>
      <c r="I53" s="7" t="s">
        <v>216</v>
      </c>
      <c r="J53" s="5" t="n">
        <v>-0.103</v>
      </c>
      <c r="K53" s="5" t="n">
        <v>0.12</v>
      </c>
      <c r="L53" s="5" t="n">
        <v>0.388</v>
      </c>
      <c r="M53" s="5" t="n">
        <v>0.993</v>
      </c>
      <c r="N53" s="5" t="n">
        <v>0.335</v>
      </c>
    </row>
    <row r="54" customFormat="false" ht="17.25" hidden="false" customHeight="true" outlineLevel="0" collapsed="false">
      <c r="A54" s="4" t="s">
        <v>86</v>
      </c>
      <c r="B54" s="7" t="s">
        <v>19</v>
      </c>
      <c r="C54" s="5" t="n">
        <v>-0.029</v>
      </c>
      <c r="D54" s="5" t="n">
        <v>0.055</v>
      </c>
      <c r="E54" s="5" t="n">
        <v>0.6</v>
      </c>
      <c r="F54" s="5" t="n">
        <v>0.598</v>
      </c>
      <c r="G54" s="5" t="n">
        <v>0.922</v>
      </c>
      <c r="H54" s="4" t="s">
        <v>212</v>
      </c>
      <c r="I54" s="7" t="s">
        <v>216</v>
      </c>
      <c r="J54" s="5" t="n">
        <v>-0.044</v>
      </c>
      <c r="K54" s="5" t="n">
        <v>0.108</v>
      </c>
      <c r="L54" s="5" t="n">
        <v>0.684</v>
      </c>
      <c r="M54" s="5" t="n">
        <v>1</v>
      </c>
      <c r="N54" s="5" t="n">
        <v>0.301</v>
      </c>
    </row>
    <row r="55" customFormat="false" ht="30.75" hidden="false" customHeight="true" outlineLevel="0" collapsed="false">
      <c r="A55" s="4" t="s">
        <v>88</v>
      </c>
      <c r="B55" s="7" t="s">
        <v>19</v>
      </c>
      <c r="C55" s="5" t="n">
        <v>0.043</v>
      </c>
      <c r="D55" s="5" t="n">
        <v>0.051</v>
      </c>
      <c r="E55" s="5" t="n">
        <v>0.401</v>
      </c>
      <c r="F55" s="5" t="n">
        <v>0.4</v>
      </c>
      <c r="G55" s="5" t="n">
        <v>0.922</v>
      </c>
      <c r="H55" s="4" t="s">
        <v>212</v>
      </c>
      <c r="I55" s="7" t="s">
        <v>216</v>
      </c>
      <c r="J55" s="5" t="n">
        <v>0.059</v>
      </c>
      <c r="K55" s="5" t="n">
        <v>0.099</v>
      </c>
      <c r="L55" s="5" t="n">
        <v>0.555</v>
      </c>
      <c r="M55" s="5" t="n">
        <v>0.999</v>
      </c>
      <c r="N55" s="5" t="n">
        <v>0.277</v>
      </c>
    </row>
    <row r="56" customFormat="false" ht="17.25" hidden="false" customHeight="true" outlineLevel="0" collapsed="false">
      <c r="A56" s="4" t="s">
        <v>98</v>
      </c>
      <c r="B56" s="7" t="s">
        <v>99</v>
      </c>
      <c r="C56" s="5" t="n">
        <v>0.249</v>
      </c>
      <c r="D56" s="5" t="n">
        <v>0.11</v>
      </c>
      <c r="E56" s="5" t="n">
        <v>0.023</v>
      </c>
      <c r="F56" s="5" t="n">
        <v>0.023</v>
      </c>
      <c r="G56" s="5" t="n">
        <v>0.276</v>
      </c>
      <c r="H56" s="4" t="s">
        <v>214</v>
      </c>
      <c r="I56" s="7" t="s">
        <v>216</v>
      </c>
      <c r="J56" s="5" t="n">
        <v>-0.292</v>
      </c>
      <c r="K56" s="5" t="n">
        <v>0.216</v>
      </c>
      <c r="L56" s="5" t="n">
        <v>0.177</v>
      </c>
      <c r="M56" s="5" t="n">
        <v>0.894</v>
      </c>
      <c r="N56" s="5" t="n">
        <v>0.605</v>
      </c>
    </row>
    <row r="57" customFormat="false" ht="30.75" hidden="false" customHeight="true" outlineLevel="0" collapsed="false">
      <c r="A57" s="4" t="s">
        <v>101</v>
      </c>
      <c r="B57" s="7" t="s">
        <v>102</v>
      </c>
      <c r="C57" s="5" t="n">
        <v>0.451</v>
      </c>
      <c r="D57" s="5" t="n">
        <v>0.12</v>
      </c>
      <c r="E57" s="5" t="n">
        <v>0</v>
      </c>
      <c r="F57" s="5" t="n">
        <v>0</v>
      </c>
      <c r="G57" s="5" t="n">
        <v>0.011</v>
      </c>
      <c r="H57" s="4" t="s">
        <v>213</v>
      </c>
      <c r="I57" s="7" t="s">
        <v>216</v>
      </c>
      <c r="J57" s="5" t="n">
        <v>-0.165</v>
      </c>
      <c r="K57" s="5" t="n">
        <v>0.244</v>
      </c>
      <c r="L57" s="5" t="n">
        <v>0.5</v>
      </c>
      <c r="M57" s="5" t="n">
        <v>0.998</v>
      </c>
      <c r="N57" s="5" t="n">
        <v>0.684</v>
      </c>
    </row>
    <row r="58" customFormat="false" ht="17.25" hidden="false" customHeight="true" outlineLevel="0" collapsed="false">
      <c r="A58" s="4" t="s">
        <v>104</v>
      </c>
      <c r="B58" s="7" t="s">
        <v>102</v>
      </c>
      <c r="C58" s="5" t="n">
        <v>0.207</v>
      </c>
      <c r="D58" s="5" t="n">
        <v>0.114</v>
      </c>
      <c r="E58" s="5" t="n">
        <v>0.069</v>
      </c>
      <c r="F58" s="5" t="n">
        <v>0.068</v>
      </c>
      <c r="G58" s="5" t="n">
        <v>0.52</v>
      </c>
      <c r="H58" s="4" t="s">
        <v>212</v>
      </c>
      <c r="I58" s="7" t="s">
        <v>216</v>
      </c>
      <c r="J58" s="5" t="n">
        <v>0.348</v>
      </c>
      <c r="K58" s="5" t="n">
        <v>0.23</v>
      </c>
      <c r="L58" s="5" t="n">
        <v>0.131</v>
      </c>
      <c r="M58" s="5" t="n">
        <v>0.8</v>
      </c>
      <c r="N58" s="5" t="n">
        <v>0.645</v>
      </c>
    </row>
    <row r="59" customFormat="false" ht="17.25" hidden="false" customHeight="true" outlineLevel="0" collapsed="false">
      <c r="A59" s="4" t="s">
        <v>106</v>
      </c>
      <c r="B59" s="7" t="s">
        <v>107</v>
      </c>
      <c r="C59" s="5" t="n">
        <v>0.219</v>
      </c>
      <c r="D59" s="5" t="n">
        <v>0.108</v>
      </c>
      <c r="E59" s="5" t="n">
        <v>0.043</v>
      </c>
      <c r="F59" s="5" t="n">
        <v>0.043</v>
      </c>
      <c r="G59" s="5" t="n">
        <v>0.377</v>
      </c>
      <c r="H59" s="4" t="s">
        <v>214</v>
      </c>
      <c r="I59" s="7" t="s">
        <v>216</v>
      </c>
      <c r="J59" s="5" t="n">
        <v>-0.175</v>
      </c>
      <c r="K59" s="5" t="n">
        <v>0.225</v>
      </c>
      <c r="L59" s="5" t="n">
        <v>0.436</v>
      </c>
      <c r="M59" s="5" t="n">
        <v>0.995</v>
      </c>
      <c r="N59" s="5" t="n">
        <v>0.629</v>
      </c>
    </row>
    <row r="60" customFormat="false" ht="17.25" hidden="false" customHeight="true" outlineLevel="0" collapsed="false"/>
    <row r="61" customFormat="false" ht="17.25" hidden="false" customHeight="true" outlineLevel="0" collapsed="false">
      <c r="A61" s="8" t="s">
        <v>217</v>
      </c>
    </row>
    <row r="62" customFormat="false" ht="71.25" hidden="false" customHeight="true" outlineLevel="0" collapsed="false">
      <c r="A62" s="3" t="s">
        <v>3</v>
      </c>
      <c r="B62" s="3" t="s">
        <v>4</v>
      </c>
      <c r="C62" s="3" t="s">
        <v>201</v>
      </c>
      <c r="D62" s="3" t="s">
        <v>172</v>
      </c>
      <c r="E62" s="3" t="s">
        <v>202</v>
      </c>
      <c r="F62" s="3" t="s">
        <v>203</v>
      </c>
      <c r="G62" s="3" t="s">
        <v>204</v>
      </c>
      <c r="H62" s="3" t="s">
        <v>205</v>
      </c>
      <c r="I62" s="3" t="s">
        <v>206</v>
      </c>
      <c r="J62" s="3" t="s">
        <v>207</v>
      </c>
      <c r="K62" s="3" t="s">
        <v>208</v>
      </c>
      <c r="L62" s="3" t="s">
        <v>209</v>
      </c>
      <c r="M62" s="3" t="s">
        <v>210</v>
      </c>
      <c r="N62" s="3" t="s">
        <v>211</v>
      </c>
    </row>
    <row r="63" customFormat="false" ht="17.25" hidden="false" customHeight="true" outlineLevel="0" collapsed="false">
      <c r="A63" s="4" t="s">
        <v>18</v>
      </c>
      <c r="B63" s="7" t="s">
        <v>19</v>
      </c>
      <c r="C63" s="5" t="n">
        <v>0.171</v>
      </c>
      <c r="D63" s="5" t="n">
        <v>0.086</v>
      </c>
      <c r="E63" s="5" t="n">
        <v>0.047</v>
      </c>
      <c r="F63" s="5" t="n">
        <v>0.049</v>
      </c>
      <c r="G63" s="5" t="n">
        <v>0.496</v>
      </c>
      <c r="H63" s="4" t="s">
        <v>214</v>
      </c>
      <c r="I63" s="7" t="n">
        <v>205</v>
      </c>
      <c r="J63" s="5" t="n">
        <v>-0.077</v>
      </c>
      <c r="K63" s="5" t="n">
        <v>0.17</v>
      </c>
      <c r="L63" s="5" t="n">
        <v>0.653</v>
      </c>
      <c r="M63" s="5" t="n">
        <v>0.979</v>
      </c>
      <c r="N63" s="5" t="n">
        <v>0.476</v>
      </c>
    </row>
    <row r="64" customFormat="false" ht="17.25" hidden="false" customHeight="true" outlineLevel="0" collapsed="false">
      <c r="A64" s="4" t="s">
        <v>22</v>
      </c>
      <c r="B64" s="7" t="s">
        <v>19</v>
      </c>
      <c r="C64" s="5" t="n">
        <v>0.153</v>
      </c>
      <c r="D64" s="5" t="n">
        <v>0.096</v>
      </c>
      <c r="E64" s="5" t="n">
        <v>0.111</v>
      </c>
      <c r="F64" s="5" t="n">
        <v>0.122</v>
      </c>
      <c r="G64" s="5" t="n">
        <v>0.73</v>
      </c>
      <c r="H64" s="4" t="s">
        <v>212</v>
      </c>
      <c r="I64" s="7" t="n">
        <v>187</v>
      </c>
      <c r="J64" s="5" t="n">
        <v>0.079</v>
      </c>
      <c r="K64" s="5" t="n">
        <v>0.192</v>
      </c>
      <c r="L64" s="5" t="n">
        <v>0.681</v>
      </c>
      <c r="M64" s="5" t="n">
        <v>0.979</v>
      </c>
      <c r="N64" s="5" t="n">
        <v>0.537</v>
      </c>
    </row>
    <row r="65" customFormat="false" ht="17.25" hidden="false" customHeight="true" outlineLevel="0" collapsed="false">
      <c r="A65" s="4" t="s">
        <v>24</v>
      </c>
      <c r="B65" s="7" t="s">
        <v>19</v>
      </c>
      <c r="C65" s="5" t="n">
        <v>0.13</v>
      </c>
      <c r="D65" s="5" t="n">
        <v>0.075</v>
      </c>
      <c r="E65" s="5" t="n">
        <v>0.082</v>
      </c>
      <c r="F65" s="5" t="n">
        <v>0.08</v>
      </c>
      <c r="G65" s="5" t="n">
        <v>0.64</v>
      </c>
      <c r="H65" s="4" t="s">
        <v>212</v>
      </c>
      <c r="I65" s="7" t="n">
        <v>211</v>
      </c>
      <c r="J65" s="5" t="n">
        <v>0.306</v>
      </c>
      <c r="K65" s="5" t="n">
        <v>0.129</v>
      </c>
      <c r="L65" s="5" t="n">
        <v>0.018</v>
      </c>
      <c r="M65" s="5" t="n">
        <v>0.254</v>
      </c>
      <c r="N65" s="5" t="n">
        <v>0.361</v>
      </c>
    </row>
    <row r="66" customFormat="false" ht="17.25" hidden="false" customHeight="true" outlineLevel="0" collapsed="false">
      <c r="A66" s="4" t="s">
        <v>38</v>
      </c>
      <c r="B66" s="7" t="s">
        <v>39</v>
      </c>
      <c r="C66" s="5" t="n">
        <v>0.24</v>
      </c>
      <c r="D66" s="5" t="n">
        <v>0.15</v>
      </c>
      <c r="E66" s="5" t="n">
        <v>0.11</v>
      </c>
      <c r="F66" s="5" t="n">
        <v>0.102</v>
      </c>
      <c r="G66" s="5" t="n">
        <v>0.688</v>
      </c>
      <c r="H66" s="4" t="s">
        <v>212</v>
      </c>
      <c r="I66" s="7" t="n">
        <v>193</v>
      </c>
      <c r="J66" s="5" t="n">
        <v>-0.147</v>
      </c>
      <c r="K66" s="5" t="n">
        <v>0.317</v>
      </c>
      <c r="L66" s="5" t="n">
        <v>0.643</v>
      </c>
      <c r="M66" s="5" t="n">
        <v>0.979</v>
      </c>
      <c r="N66" s="5" t="n">
        <v>0.888</v>
      </c>
    </row>
    <row r="67" customFormat="false" ht="17.25" hidden="false" customHeight="true" outlineLevel="0" collapsed="false">
      <c r="A67" s="4" t="s">
        <v>61</v>
      </c>
      <c r="B67" s="7" t="s">
        <v>19</v>
      </c>
      <c r="C67" s="5" t="n">
        <v>0.061</v>
      </c>
      <c r="D67" s="5" t="n">
        <v>0.052</v>
      </c>
      <c r="E67" s="5" t="n">
        <v>0.246</v>
      </c>
      <c r="F67" s="5" t="n">
        <v>0.243</v>
      </c>
      <c r="G67" s="5" t="n">
        <v>0.899</v>
      </c>
      <c r="H67" s="4" t="s">
        <v>212</v>
      </c>
      <c r="I67" s="7" t="n">
        <v>211</v>
      </c>
      <c r="J67" s="5" t="n">
        <v>0.094</v>
      </c>
      <c r="K67" s="5" t="n">
        <v>0.105</v>
      </c>
      <c r="L67" s="5" t="n">
        <v>0.367</v>
      </c>
      <c r="M67" s="5" t="n">
        <v>0.947</v>
      </c>
      <c r="N67" s="5" t="n">
        <v>0.293</v>
      </c>
    </row>
    <row r="68" customFormat="false" ht="17.25" hidden="false" customHeight="true" outlineLevel="0" collapsed="false">
      <c r="A68" s="4" t="s">
        <v>67</v>
      </c>
      <c r="B68" s="7" t="s">
        <v>68</v>
      </c>
      <c r="C68" s="5" t="n">
        <v>-0.311</v>
      </c>
      <c r="D68" s="5" t="n">
        <v>0.528</v>
      </c>
      <c r="E68" s="5" t="n">
        <v>0.556</v>
      </c>
      <c r="F68" s="5" t="n">
        <v>0.554</v>
      </c>
      <c r="G68" s="5" t="n">
        <v>0.997</v>
      </c>
      <c r="H68" s="4" t="s">
        <v>212</v>
      </c>
      <c r="I68" s="7" t="n">
        <v>210</v>
      </c>
      <c r="J68" s="5" t="n">
        <v>2.749</v>
      </c>
      <c r="K68" s="5" t="n">
        <v>0.876</v>
      </c>
      <c r="L68" s="5" t="n">
        <v>0.002</v>
      </c>
      <c r="M68" s="5" t="n">
        <v>0.056</v>
      </c>
      <c r="N68" s="5" t="n">
        <v>2.453</v>
      </c>
    </row>
    <row r="69" customFormat="false" ht="17.25" hidden="false" customHeight="true" outlineLevel="0" collapsed="false">
      <c r="A69" s="4" t="s">
        <v>33</v>
      </c>
      <c r="B69" s="7" t="s">
        <v>19</v>
      </c>
      <c r="C69" s="5" t="n">
        <v>0.007</v>
      </c>
      <c r="D69" s="5" t="n">
        <v>0.08</v>
      </c>
      <c r="E69" s="5" t="n">
        <v>0.93</v>
      </c>
      <c r="F69" s="5" t="n">
        <v>0.929</v>
      </c>
      <c r="G69" s="5" t="n">
        <v>1</v>
      </c>
      <c r="H69" s="4" t="s">
        <v>212</v>
      </c>
      <c r="I69" s="7" t="n">
        <v>210</v>
      </c>
      <c r="J69" s="5" t="n">
        <v>0.337</v>
      </c>
      <c r="K69" s="5" t="n">
        <v>0.142</v>
      </c>
      <c r="L69" s="5" t="n">
        <v>0.017</v>
      </c>
      <c r="M69" s="5" t="n">
        <v>0.259</v>
      </c>
      <c r="N69" s="5" t="n">
        <v>0.397</v>
      </c>
    </row>
    <row r="70" customFormat="false" ht="17.25" hidden="false" customHeight="true" outlineLevel="0" collapsed="false">
      <c r="A70" s="4" t="s">
        <v>71</v>
      </c>
      <c r="B70" s="7" t="s">
        <v>19</v>
      </c>
      <c r="C70" s="5" t="n">
        <v>0.039</v>
      </c>
      <c r="D70" s="5" t="n">
        <v>0.073</v>
      </c>
      <c r="E70" s="5" t="n">
        <v>0.595</v>
      </c>
      <c r="F70" s="5" t="n">
        <v>0.596</v>
      </c>
      <c r="G70" s="5" t="n">
        <v>0.997</v>
      </c>
      <c r="H70" s="4" t="s">
        <v>212</v>
      </c>
      <c r="I70" s="7" t="n">
        <v>210</v>
      </c>
      <c r="J70" s="5" t="n">
        <v>0.308</v>
      </c>
      <c r="K70" s="5" t="n">
        <v>0.12</v>
      </c>
      <c r="L70" s="5" t="n">
        <v>0.01</v>
      </c>
      <c r="M70" s="5" t="n">
        <v>0.185</v>
      </c>
      <c r="N70" s="5" t="n">
        <v>0.336</v>
      </c>
    </row>
    <row r="71" customFormat="false" ht="17.25" hidden="false" customHeight="true" outlineLevel="0" collapsed="false">
      <c r="A71" s="4" t="s">
        <v>73</v>
      </c>
      <c r="B71" s="7" t="s">
        <v>19</v>
      </c>
      <c r="C71" s="5" t="n">
        <v>-0.026</v>
      </c>
      <c r="D71" s="5" t="n">
        <v>0.075</v>
      </c>
      <c r="E71" s="5" t="n">
        <v>0.734</v>
      </c>
      <c r="F71" s="5" t="n">
        <v>0.731</v>
      </c>
      <c r="G71" s="5" t="n">
        <v>1</v>
      </c>
      <c r="H71" s="4" t="s">
        <v>212</v>
      </c>
      <c r="I71" s="7" t="n">
        <v>210</v>
      </c>
      <c r="J71" s="5" t="n">
        <v>0.146</v>
      </c>
      <c r="K71" s="5" t="n">
        <v>0.144</v>
      </c>
      <c r="L71" s="5" t="n">
        <v>0.311</v>
      </c>
      <c r="M71" s="5" t="n">
        <v>0.943</v>
      </c>
      <c r="N71" s="5" t="n">
        <v>0.403</v>
      </c>
    </row>
    <row r="72" customFormat="false" ht="17.25" hidden="false" customHeight="true" outlineLevel="0" collapsed="false">
      <c r="A72" s="4" t="s">
        <v>75</v>
      </c>
      <c r="B72" s="7" t="s">
        <v>19</v>
      </c>
      <c r="C72" s="5" t="n">
        <v>-0.054</v>
      </c>
      <c r="D72" s="5" t="n">
        <v>0.077</v>
      </c>
      <c r="E72" s="5" t="n">
        <v>0.483</v>
      </c>
      <c r="F72" s="5" t="n">
        <v>0.482</v>
      </c>
      <c r="G72" s="5" t="n">
        <v>0.997</v>
      </c>
      <c r="H72" s="4" t="s">
        <v>212</v>
      </c>
      <c r="I72" s="7" t="n">
        <v>210</v>
      </c>
      <c r="J72" s="5" t="n">
        <v>0.109</v>
      </c>
      <c r="K72" s="5" t="n">
        <v>0.152</v>
      </c>
      <c r="L72" s="5" t="n">
        <v>0.471</v>
      </c>
      <c r="M72" s="5" t="n">
        <v>0.947</v>
      </c>
      <c r="N72" s="5" t="n">
        <v>0.426</v>
      </c>
    </row>
    <row r="73" customFormat="false" ht="17.25" hidden="false" customHeight="true" outlineLevel="0" collapsed="false">
      <c r="A73" s="4" t="s">
        <v>77</v>
      </c>
      <c r="B73" s="7" t="s">
        <v>19</v>
      </c>
      <c r="C73" s="5" t="n">
        <v>0.051</v>
      </c>
      <c r="D73" s="5" t="n">
        <v>0.098</v>
      </c>
      <c r="E73" s="5" t="n">
        <v>0.599</v>
      </c>
      <c r="F73" s="5" t="n">
        <v>0.599</v>
      </c>
      <c r="G73" s="5" t="n">
        <v>0.997</v>
      </c>
      <c r="H73" s="4" t="s">
        <v>212</v>
      </c>
      <c r="I73" s="7" t="n">
        <v>210</v>
      </c>
      <c r="J73" s="5" t="n">
        <v>0.557</v>
      </c>
      <c r="K73" s="5" t="n">
        <v>0.179</v>
      </c>
      <c r="L73" s="5" t="n">
        <v>0.002</v>
      </c>
      <c r="M73" s="5" t="n">
        <v>0.056</v>
      </c>
      <c r="N73" s="5" t="n">
        <v>0.501</v>
      </c>
    </row>
    <row r="74" customFormat="false" ht="17.25" hidden="false" customHeight="true" outlineLevel="0" collapsed="false">
      <c r="A74" s="4" t="s">
        <v>79</v>
      </c>
      <c r="B74" s="7" t="s">
        <v>19</v>
      </c>
      <c r="C74" s="5" t="n">
        <v>0.022</v>
      </c>
      <c r="D74" s="5" t="n">
        <v>0.086</v>
      </c>
      <c r="E74" s="5" t="n">
        <v>0.797</v>
      </c>
      <c r="F74" s="5" t="n">
        <v>0.797</v>
      </c>
      <c r="G74" s="5" t="n">
        <v>1</v>
      </c>
      <c r="H74" s="4" t="s">
        <v>212</v>
      </c>
      <c r="I74" s="7" t="n">
        <v>210</v>
      </c>
      <c r="J74" s="5" t="n">
        <v>0.338</v>
      </c>
      <c r="K74" s="5" t="n">
        <v>0.156</v>
      </c>
      <c r="L74" s="5" t="n">
        <v>0.03</v>
      </c>
      <c r="M74" s="5" t="n">
        <v>0.337</v>
      </c>
      <c r="N74" s="5" t="n">
        <v>0.436</v>
      </c>
    </row>
    <row r="75" customFormat="false" ht="17.25" hidden="false" customHeight="true" outlineLevel="0" collapsed="false">
      <c r="A75" s="4" t="s">
        <v>81</v>
      </c>
      <c r="B75" s="7" t="s">
        <v>19</v>
      </c>
      <c r="C75" s="5" t="n">
        <v>-0.027</v>
      </c>
      <c r="D75" s="5" t="n">
        <v>0.088</v>
      </c>
      <c r="E75" s="5" t="n">
        <v>0.757</v>
      </c>
      <c r="F75" s="5" t="n">
        <v>0.757</v>
      </c>
      <c r="G75" s="5" t="n">
        <v>1</v>
      </c>
      <c r="H75" s="4" t="s">
        <v>212</v>
      </c>
      <c r="I75" s="7" t="n">
        <v>210</v>
      </c>
      <c r="J75" s="5" t="n">
        <v>0.322</v>
      </c>
      <c r="K75" s="5" t="n">
        <v>0.171</v>
      </c>
      <c r="L75" s="5" t="n">
        <v>0.06</v>
      </c>
      <c r="M75" s="5" t="n">
        <v>0.432</v>
      </c>
      <c r="N75" s="5" t="n">
        <v>0.479</v>
      </c>
    </row>
    <row r="76" customFormat="false" ht="17.25" hidden="false" customHeight="true" outlineLevel="0" collapsed="false">
      <c r="A76" s="4" t="s">
        <v>35</v>
      </c>
      <c r="B76" s="7" t="s">
        <v>19</v>
      </c>
      <c r="C76" s="5" t="n">
        <v>-0.038</v>
      </c>
      <c r="D76" s="5" t="n">
        <v>0.088</v>
      </c>
      <c r="E76" s="5" t="n">
        <v>0.667</v>
      </c>
      <c r="F76" s="5" t="n">
        <v>0.677</v>
      </c>
      <c r="G76" s="5" t="n">
        <v>1</v>
      </c>
      <c r="H76" s="4" t="s">
        <v>212</v>
      </c>
      <c r="I76" s="7" t="n">
        <v>210</v>
      </c>
      <c r="J76" s="5" t="n">
        <v>0.37</v>
      </c>
      <c r="K76" s="5" t="n">
        <v>0.168</v>
      </c>
      <c r="L76" s="5" t="n">
        <v>0.028</v>
      </c>
      <c r="M76" s="5" t="n">
        <v>0.337</v>
      </c>
      <c r="N76" s="5" t="n">
        <v>0.471</v>
      </c>
    </row>
    <row r="77" customFormat="false" ht="17.25" hidden="false" customHeight="true" outlineLevel="0" collapsed="false">
      <c r="A77" s="4" t="s">
        <v>84</v>
      </c>
      <c r="B77" s="7" t="s">
        <v>19</v>
      </c>
      <c r="C77" s="5" t="n">
        <v>-0.116</v>
      </c>
      <c r="D77" s="5" t="n">
        <v>0.09</v>
      </c>
      <c r="E77" s="5" t="n">
        <v>0.198</v>
      </c>
      <c r="F77" s="5" t="n">
        <v>0.194</v>
      </c>
      <c r="G77" s="5" t="n">
        <v>0.859</v>
      </c>
      <c r="H77" s="4" t="s">
        <v>212</v>
      </c>
      <c r="I77" s="7" t="n">
        <v>210</v>
      </c>
      <c r="J77" s="5" t="n">
        <v>0.172</v>
      </c>
      <c r="K77" s="5" t="n">
        <v>0.174</v>
      </c>
      <c r="L77" s="5" t="n">
        <v>0.322</v>
      </c>
      <c r="M77" s="5" t="n">
        <v>0.943</v>
      </c>
      <c r="N77" s="5" t="n">
        <v>0.486</v>
      </c>
    </row>
    <row r="78" customFormat="false" ht="17.25" hidden="false" customHeight="true" outlineLevel="0" collapsed="false">
      <c r="A78" s="4" t="s">
        <v>86</v>
      </c>
      <c r="B78" s="7" t="s">
        <v>19</v>
      </c>
      <c r="C78" s="5" t="n">
        <v>-0.148</v>
      </c>
      <c r="D78" s="5" t="n">
        <v>0.075</v>
      </c>
      <c r="E78" s="5" t="n">
        <v>0.048</v>
      </c>
      <c r="F78" s="5" t="n">
        <v>0.045</v>
      </c>
      <c r="G78" s="5" t="n">
        <v>0.496</v>
      </c>
      <c r="H78" s="4" t="s">
        <v>214</v>
      </c>
      <c r="I78" s="7" t="n">
        <v>210</v>
      </c>
      <c r="J78" s="5" t="n">
        <v>0.116</v>
      </c>
      <c r="K78" s="5" t="n">
        <v>0.142</v>
      </c>
      <c r="L78" s="5" t="n">
        <v>0.412</v>
      </c>
      <c r="M78" s="5" t="n">
        <v>0.947</v>
      </c>
      <c r="N78" s="5" t="n">
        <v>0.397</v>
      </c>
    </row>
    <row r="79" customFormat="false" ht="30.75" hidden="false" customHeight="true" outlineLevel="0" collapsed="false">
      <c r="A79" s="4" t="s">
        <v>88</v>
      </c>
      <c r="B79" s="7" t="s">
        <v>19</v>
      </c>
      <c r="C79" s="5" t="n">
        <v>-0.021</v>
      </c>
      <c r="D79" s="5" t="n">
        <v>0.077</v>
      </c>
      <c r="E79" s="5" t="n">
        <v>0.78</v>
      </c>
      <c r="F79" s="5" t="n">
        <v>0.779</v>
      </c>
      <c r="G79" s="5" t="n">
        <v>1</v>
      </c>
      <c r="H79" s="4" t="s">
        <v>212</v>
      </c>
      <c r="I79" s="7" t="n">
        <v>210</v>
      </c>
      <c r="J79" s="5" t="n">
        <v>-0.026</v>
      </c>
      <c r="K79" s="5" t="n">
        <v>0.156</v>
      </c>
      <c r="L79" s="5" t="n">
        <v>0.868</v>
      </c>
      <c r="M79" s="5" t="n">
        <v>0.979</v>
      </c>
      <c r="N79" s="5" t="n">
        <v>0.437</v>
      </c>
    </row>
    <row r="80" customFormat="false" ht="17.25" hidden="false" customHeight="true" outlineLevel="0" collapsed="false">
      <c r="A80" s="4" t="s">
        <v>98</v>
      </c>
      <c r="B80" s="7" t="s">
        <v>99</v>
      </c>
      <c r="C80" s="5" t="n">
        <v>0.046</v>
      </c>
      <c r="D80" s="5" t="n">
        <v>0.146</v>
      </c>
      <c r="E80" s="5" t="n">
        <v>0.755</v>
      </c>
      <c r="F80" s="5" t="n">
        <v>0.752</v>
      </c>
      <c r="G80" s="5" t="n">
        <v>1</v>
      </c>
      <c r="H80" s="4" t="s">
        <v>212</v>
      </c>
      <c r="I80" s="7" t="n">
        <v>210</v>
      </c>
      <c r="J80" s="5" t="n">
        <v>0.645</v>
      </c>
      <c r="K80" s="5" t="n">
        <v>0.245</v>
      </c>
      <c r="L80" s="5" t="n">
        <v>0.008</v>
      </c>
      <c r="M80" s="5" t="n">
        <v>0.162</v>
      </c>
      <c r="N80" s="5" t="n">
        <v>0.685</v>
      </c>
    </row>
    <row r="81" customFormat="false" ht="17.25" hidden="false" customHeight="true" outlineLevel="0" collapsed="false">
      <c r="A81" s="4" t="s">
        <v>101</v>
      </c>
      <c r="B81" s="7" t="s">
        <v>102</v>
      </c>
      <c r="C81" s="5" t="n">
        <v>0.036</v>
      </c>
      <c r="D81" s="5" t="n">
        <v>0.197</v>
      </c>
      <c r="E81" s="5" t="n">
        <v>0.857</v>
      </c>
      <c r="F81" s="5" t="n">
        <v>0.859</v>
      </c>
      <c r="G81" s="5" t="n">
        <v>1</v>
      </c>
      <c r="H81" s="4" t="s">
        <v>212</v>
      </c>
      <c r="I81" s="7" t="n">
        <v>210</v>
      </c>
      <c r="J81" s="5" t="n">
        <v>1.265</v>
      </c>
      <c r="K81" s="5" t="n">
        <v>0.331</v>
      </c>
      <c r="L81" s="5" t="n">
        <v>0</v>
      </c>
      <c r="M81" s="5" t="n">
        <v>0.016</v>
      </c>
      <c r="N81" s="5" t="n">
        <v>0.928</v>
      </c>
    </row>
    <row r="82" customFormat="false" ht="17.25" hidden="false" customHeight="true" outlineLevel="0" collapsed="false">
      <c r="A82" s="4" t="s">
        <v>104</v>
      </c>
      <c r="B82" s="7" t="s">
        <v>102</v>
      </c>
      <c r="C82" s="5" t="n">
        <v>-0.107</v>
      </c>
      <c r="D82" s="5" t="n">
        <v>0.169</v>
      </c>
      <c r="E82" s="5" t="n">
        <v>0.527</v>
      </c>
      <c r="F82" s="5" t="n">
        <v>0.529</v>
      </c>
      <c r="G82" s="5" t="n">
        <v>0.997</v>
      </c>
      <c r="H82" s="4" t="s">
        <v>212</v>
      </c>
      <c r="I82" s="7" t="n">
        <v>210</v>
      </c>
      <c r="J82" s="5" t="n">
        <v>0.577</v>
      </c>
      <c r="K82" s="5" t="n">
        <v>0.284</v>
      </c>
      <c r="L82" s="5" t="n">
        <v>0.042</v>
      </c>
      <c r="M82" s="5" t="n">
        <v>0.38</v>
      </c>
      <c r="N82" s="5" t="n">
        <v>0.795</v>
      </c>
    </row>
    <row r="83" customFormat="false" ht="17.25" hidden="false" customHeight="true" outlineLevel="0" collapsed="false">
      <c r="A83" s="4" t="s">
        <v>106</v>
      </c>
      <c r="B83" s="7" t="s">
        <v>107</v>
      </c>
      <c r="C83" s="5" t="n">
        <v>0.027</v>
      </c>
      <c r="D83" s="5" t="n">
        <v>0.154</v>
      </c>
      <c r="E83" s="5" t="n">
        <v>0.86</v>
      </c>
      <c r="F83" s="5" t="n">
        <v>0.858</v>
      </c>
      <c r="G83" s="5" t="n">
        <v>1</v>
      </c>
      <c r="H83" s="4" t="s">
        <v>212</v>
      </c>
      <c r="I83" s="7" t="n">
        <v>210</v>
      </c>
      <c r="J83" s="5" t="n">
        <v>0.613</v>
      </c>
      <c r="K83" s="5" t="n">
        <v>0.264</v>
      </c>
      <c r="L83" s="5" t="n">
        <v>0.02</v>
      </c>
      <c r="M83" s="5" t="n">
        <v>0.259</v>
      </c>
      <c r="N83" s="5" t="n">
        <v>0.74</v>
      </c>
    </row>
    <row r="84" customFormat="false" ht="17.25" hidden="false" customHeight="true" outlineLevel="0" collapsed="false"/>
    <row r="85" customFormat="false" ht="17.25" hidden="false" customHeight="true" outlineLevel="0" collapsed="false">
      <c r="A85" s="8" t="s">
        <v>218</v>
      </c>
    </row>
    <row r="86" customFormat="false" ht="71.25" hidden="false" customHeight="true" outlineLevel="0" collapsed="false">
      <c r="A86" s="3" t="s">
        <v>3</v>
      </c>
      <c r="B86" s="3" t="s">
        <v>4</v>
      </c>
      <c r="C86" s="3" t="s">
        <v>201</v>
      </c>
      <c r="D86" s="3" t="s">
        <v>172</v>
      </c>
      <c r="E86" s="3" t="s">
        <v>202</v>
      </c>
      <c r="F86" s="3" t="s">
        <v>203</v>
      </c>
      <c r="G86" s="3" t="s">
        <v>204</v>
      </c>
      <c r="H86" s="3" t="s">
        <v>205</v>
      </c>
      <c r="I86" s="3" t="s">
        <v>206</v>
      </c>
      <c r="J86" s="3" t="s">
        <v>207</v>
      </c>
      <c r="K86" s="3" t="s">
        <v>208</v>
      </c>
      <c r="L86" s="3" t="s">
        <v>209</v>
      </c>
      <c r="M86" s="3" t="s">
        <v>210</v>
      </c>
      <c r="N86" s="3" t="s">
        <v>211</v>
      </c>
    </row>
    <row r="87" customFormat="false" ht="17.25" hidden="false" customHeight="true" outlineLevel="0" collapsed="false">
      <c r="A87" s="4" t="s">
        <v>18</v>
      </c>
      <c r="B87" s="7" t="s">
        <v>19</v>
      </c>
      <c r="C87" s="5" t="n">
        <v>0.2</v>
      </c>
      <c r="D87" s="5" t="n">
        <v>0.067</v>
      </c>
      <c r="E87" s="5" t="n">
        <v>0.003</v>
      </c>
      <c r="F87" s="5" t="n">
        <v>0.003</v>
      </c>
      <c r="G87" s="5" t="n">
        <v>0.09</v>
      </c>
      <c r="H87" s="4" t="s">
        <v>214</v>
      </c>
      <c r="I87" s="7" t="s">
        <v>216</v>
      </c>
      <c r="J87" s="5" t="n">
        <v>-0.05</v>
      </c>
      <c r="K87" s="5" t="n">
        <v>0.14</v>
      </c>
      <c r="L87" s="5" t="n">
        <v>0.72</v>
      </c>
      <c r="M87" s="5" t="n">
        <v>0.978</v>
      </c>
      <c r="N87" s="5" t="n">
        <v>0.392</v>
      </c>
    </row>
    <row r="88" customFormat="false" ht="17.25" hidden="false" customHeight="true" outlineLevel="0" collapsed="false">
      <c r="A88" s="4" t="s">
        <v>22</v>
      </c>
      <c r="B88" s="7" t="s">
        <v>19</v>
      </c>
      <c r="C88" s="5" t="n">
        <v>0.108</v>
      </c>
      <c r="D88" s="5" t="n">
        <v>0.073</v>
      </c>
      <c r="E88" s="5" t="n">
        <v>0.141</v>
      </c>
      <c r="F88" s="5" t="n">
        <v>0.145</v>
      </c>
      <c r="G88" s="5" t="n">
        <v>0.771</v>
      </c>
      <c r="H88" s="4" t="s">
        <v>212</v>
      </c>
      <c r="I88" s="7" t="s">
        <v>216</v>
      </c>
      <c r="J88" s="5" t="n">
        <v>0.128</v>
      </c>
      <c r="K88" s="5" t="n">
        <v>0.16</v>
      </c>
      <c r="L88" s="5" t="n">
        <v>0.426</v>
      </c>
      <c r="M88" s="5" t="n">
        <v>0.961</v>
      </c>
      <c r="N88" s="5" t="n">
        <v>0.449</v>
      </c>
    </row>
    <row r="89" customFormat="false" ht="17.25" hidden="false" customHeight="true" outlineLevel="0" collapsed="false">
      <c r="A89" s="4" t="s">
        <v>24</v>
      </c>
      <c r="B89" s="7" t="s">
        <v>19</v>
      </c>
      <c r="C89" s="5" t="n">
        <v>0.109</v>
      </c>
      <c r="D89" s="5" t="n">
        <v>0.061</v>
      </c>
      <c r="E89" s="5" t="n">
        <v>0.075</v>
      </c>
      <c r="F89" s="5" t="n">
        <v>0.077</v>
      </c>
      <c r="G89" s="5" t="n">
        <v>0.622</v>
      </c>
      <c r="H89" s="4" t="s">
        <v>212</v>
      </c>
      <c r="I89" s="7" t="s">
        <v>216</v>
      </c>
      <c r="J89" s="5" t="n">
        <v>0.36</v>
      </c>
      <c r="K89" s="5" t="n">
        <v>0.1</v>
      </c>
      <c r="L89" s="5" t="n">
        <v>0</v>
      </c>
      <c r="M89" s="5" t="n">
        <v>0.022</v>
      </c>
      <c r="N89" s="5" t="n">
        <v>0.281</v>
      </c>
    </row>
    <row r="90" customFormat="false" ht="17.25" hidden="false" customHeight="true" outlineLevel="0" collapsed="false">
      <c r="A90" s="4" t="s">
        <v>38</v>
      </c>
      <c r="B90" s="7" t="s">
        <v>39</v>
      </c>
      <c r="C90" s="5" t="n">
        <v>0.245</v>
      </c>
      <c r="D90" s="5" t="n">
        <v>0.102</v>
      </c>
      <c r="E90" s="5" t="n">
        <v>0.016</v>
      </c>
      <c r="F90" s="5" t="n">
        <v>0.017</v>
      </c>
      <c r="G90" s="5" t="n">
        <v>0.267</v>
      </c>
      <c r="H90" s="4" t="s">
        <v>214</v>
      </c>
      <c r="I90" s="7" t="s">
        <v>216</v>
      </c>
      <c r="J90" s="5" t="n">
        <v>-0.12</v>
      </c>
      <c r="K90" s="5" t="n">
        <v>0.233</v>
      </c>
      <c r="L90" s="5" t="n">
        <v>0.607</v>
      </c>
      <c r="M90" s="5" t="n">
        <v>0.978</v>
      </c>
      <c r="N90" s="5" t="n">
        <v>0.654</v>
      </c>
    </row>
    <row r="91" customFormat="false" ht="17.25" hidden="false" customHeight="true" outlineLevel="0" collapsed="false">
      <c r="A91" s="4" t="s">
        <v>61</v>
      </c>
      <c r="B91" s="7" t="s">
        <v>19</v>
      </c>
      <c r="C91" s="5" t="n">
        <v>0.094</v>
      </c>
      <c r="D91" s="5" t="n">
        <v>0.04</v>
      </c>
      <c r="E91" s="5" t="n">
        <v>0.018</v>
      </c>
      <c r="F91" s="5" t="n">
        <v>0.017</v>
      </c>
      <c r="G91" s="5" t="n">
        <v>0.267</v>
      </c>
      <c r="H91" s="4" t="s">
        <v>214</v>
      </c>
      <c r="I91" s="7" t="s">
        <v>216</v>
      </c>
      <c r="J91" s="5" t="n">
        <v>0.103</v>
      </c>
      <c r="K91" s="5" t="n">
        <v>0.09</v>
      </c>
      <c r="L91" s="5" t="n">
        <v>0.252</v>
      </c>
      <c r="M91" s="5" t="n">
        <v>0.897</v>
      </c>
      <c r="N91" s="5" t="n">
        <v>0.251</v>
      </c>
    </row>
    <row r="92" customFormat="false" ht="17.25" hidden="false" customHeight="true" outlineLevel="0" collapsed="false">
      <c r="A92" s="4" t="s">
        <v>67</v>
      </c>
      <c r="B92" s="7" t="s">
        <v>68</v>
      </c>
      <c r="C92" s="5" t="n">
        <v>0.152</v>
      </c>
      <c r="D92" s="5" t="n">
        <v>0.368</v>
      </c>
      <c r="E92" s="5" t="n">
        <v>0.68</v>
      </c>
      <c r="F92" s="5" t="n">
        <v>0.681</v>
      </c>
      <c r="G92" s="5" t="n">
        <v>0.992</v>
      </c>
      <c r="H92" s="4" t="s">
        <v>212</v>
      </c>
      <c r="I92" s="7" t="s">
        <v>216</v>
      </c>
      <c r="J92" s="5" t="n">
        <v>2.276</v>
      </c>
      <c r="K92" s="5" t="n">
        <v>0.647</v>
      </c>
      <c r="L92" s="5" t="n">
        <v>0</v>
      </c>
      <c r="M92" s="5" t="n">
        <v>0.026</v>
      </c>
      <c r="N92" s="5" t="n">
        <v>1.812</v>
      </c>
    </row>
    <row r="93" customFormat="false" ht="17.25" hidden="false" customHeight="true" outlineLevel="0" collapsed="false">
      <c r="A93" s="4" t="s">
        <v>33</v>
      </c>
      <c r="B93" s="7" t="s">
        <v>19</v>
      </c>
      <c r="C93" s="5" t="n">
        <v>0.095</v>
      </c>
      <c r="D93" s="5" t="n">
        <v>0.064</v>
      </c>
      <c r="E93" s="5" t="n">
        <v>0.139</v>
      </c>
      <c r="F93" s="5" t="n">
        <v>0.138</v>
      </c>
      <c r="G93" s="5" t="n">
        <v>0.771</v>
      </c>
      <c r="H93" s="4" t="s">
        <v>212</v>
      </c>
      <c r="I93" s="7" t="s">
        <v>216</v>
      </c>
      <c r="J93" s="5" t="n">
        <v>0.252</v>
      </c>
      <c r="K93" s="5" t="n">
        <v>0.113</v>
      </c>
      <c r="L93" s="5" t="n">
        <v>0.026</v>
      </c>
      <c r="M93" s="5" t="n">
        <v>0.35</v>
      </c>
      <c r="N93" s="5" t="n">
        <v>0.318</v>
      </c>
    </row>
    <row r="94" customFormat="false" ht="17.25" hidden="false" customHeight="true" outlineLevel="0" collapsed="false">
      <c r="A94" s="4" t="s">
        <v>71</v>
      </c>
      <c r="B94" s="7" t="s">
        <v>19</v>
      </c>
      <c r="C94" s="5" t="n">
        <v>0.13</v>
      </c>
      <c r="D94" s="5" t="n">
        <v>0.062</v>
      </c>
      <c r="E94" s="5" t="n">
        <v>0.038</v>
      </c>
      <c r="F94" s="5" t="n">
        <v>0.035</v>
      </c>
      <c r="G94" s="5" t="n">
        <v>0.38</v>
      </c>
      <c r="H94" s="4" t="s">
        <v>214</v>
      </c>
      <c r="I94" s="7" t="s">
        <v>216</v>
      </c>
      <c r="J94" s="5" t="n">
        <v>0.19</v>
      </c>
      <c r="K94" s="5" t="n">
        <v>0.1</v>
      </c>
      <c r="L94" s="5" t="n">
        <v>0.057</v>
      </c>
      <c r="M94" s="5" t="n">
        <v>0.478</v>
      </c>
      <c r="N94" s="5" t="n">
        <v>0.28</v>
      </c>
    </row>
    <row r="95" customFormat="false" ht="17.25" hidden="false" customHeight="true" outlineLevel="0" collapsed="false">
      <c r="A95" s="4" t="s">
        <v>73</v>
      </c>
      <c r="B95" s="7" t="s">
        <v>19</v>
      </c>
      <c r="C95" s="5" t="n">
        <v>-0.02</v>
      </c>
      <c r="D95" s="5" t="n">
        <v>0.053</v>
      </c>
      <c r="E95" s="5" t="n">
        <v>0.71</v>
      </c>
      <c r="F95" s="5" t="n">
        <v>0.709</v>
      </c>
      <c r="G95" s="5" t="n">
        <v>0.992</v>
      </c>
      <c r="H95" s="4" t="s">
        <v>212</v>
      </c>
      <c r="I95" s="7" t="s">
        <v>216</v>
      </c>
      <c r="J95" s="5" t="n">
        <v>0.093</v>
      </c>
      <c r="K95" s="5" t="n">
        <v>0.11</v>
      </c>
      <c r="L95" s="5" t="n">
        <v>0.395</v>
      </c>
      <c r="M95" s="5" t="n">
        <v>0.961</v>
      </c>
      <c r="N95" s="5" t="n">
        <v>0.307</v>
      </c>
    </row>
    <row r="96" customFormat="false" ht="17.25" hidden="false" customHeight="true" outlineLevel="0" collapsed="false">
      <c r="A96" s="4" t="s">
        <v>75</v>
      </c>
      <c r="B96" s="7" t="s">
        <v>19</v>
      </c>
      <c r="C96" s="5" t="n">
        <v>-0.069</v>
      </c>
      <c r="D96" s="5" t="n">
        <v>0.054</v>
      </c>
      <c r="E96" s="5" t="n">
        <v>0.208</v>
      </c>
      <c r="F96" s="5" t="n">
        <v>0.207</v>
      </c>
      <c r="G96" s="5" t="n">
        <v>0.801</v>
      </c>
      <c r="H96" s="4" t="s">
        <v>212</v>
      </c>
      <c r="I96" s="7" t="s">
        <v>216</v>
      </c>
      <c r="J96" s="5" t="n">
        <v>0.043</v>
      </c>
      <c r="K96" s="5" t="n">
        <v>0.119</v>
      </c>
      <c r="L96" s="5" t="n">
        <v>0.716</v>
      </c>
      <c r="M96" s="5" t="n">
        <v>0.978</v>
      </c>
      <c r="N96" s="5" t="n">
        <v>0.334</v>
      </c>
    </row>
    <row r="97" customFormat="false" ht="17.25" hidden="false" customHeight="true" outlineLevel="0" collapsed="false">
      <c r="A97" s="4" t="s">
        <v>77</v>
      </c>
      <c r="B97" s="7" t="s">
        <v>19</v>
      </c>
      <c r="C97" s="5" t="n">
        <v>0.075</v>
      </c>
      <c r="D97" s="5" t="n">
        <v>0.073</v>
      </c>
      <c r="E97" s="5" t="n">
        <v>0.304</v>
      </c>
      <c r="F97" s="5" t="n">
        <v>0.306</v>
      </c>
      <c r="G97" s="5" t="n">
        <v>0.879</v>
      </c>
      <c r="H97" s="4" t="s">
        <v>212</v>
      </c>
      <c r="I97" s="7" t="s">
        <v>216</v>
      </c>
      <c r="J97" s="5" t="n">
        <v>0.499</v>
      </c>
      <c r="K97" s="5" t="n">
        <v>0.147</v>
      </c>
      <c r="L97" s="5" t="n">
        <v>0.001</v>
      </c>
      <c r="M97" s="5" t="n">
        <v>0.03</v>
      </c>
      <c r="N97" s="5" t="n">
        <v>0.412</v>
      </c>
    </row>
    <row r="98" customFormat="false" ht="17.25" hidden="false" customHeight="true" outlineLevel="0" collapsed="false">
      <c r="A98" s="4" t="s">
        <v>79</v>
      </c>
      <c r="B98" s="7" t="s">
        <v>19</v>
      </c>
      <c r="C98" s="5" t="n">
        <v>-0.003</v>
      </c>
      <c r="D98" s="5" t="n">
        <v>0.064</v>
      </c>
      <c r="E98" s="5" t="n">
        <v>0.957</v>
      </c>
      <c r="F98" s="5" t="n">
        <v>0.958</v>
      </c>
      <c r="G98" s="5" t="n">
        <v>0.992</v>
      </c>
      <c r="H98" s="4" t="s">
        <v>212</v>
      </c>
      <c r="I98" s="7" t="s">
        <v>216</v>
      </c>
      <c r="J98" s="5" t="n">
        <v>0.347</v>
      </c>
      <c r="K98" s="5" t="n">
        <v>0.122</v>
      </c>
      <c r="L98" s="5" t="n">
        <v>0.004</v>
      </c>
      <c r="M98" s="5" t="n">
        <v>0.09</v>
      </c>
      <c r="N98" s="5" t="n">
        <v>0.341</v>
      </c>
    </row>
    <row r="99" customFormat="false" ht="17.25" hidden="false" customHeight="true" outlineLevel="0" collapsed="false">
      <c r="A99" s="4" t="s">
        <v>81</v>
      </c>
      <c r="B99" s="7" t="s">
        <v>19</v>
      </c>
      <c r="C99" s="5" t="n">
        <v>-0.015</v>
      </c>
      <c r="D99" s="5" t="n">
        <v>0.066</v>
      </c>
      <c r="E99" s="5" t="n">
        <v>0.824</v>
      </c>
      <c r="F99" s="5" t="n">
        <v>0.824</v>
      </c>
      <c r="G99" s="5" t="n">
        <v>0.992</v>
      </c>
      <c r="H99" s="4" t="s">
        <v>212</v>
      </c>
      <c r="I99" s="7" t="s">
        <v>216</v>
      </c>
      <c r="J99" s="5" t="n">
        <v>0.272</v>
      </c>
      <c r="K99" s="5" t="n">
        <v>0.142</v>
      </c>
      <c r="L99" s="5" t="n">
        <v>0.054</v>
      </c>
      <c r="M99" s="5" t="n">
        <v>0.478</v>
      </c>
      <c r="N99" s="5" t="n">
        <v>0.397</v>
      </c>
    </row>
    <row r="100" customFormat="false" ht="17.25" hidden="false" customHeight="true" outlineLevel="0" collapsed="false">
      <c r="A100" s="4" t="s">
        <v>35</v>
      </c>
      <c r="B100" s="7" t="s">
        <v>19</v>
      </c>
      <c r="C100" s="5" t="n">
        <v>0.027</v>
      </c>
      <c r="D100" s="5" t="n">
        <v>0.069</v>
      </c>
      <c r="E100" s="5" t="n">
        <v>0.693</v>
      </c>
      <c r="F100" s="5" t="n">
        <v>0.699</v>
      </c>
      <c r="G100" s="5" t="n">
        <v>0.992</v>
      </c>
      <c r="H100" s="4" t="s">
        <v>212</v>
      </c>
      <c r="I100" s="7" t="s">
        <v>216</v>
      </c>
      <c r="J100" s="5" t="n">
        <v>0.396</v>
      </c>
      <c r="K100" s="5" t="n">
        <v>0.135</v>
      </c>
      <c r="L100" s="5" t="n">
        <v>0.003</v>
      </c>
      <c r="M100" s="5" t="n">
        <v>0.089</v>
      </c>
      <c r="N100" s="5" t="n">
        <v>0.378</v>
      </c>
    </row>
    <row r="101" customFormat="false" ht="17.25" hidden="false" customHeight="true" outlineLevel="0" collapsed="false">
      <c r="A101" s="4" t="s">
        <v>84</v>
      </c>
      <c r="B101" s="7" t="s">
        <v>19</v>
      </c>
      <c r="C101" s="5" t="n">
        <v>-0.056</v>
      </c>
      <c r="D101" s="5" t="n">
        <v>0.07</v>
      </c>
      <c r="E101" s="5" t="n">
        <v>0.426</v>
      </c>
      <c r="F101" s="5" t="n">
        <v>0.417</v>
      </c>
      <c r="G101" s="5" t="n">
        <v>0.929</v>
      </c>
      <c r="H101" s="4" t="s">
        <v>212</v>
      </c>
      <c r="I101" s="7" t="s">
        <v>216</v>
      </c>
      <c r="J101" s="5" t="n">
        <v>0.122</v>
      </c>
      <c r="K101" s="5" t="n">
        <v>0.142</v>
      </c>
      <c r="L101" s="5" t="n">
        <v>0.39</v>
      </c>
      <c r="M101" s="5" t="n">
        <v>0.961</v>
      </c>
      <c r="N101" s="5" t="n">
        <v>0.397</v>
      </c>
    </row>
    <row r="102" customFormat="false" ht="17.25" hidden="false" customHeight="true" outlineLevel="0" collapsed="false">
      <c r="A102" s="4" t="s">
        <v>86</v>
      </c>
      <c r="B102" s="7" t="s">
        <v>19</v>
      </c>
      <c r="C102" s="5" t="n">
        <v>-0.088</v>
      </c>
      <c r="D102" s="5" t="n">
        <v>0.06</v>
      </c>
      <c r="E102" s="5" t="n">
        <v>0.141</v>
      </c>
      <c r="F102" s="5" t="n">
        <v>0.135</v>
      </c>
      <c r="G102" s="5" t="n">
        <v>0.771</v>
      </c>
      <c r="H102" s="4" t="s">
        <v>212</v>
      </c>
      <c r="I102" s="7" t="s">
        <v>216</v>
      </c>
      <c r="J102" s="5" t="n">
        <v>0.057</v>
      </c>
      <c r="K102" s="5" t="n">
        <v>0.117</v>
      </c>
      <c r="L102" s="5" t="n">
        <v>0.624</v>
      </c>
      <c r="M102" s="5" t="n">
        <v>0.978</v>
      </c>
      <c r="N102" s="5" t="n">
        <v>0.328</v>
      </c>
    </row>
    <row r="103" customFormat="false" ht="30.75" hidden="false" customHeight="true" outlineLevel="0" collapsed="false">
      <c r="A103" s="4" t="s">
        <v>88</v>
      </c>
      <c r="B103" s="7" t="s">
        <v>19</v>
      </c>
      <c r="C103" s="5" t="n">
        <v>0.075</v>
      </c>
      <c r="D103" s="5" t="n">
        <v>0.059</v>
      </c>
      <c r="E103" s="5" t="n">
        <v>0.204</v>
      </c>
      <c r="F103" s="5" t="n">
        <v>0.206</v>
      </c>
      <c r="G103" s="5" t="n">
        <v>0.801</v>
      </c>
      <c r="H103" s="4" t="s">
        <v>212</v>
      </c>
      <c r="I103" s="7" t="s">
        <v>216</v>
      </c>
      <c r="J103" s="5" t="n">
        <v>0.004</v>
      </c>
      <c r="K103" s="5" t="n">
        <v>0.127</v>
      </c>
      <c r="L103" s="5" t="n">
        <v>0.977</v>
      </c>
      <c r="M103" s="5" t="n">
        <v>0.978</v>
      </c>
      <c r="N103" s="5" t="n">
        <v>0.357</v>
      </c>
    </row>
    <row r="104" customFormat="false" ht="17.25" hidden="false" customHeight="true" outlineLevel="0" collapsed="false">
      <c r="A104" s="4" t="s">
        <v>98</v>
      </c>
      <c r="B104" s="7" t="s">
        <v>99</v>
      </c>
      <c r="C104" s="5" t="n">
        <v>0.225</v>
      </c>
      <c r="D104" s="5" t="n">
        <v>0.119</v>
      </c>
      <c r="E104" s="5" t="n">
        <v>0.058</v>
      </c>
      <c r="F104" s="5" t="n">
        <v>0.055</v>
      </c>
      <c r="G104" s="5" t="n">
        <v>0.519</v>
      </c>
      <c r="H104" s="4" t="s">
        <v>212</v>
      </c>
      <c r="I104" s="7" t="s">
        <v>216</v>
      </c>
      <c r="J104" s="5" t="n">
        <v>0.442</v>
      </c>
      <c r="K104" s="5" t="n">
        <v>0.196</v>
      </c>
      <c r="L104" s="5" t="n">
        <v>0.024</v>
      </c>
      <c r="M104" s="5" t="n">
        <v>0.312</v>
      </c>
      <c r="N104" s="5" t="n">
        <v>0.549</v>
      </c>
    </row>
    <row r="105" customFormat="false" ht="17.25" hidden="false" customHeight="true" outlineLevel="0" collapsed="false">
      <c r="A105" s="4" t="s">
        <v>101</v>
      </c>
      <c r="B105" s="7" t="s">
        <v>102</v>
      </c>
      <c r="C105" s="5" t="n">
        <v>0.098</v>
      </c>
      <c r="D105" s="5" t="n">
        <v>0.146</v>
      </c>
      <c r="E105" s="5" t="n">
        <v>0.501</v>
      </c>
      <c r="F105" s="5" t="n">
        <v>0.508</v>
      </c>
      <c r="G105" s="5" t="n">
        <v>0.947</v>
      </c>
      <c r="H105" s="4" t="s">
        <v>212</v>
      </c>
      <c r="I105" s="7" t="s">
        <v>216</v>
      </c>
      <c r="J105" s="5" t="n">
        <v>1.242</v>
      </c>
      <c r="K105" s="5" t="n">
        <v>0.264</v>
      </c>
      <c r="L105" s="5" t="n">
        <v>0</v>
      </c>
      <c r="M105" s="5" t="n">
        <v>0.002</v>
      </c>
      <c r="N105" s="5" t="n">
        <v>0.739</v>
      </c>
    </row>
    <row r="106" customFormat="false" ht="17.25" hidden="false" customHeight="true" outlineLevel="0" collapsed="false">
      <c r="A106" s="4" t="s">
        <v>104</v>
      </c>
      <c r="B106" s="7" t="s">
        <v>102</v>
      </c>
      <c r="C106" s="5" t="n">
        <v>-0.103</v>
      </c>
      <c r="D106" s="5" t="n">
        <v>0.119</v>
      </c>
      <c r="E106" s="5" t="n">
        <v>0.385</v>
      </c>
      <c r="F106" s="5" t="n">
        <v>0.387</v>
      </c>
      <c r="G106" s="5" t="n">
        <v>0.921</v>
      </c>
      <c r="H106" s="4" t="s">
        <v>212</v>
      </c>
      <c r="I106" s="7" t="s">
        <v>216</v>
      </c>
      <c r="J106" s="5" t="n">
        <v>0.409</v>
      </c>
      <c r="K106" s="5" t="n">
        <v>0.22</v>
      </c>
      <c r="L106" s="5" t="n">
        <v>0.064</v>
      </c>
      <c r="M106" s="5" t="n">
        <v>0.482</v>
      </c>
      <c r="N106" s="5" t="n">
        <v>0.617</v>
      </c>
    </row>
    <row r="107" customFormat="false" ht="17.25" hidden="false" customHeight="true" outlineLevel="0" collapsed="false">
      <c r="A107" s="4" t="s">
        <v>106</v>
      </c>
      <c r="B107" s="7" t="s">
        <v>107</v>
      </c>
      <c r="C107" s="5" t="n">
        <v>0.15</v>
      </c>
      <c r="D107" s="5" t="n">
        <v>0.115</v>
      </c>
      <c r="E107" s="5" t="n">
        <v>0.19</v>
      </c>
      <c r="F107" s="5" t="n">
        <v>0.184</v>
      </c>
      <c r="G107" s="5" t="n">
        <v>0.776</v>
      </c>
      <c r="H107" s="4" t="s">
        <v>212</v>
      </c>
      <c r="I107" s="7" t="s">
        <v>216</v>
      </c>
      <c r="J107" s="5" t="n">
        <v>0.368</v>
      </c>
      <c r="K107" s="5" t="n">
        <v>0.209</v>
      </c>
      <c r="L107" s="5" t="n">
        <v>0.078</v>
      </c>
      <c r="M107" s="5" t="n">
        <v>0.517</v>
      </c>
      <c r="N107" s="5" t="n">
        <v>0.586</v>
      </c>
    </row>
    <row r="108" customFormat="false" ht="17.25" hidden="false" customHeight="true" outlineLevel="0" collapsed="false"/>
    <row r="109" customFormat="false" ht="17.25" hidden="false" customHeight="true" outlineLevel="0" collapsed="false">
      <c r="A109" s="8" t="s">
        <v>219</v>
      </c>
    </row>
    <row r="110" customFormat="false" ht="44.25" hidden="false" customHeight="true" outlineLevel="0" collapsed="false">
      <c r="A110" s="3" t="s">
        <v>3</v>
      </c>
      <c r="B110" s="3" t="s">
        <v>220</v>
      </c>
      <c r="C110" s="3" t="s">
        <v>221</v>
      </c>
      <c r="D110" s="3" t="s">
        <v>222</v>
      </c>
      <c r="E110" s="3" t="s">
        <v>223</v>
      </c>
      <c r="F110" s="3" t="s">
        <v>224</v>
      </c>
      <c r="G110" s="3" t="s">
        <v>225</v>
      </c>
      <c r="H110" s="3" t="s">
        <v>17</v>
      </c>
    </row>
    <row r="111" customFormat="false" ht="30.75" hidden="false" customHeight="true" outlineLevel="0" collapsed="false">
      <c r="A111" s="4" t="s">
        <v>18</v>
      </c>
      <c r="B111" s="7" t="n">
        <v>58</v>
      </c>
      <c r="C111" s="5" t="n">
        <v>0.414</v>
      </c>
      <c r="D111" s="7" t="n">
        <v>190</v>
      </c>
      <c r="E111" s="5" t="n">
        <v>0.347</v>
      </c>
      <c r="F111" s="10" t="n">
        <v>0.067</v>
      </c>
      <c r="G111" s="5" t="n">
        <v>0.144</v>
      </c>
      <c r="H111" s="4" t="s">
        <v>226</v>
      </c>
    </row>
    <row r="112" customFormat="false" ht="30.75" hidden="false" customHeight="true" outlineLevel="0" collapsed="false">
      <c r="A112" s="4" t="s">
        <v>22</v>
      </c>
      <c r="B112" s="7" t="n">
        <v>55</v>
      </c>
      <c r="C112" s="5" t="n">
        <v>0.4</v>
      </c>
      <c r="D112" s="7" t="n">
        <v>176</v>
      </c>
      <c r="E112" s="5" t="n">
        <v>0.466</v>
      </c>
      <c r="F112" s="10" t="n">
        <v>-0.066</v>
      </c>
      <c r="G112" s="5" t="n">
        <v>0.149</v>
      </c>
      <c r="H112" s="4" t="s">
        <v>226</v>
      </c>
    </row>
    <row r="113" customFormat="false" ht="30.75" hidden="false" customHeight="true" outlineLevel="0" collapsed="false">
      <c r="A113" s="4" t="s">
        <v>24</v>
      </c>
      <c r="B113" s="7" t="n">
        <v>60</v>
      </c>
      <c r="C113" s="5" t="n">
        <v>0.55</v>
      </c>
      <c r="D113" s="7" t="n">
        <v>197</v>
      </c>
      <c r="E113" s="5" t="n">
        <v>0.619</v>
      </c>
      <c r="F113" s="10" t="n">
        <v>-0.069</v>
      </c>
      <c r="G113" s="5" t="n">
        <v>0.143</v>
      </c>
      <c r="H113" s="4" t="s">
        <v>226</v>
      </c>
    </row>
    <row r="114" customFormat="false" ht="30.75" hidden="false" customHeight="true" outlineLevel="0" collapsed="false">
      <c r="A114" s="4" t="s">
        <v>38</v>
      </c>
      <c r="B114" s="7" t="n">
        <v>57</v>
      </c>
      <c r="C114" s="5" t="n">
        <v>3.124</v>
      </c>
      <c r="D114" s="7" t="n">
        <v>182</v>
      </c>
      <c r="E114" s="5" t="n">
        <v>3.24</v>
      </c>
      <c r="F114" s="10" t="n">
        <v>-0.116</v>
      </c>
      <c r="G114" s="5" t="n">
        <v>0.231</v>
      </c>
      <c r="H114" s="4" t="s">
        <v>226</v>
      </c>
    </row>
    <row r="115" customFormat="false" ht="44.25" hidden="false" customHeight="true" outlineLevel="0" collapsed="false">
      <c r="A115" s="4" t="s">
        <v>61</v>
      </c>
      <c r="B115" s="7" t="n">
        <v>60</v>
      </c>
      <c r="C115" s="5" t="s">
        <v>178</v>
      </c>
      <c r="D115" s="7" t="n">
        <v>197</v>
      </c>
      <c r="E115" s="5" t="s">
        <v>27</v>
      </c>
      <c r="F115" s="10" t="s">
        <v>157</v>
      </c>
      <c r="G115" s="5"/>
      <c r="H115" s="4"/>
    </row>
    <row r="116" customFormat="false" ht="44.25" hidden="false" customHeight="true" outlineLevel="0" collapsed="false">
      <c r="A116" s="4" t="s">
        <v>67</v>
      </c>
      <c r="B116" s="7" t="n">
        <v>58</v>
      </c>
      <c r="C116" s="5" t="s">
        <v>27</v>
      </c>
      <c r="D116" s="7" t="n">
        <v>196</v>
      </c>
      <c r="E116" s="5" t="s">
        <v>27</v>
      </c>
      <c r="F116" s="10" t="s">
        <v>227</v>
      </c>
      <c r="G116" s="5"/>
      <c r="H116" s="4"/>
    </row>
    <row r="117" customFormat="false" ht="30.75" hidden="false" customHeight="true" outlineLevel="0" collapsed="false">
      <c r="A117" s="4" t="s">
        <v>33</v>
      </c>
      <c r="B117" s="7" t="n">
        <v>58</v>
      </c>
      <c r="C117" s="5" t="n">
        <v>0.655</v>
      </c>
      <c r="D117" s="7" t="n">
        <v>196</v>
      </c>
      <c r="E117" s="5" t="n">
        <v>0.52</v>
      </c>
      <c r="F117" s="10" t="n">
        <v>0.135</v>
      </c>
      <c r="G117" s="5" t="n">
        <v>0.141</v>
      </c>
      <c r="H117" s="4" t="s">
        <v>228</v>
      </c>
    </row>
    <row r="118" customFormat="false" ht="30.75" hidden="false" customHeight="true" outlineLevel="0" collapsed="false">
      <c r="A118" s="4" t="s">
        <v>71</v>
      </c>
      <c r="B118" s="7" t="n">
        <v>58</v>
      </c>
      <c r="C118" s="5" t="n">
        <v>0.69</v>
      </c>
      <c r="D118" s="7" t="n">
        <v>196</v>
      </c>
      <c r="E118" s="5" t="n">
        <v>0.52</v>
      </c>
      <c r="F118" s="10" t="n">
        <v>0.17</v>
      </c>
      <c r="G118" s="5" t="n">
        <v>0.138</v>
      </c>
      <c r="H118" s="4" t="s">
        <v>229</v>
      </c>
    </row>
    <row r="119" customFormat="false" ht="30.75" hidden="false" customHeight="true" outlineLevel="0" collapsed="false">
      <c r="A119" s="4" t="s">
        <v>73</v>
      </c>
      <c r="B119" s="7" t="n">
        <v>59</v>
      </c>
      <c r="C119" s="5" t="n">
        <v>0.237</v>
      </c>
      <c r="D119" s="7" t="n">
        <v>197</v>
      </c>
      <c r="E119" s="5" t="n">
        <v>0.173</v>
      </c>
      <c r="F119" s="10" t="n">
        <v>0.064</v>
      </c>
      <c r="G119" s="5" t="n">
        <v>0.121</v>
      </c>
      <c r="H119" s="4" t="s">
        <v>226</v>
      </c>
    </row>
    <row r="120" customFormat="false" ht="30.75" hidden="false" customHeight="true" outlineLevel="0" collapsed="false">
      <c r="A120" s="4" t="s">
        <v>75</v>
      </c>
      <c r="B120" s="7" t="n">
        <v>58</v>
      </c>
      <c r="C120" s="5" t="n">
        <v>0.293</v>
      </c>
      <c r="D120" s="7" t="n">
        <v>196</v>
      </c>
      <c r="E120" s="5" t="n">
        <v>0.204</v>
      </c>
      <c r="F120" s="10" t="n">
        <v>0.089</v>
      </c>
      <c r="G120" s="5" t="n">
        <v>0.13</v>
      </c>
      <c r="H120" s="4" t="s">
        <v>226</v>
      </c>
    </row>
    <row r="121" customFormat="false" ht="30.75" hidden="false" customHeight="true" outlineLevel="0" collapsed="false">
      <c r="A121" s="4" t="s">
        <v>77</v>
      </c>
      <c r="B121" s="7" t="n">
        <v>59</v>
      </c>
      <c r="C121" s="5" t="n">
        <v>0.78</v>
      </c>
      <c r="D121" s="7" t="n">
        <v>197</v>
      </c>
      <c r="E121" s="5" t="n">
        <v>0.645</v>
      </c>
      <c r="F121" s="10" t="n">
        <v>0.135</v>
      </c>
      <c r="G121" s="5" t="n">
        <v>0.125</v>
      </c>
      <c r="H121" s="4" t="s">
        <v>228</v>
      </c>
    </row>
    <row r="122" customFormat="false" ht="44.25" hidden="false" customHeight="true" outlineLevel="0" collapsed="false">
      <c r="A122" s="4" t="s">
        <v>79</v>
      </c>
      <c r="B122" s="7" t="n">
        <v>59</v>
      </c>
      <c r="C122" s="5" t="s">
        <v>178</v>
      </c>
      <c r="D122" s="7" t="n">
        <v>197</v>
      </c>
      <c r="E122" s="5" t="s">
        <v>27</v>
      </c>
      <c r="F122" s="10" t="s">
        <v>157</v>
      </c>
      <c r="G122" s="5"/>
      <c r="H122" s="4"/>
    </row>
    <row r="123" customFormat="false" ht="30.75" hidden="false" customHeight="true" outlineLevel="0" collapsed="false">
      <c r="A123" s="4" t="s">
        <v>81</v>
      </c>
      <c r="B123" s="7" t="n">
        <v>59</v>
      </c>
      <c r="C123" s="5" t="n">
        <v>0.254</v>
      </c>
      <c r="D123" s="7" t="n">
        <v>197</v>
      </c>
      <c r="E123" s="5" t="n">
        <v>0.325</v>
      </c>
      <c r="F123" s="10" t="n">
        <v>-0.071</v>
      </c>
      <c r="G123" s="5" t="n">
        <v>0.129</v>
      </c>
      <c r="H123" s="4" t="s">
        <v>226</v>
      </c>
    </row>
    <row r="124" customFormat="false" ht="30.75" hidden="false" customHeight="true" outlineLevel="0" collapsed="false">
      <c r="A124" s="4" t="s">
        <v>35</v>
      </c>
      <c r="B124" s="7" t="n">
        <v>59</v>
      </c>
      <c r="C124" s="5" t="n">
        <v>0.763</v>
      </c>
      <c r="D124" s="7" t="n">
        <v>197</v>
      </c>
      <c r="E124" s="5" t="n">
        <v>0.594</v>
      </c>
      <c r="F124" s="10" t="n">
        <v>0.169</v>
      </c>
      <c r="G124" s="5" t="n">
        <v>0.128</v>
      </c>
      <c r="H124" s="4" t="s">
        <v>229</v>
      </c>
    </row>
    <row r="125" customFormat="false" ht="30.75" hidden="false" customHeight="true" outlineLevel="0" collapsed="false">
      <c r="A125" s="4" t="s">
        <v>84</v>
      </c>
      <c r="B125" s="7" t="n">
        <v>58</v>
      </c>
      <c r="C125" s="5" t="n">
        <v>0.621</v>
      </c>
      <c r="D125" s="7" t="n">
        <v>196</v>
      </c>
      <c r="E125" s="5" t="n">
        <v>0.52</v>
      </c>
      <c r="F125" s="10" t="n">
        <v>0.101</v>
      </c>
      <c r="G125" s="5" t="n">
        <v>0.143</v>
      </c>
      <c r="H125" s="4" t="s">
        <v>226</v>
      </c>
    </row>
    <row r="126" customFormat="false" ht="30.75" hidden="false" customHeight="true" outlineLevel="0" collapsed="false">
      <c r="A126" s="4" t="s">
        <v>86</v>
      </c>
      <c r="B126" s="7" t="n">
        <v>58</v>
      </c>
      <c r="C126" s="5" t="n">
        <v>0.328</v>
      </c>
      <c r="D126" s="7" t="n">
        <v>196</v>
      </c>
      <c r="E126" s="5" t="n">
        <v>0.281</v>
      </c>
      <c r="F126" s="10" t="n">
        <v>0.047</v>
      </c>
      <c r="G126" s="5" t="n">
        <v>0.136</v>
      </c>
      <c r="H126" s="4" t="s">
        <v>226</v>
      </c>
    </row>
    <row r="127" customFormat="false" ht="30.75" hidden="false" customHeight="true" outlineLevel="0" collapsed="false">
      <c r="A127" s="4" t="s">
        <v>88</v>
      </c>
      <c r="B127" s="7" t="n">
        <v>58</v>
      </c>
      <c r="C127" s="5" t="n">
        <v>0.207</v>
      </c>
      <c r="D127" s="7" t="n">
        <v>197</v>
      </c>
      <c r="E127" s="5" t="n">
        <v>0.213</v>
      </c>
      <c r="F127" s="10" t="n">
        <v>-0.006</v>
      </c>
      <c r="G127" s="5" t="n">
        <v>0.119</v>
      </c>
      <c r="H127" s="4" t="s">
        <v>226</v>
      </c>
    </row>
    <row r="128" customFormat="false" ht="30.75" hidden="false" customHeight="true" outlineLevel="0" collapsed="false">
      <c r="A128" s="4" t="s">
        <v>98</v>
      </c>
      <c r="B128" s="7" t="n">
        <v>58</v>
      </c>
      <c r="C128" s="5" t="n">
        <v>1.345</v>
      </c>
      <c r="D128" s="7" t="n">
        <v>196</v>
      </c>
      <c r="E128" s="5" t="n">
        <v>1.041</v>
      </c>
      <c r="F128" s="10" t="n">
        <v>0.304</v>
      </c>
      <c r="G128" s="5" t="n">
        <v>0.272</v>
      </c>
      <c r="H128" s="4" t="s">
        <v>229</v>
      </c>
    </row>
    <row r="129" customFormat="false" ht="44.25" hidden="false" customHeight="true" outlineLevel="0" collapsed="false">
      <c r="A129" s="4" t="s">
        <v>101</v>
      </c>
      <c r="B129" s="7" t="n">
        <v>59</v>
      </c>
      <c r="C129" s="5" t="s">
        <v>27</v>
      </c>
      <c r="D129" s="7" t="n">
        <v>197</v>
      </c>
      <c r="E129" s="5" t="s">
        <v>27</v>
      </c>
      <c r="F129" s="10" t="s">
        <v>227</v>
      </c>
      <c r="G129" s="5"/>
      <c r="H129" s="4"/>
    </row>
    <row r="130" customFormat="false" ht="30.75" hidden="false" customHeight="true" outlineLevel="0" collapsed="false">
      <c r="A130" s="4" t="s">
        <v>104</v>
      </c>
      <c r="B130" s="7" t="n">
        <v>58</v>
      </c>
      <c r="C130" s="5" t="n">
        <v>0.793</v>
      </c>
      <c r="D130" s="7" t="n">
        <v>196</v>
      </c>
      <c r="E130" s="5" t="n">
        <v>0.704</v>
      </c>
      <c r="F130" s="10" t="n">
        <v>0.089</v>
      </c>
      <c r="G130" s="5" t="n">
        <v>0.292</v>
      </c>
      <c r="H130" s="4" t="s">
        <v>226</v>
      </c>
    </row>
    <row r="131" customFormat="false" ht="30.75" hidden="false" customHeight="true" outlineLevel="0" collapsed="false">
      <c r="A131" s="4" t="s">
        <v>106</v>
      </c>
      <c r="B131" s="7" t="n">
        <v>58</v>
      </c>
      <c r="C131" s="5" t="n">
        <v>2.034</v>
      </c>
      <c r="D131" s="7" t="n">
        <v>196</v>
      </c>
      <c r="E131" s="5" t="n">
        <v>1.658</v>
      </c>
      <c r="F131" s="10" t="n">
        <v>0.376</v>
      </c>
      <c r="G131" s="5" t="n">
        <v>0.234</v>
      </c>
      <c r="H131" s="4" t="s">
        <v>229</v>
      </c>
    </row>
    <row r="132" customFormat="false" ht="17.25" hidden="false" customHeight="true" outlineLevel="0" collapsed="false"/>
    <row r="133" customFormat="false" ht="17.25" hidden="false" customHeight="true" outlineLevel="0" collapsed="false">
      <c r="A133" s="8" t="s">
        <v>230</v>
      </c>
    </row>
    <row r="134" customFormat="false" ht="44.25" hidden="false" customHeight="true" outlineLevel="0" collapsed="false">
      <c r="A134" s="3" t="s">
        <v>3</v>
      </c>
      <c r="B134" s="3" t="s">
        <v>220</v>
      </c>
      <c r="C134" s="3" t="s">
        <v>221</v>
      </c>
      <c r="D134" s="3" t="s">
        <v>222</v>
      </c>
      <c r="E134" s="3" t="s">
        <v>223</v>
      </c>
      <c r="F134" s="3" t="s">
        <v>224</v>
      </c>
      <c r="G134" s="3" t="s">
        <v>225</v>
      </c>
      <c r="H134" s="3" t="s">
        <v>17</v>
      </c>
    </row>
    <row r="135" customFormat="false" ht="30.75" hidden="false" customHeight="true" outlineLevel="0" collapsed="false">
      <c r="A135" s="4" t="s">
        <v>18</v>
      </c>
      <c r="B135" s="7" t="n">
        <v>50</v>
      </c>
      <c r="C135" s="5" t="n">
        <v>0.72</v>
      </c>
      <c r="D135" s="7" t="n">
        <v>82</v>
      </c>
      <c r="E135" s="5" t="n">
        <v>0.646</v>
      </c>
      <c r="F135" s="10" t="n">
        <v>0.074</v>
      </c>
      <c r="G135" s="5" t="n">
        <v>0.162</v>
      </c>
      <c r="H135" s="4" t="s">
        <v>226</v>
      </c>
    </row>
    <row r="136" customFormat="false" ht="30.75" hidden="false" customHeight="true" outlineLevel="0" collapsed="false">
      <c r="A136" s="4" t="s">
        <v>22</v>
      </c>
      <c r="B136" s="7" t="n">
        <v>45</v>
      </c>
      <c r="C136" s="5" t="n">
        <v>0.511</v>
      </c>
      <c r="D136" s="7" t="n">
        <v>74</v>
      </c>
      <c r="E136" s="5" t="n">
        <v>0.5</v>
      </c>
      <c r="F136" s="10" t="n">
        <v>0.011</v>
      </c>
      <c r="G136" s="5" t="n">
        <v>0.185</v>
      </c>
      <c r="H136" s="4" t="s">
        <v>226</v>
      </c>
    </row>
    <row r="137" customFormat="false" ht="44.25" hidden="false" customHeight="true" outlineLevel="0" collapsed="false">
      <c r="A137" s="4" t="s">
        <v>24</v>
      </c>
      <c r="B137" s="7" t="n">
        <v>51</v>
      </c>
      <c r="C137" s="5" t="s">
        <v>178</v>
      </c>
      <c r="D137" s="7" t="n">
        <v>82</v>
      </c>
      <c r="E137" s="5" t="s">
        <v>27</v>
      </c>
      <c r="F137" s="10" t="s">
        <v>157</v>
      </c>
      <c r="G137" s="5"/>
      <c r="H137" s="4"/>
    </row>
    <row r="138" customFormat="false" ht="30.75" hidden="false" customHeight="true" outlineLevel="0" collapsed="false">
      <c r="A138" s="4" t="s">
        <v>38</v>
      </c>
      <c r="B138" s="7" t="n">
        <v>46</v>
      </c>
      <c r="C138" s="5" t="n">
        <v>3.957</v>
      </c>
      <c r="D138" s="7" t="n">
        <v>75</v>
      </c>
      <c r="E138" s="5" t="n">
        <v>3.975</v>
      </c>
      <c r="F138" s="10" t="n">
        <v>-0.018</v>
      </c>
      <c r="G138" s="5" t="n">
        <v>0.229</v>
      </c>
      <c r="H138" s="4" t="s">
        <v>226</v>
      </c>
    </row>
    <row r="139" customFormat="false" ht="30.75" hidden="false" customHeight="true" outlineLevel="0" collapsed="false">
      <c r="A139" s="4" t="s">
        <v>61</v>
      </c>
      <c r="B139" s="7" t="n">
        <v>51</v>
      </c>
      <c r="C139" s="5" t="n">
        <v>0.804</v>
      </c>
      <c r="D139" s="7" t="n">
        <v>82</v>
      </c>
      <c r="E139" s="5" t="n">
        <v>0.768</v>
      </c>
      <c r="F139" s="10" t="n">
        <v>0.036</v>
      </c>
      <c r="G139" s="5" t="n">
        <v>0.142</v>
      </c>
      <c r="H139" s="4" t="s">
        <v>226</v>
      </c>
    </row>
    <row r="140" customFormat="false" ht="44.25" hidden="false" customHeight="true" outlineLevel="0" collapsed="false">
      <c r="A140" s="4" t="s">
        <v>67</v>
      </c>
      <c r="B140" s="7" t="n">
        <v>51</v>
      </c>
      <c r="C140" s="5" t="s">
        <v>27</v>
      </c>
      <c r="D140" s="7" t="n">
        <v>77</v>
      </c>
      <c r="E140" s="5" t="s">
        <v>27</v>
      </c>
      <c r="F140" s="10" t="s">
        <v>227</v>
      </c>
      <c r="G140" s="5"/>
      <c r="H140" s="4"/>
    </row>
    <row r="141" customFormat="false" ht="30.75" hidden="false" customHeight="true" outlineLevel="0" collapsed="false">
      <c r="A141" s="4" t="s">
        <v>33</v>
      </c>
      <c r="B141" s="7" t="n">
        <v>51</v>
      </c>
      <c r="C141" s="5" t="n">
        <v>0.784</v>
      </c>
      <c r="D141" s="7" t="n">
        <v>80</v>
      </c>
      <c r="E141" s="5" t="n">
        <v>0.7</v>
      </c>
      <c r="F141" s="10" t="n">
        <v>0.084</v>
      </c>
      <c r="G141" s="5" t="n">
        <v>0.151</v>
      </c>
      <c r="H141" s="4" t="s">
        <v>226</v>
      </c>
    </row>
    <row r="142" customFormat="false" ht="30.75" hidden="false" customHeight="true" outlineLevel="0" collapsed="false">
      <c r="A142" s="4" t="s">
        <v>71</v>
      </c>
      <c r="B142" s="7" t="n">
        <v>51</v>
      </c>
      <c r="C142" s="5" t="n">
        <v>0.765</v>
      </c>
      <c r="D142" s="7" t="n">
        <v>80</v>
      </c>
      <c r="E142" s="5" t="n">
        <v>0.787</v>
      </c>
      <c r="F142" s="10" t="n">
        <v>-0.022</v>
      </c>
      <c r="G142" s="5" t="n">
        <v>0.147</v>
      </c>
      <c r="H142" s="4" t="s">
        <v>226</v>
      </c>
    </row>
    <row r="143" customFormat="false" ht="44.25" hidden="false" customHeight="true" outlineLevel="0" collapsed="false">
      <c r="A143" s="4" t="s">
        <v>73</v>
      </c>
      <c r="B143" s="7" t="n">
        <v>51</v>
      </c>
      <c r="C143" s="5" t="s">
        <v>156</v>
      </c>
      <c r="D143" s="7" t="n">
        <v>77</v>
      </c>
      <c r="E143" s="5" t="s">
        <v>27</v>
      </c>
      <c r="F143" s="10" t="s">
        <v>157</v>
      </c>
      <c r="G143" s="5"/>
      <c r="H143" s="4"/>
    </row>
    <row r="144" customFormat="false" ht="30.75" hidden="false" customHeight="true" outlineLevel="0" collapsed="false">
      <c r="A144" s="4" t="s">
        <v>75</v>
      </c>
      <c r="B144" s="7" t="n">
        <v>51</v>
      </c>
      <c r="C144" s="5" t="n">
        <v>0.373</v>
      </c>
      <c r="D144" s="7" t="n">
        <v>78</v>
      </c>
      <c r="E144" s="5" t="n">
        <v>0.231</v>
      </c>
      <c r="F144" s="10" t="n">
        <v>0.142</v>
      </c>
      <c r="G144" s="5" t="n">
        <v>0.162</v>
      </c>
      <c r="H144" s="4" t="s">
        <v>226</v>
      </c>
    </row>
    <row r="145" customFormat="false" ht="30.75" hidden="false" customHeight="true" outlineLevel="0" collapsed="false">
      <c r="A145" s="4" t="s">
        <v>77</v>
      </c>
      <c r="B145" s="7" t="n">
        <v>51</v>
      </c>
      <c r="C145" s="5" t="n">
        <v>0.392</v>
      </c>
      <c r="D145" s="7" t="n">
        <v>78</v>
      </c>
      <c r="E145" s="5" t="n">
        <v>0.269</v>
      </c>
      <c r="F145" s="10" t="n">
        <v>0.123</v>
      </c>
      <c r="G145" s="5" t="n">
        <v>0.166</v>
      </c>
      <c r="H145" s="4" t="s">
        <v>226</v>
      </c>
    </row>
    <row r="146" customFormat="false" ht="30.75" hidden="false" customHeight="true" outlineLevel="0" collapsed="false">
      <c r="A146" s="4" t="s">
        <v>79</v>
      </c>
      <c r="B146" s="7" t="n">
        <v>51</v>
      </c>
      <c r="C146" s="5" t="n">
        <v>0.627</v>
      </c>
      <c r="D146" s="7" t="n">
        <v>77</v>
      </c>
      <c r="E146" s="5" t="n">
        <v>0.532</v>
      </c>
      <c r="F146" s="10" t="n">
        <v>0.095</v>
      </c>
      <c r="G146" s="5" t="n">
        <v>0.173</v>
      </c>
      <c r="H146" s="4" t="s">
        <v>226</v>
      </c>
    </row>
    <row r="147" customFormat="false" ht="30.75" hidden="false" customHeight="true" outlineLevel="0" collapsed="false">
      <c r="A147" s="4" t="s">
        <v>81</v>
      </c>
      <c r="B147" s="7" t="n">
        <v>51</v>
      </c>
      <c r="C147" s="5" t="n">
        <v>0.412</v>
      </c>
      <c r="D147" s="7" t="n">
        <v>79</v>
      </c>
      <c r="E147" s="5" t="n">
        <v>0.253</v>
      </c>
      <c r="F147" s="10" t="n">
        <v>0.159</v>
      </c>
      <c r="G147" s="5" t="n">
        <v>0.166</v>
      </c>
      <c r="H147" s="4" t="s">
        <v>228</v>
      </c>
    </row>
    <row r="148" customFormat="false" ht="30.75" hidden="false" customHeight="true" outlineLevel="0" collapsed="false">
      <c r="A148" s="4" t="s">
        <v>35</v>
      </c>
      <c r="B148" s="7" t="n">
        <v>51</v>
      </c>
      <c r="C148" s="5" t="n">
        <v>0.647</v>
      </c>
      <c r="D148" s="7" t="n">
        <v>78</v>
      </c>
      <c r="E148" s="5" t="n">
        <v>0.474</v>
      </c>
      <c r="F148" s="10" t="n">
        <v>0.173</v>
      </c>
      <c r="G148" s="5" t="n">
        <v>0.172</v>
      </c>
      <c r="H148" s="4" t="s">
        <v>228</v>
      </c>
    </row>
    <row r="149" customFormat="false" ht="30.75" hidden="false" customHeight="true" outlineLevel="0" collapsed="false">
      <c r="A149" s="4" t="s">
        <v>84</v>
      </c>
      <c r="B149" s="7" t="n">
        <v>51</v>
      </c>
      <c r="C149" s="5" t="n">
        <v>0.353</v>
      </c>
      <c r="D149" s="7" t="n">
        <v>78</v>
      </c>
      <c r="E149" s="5" t="n">
        <v>0.423</v>
      </c>
      <c r="F149" s="10" t="n">
        <v>-0.07</v>
      </c>
      <c r="G149" s="5" t="n">
        <v>0.171</v>
      </c>
      <c r="H149" s="4" t="s">
        <v>226</v>
      </c>
    </row>
    <row r="150" customFormat="false" ht="44.25" hidden="false" customHeight="true" outlineLevel="0" collapsed="false">
      <c r="A150" s="4" t="s">
        <v>86</v>
      </c>
      <c r="B150" s="7" t="n">
        <v>51</v>
      </c>
      <c r="C150" s="5" t="s">
        <v>156</v>
      </c>
      <c r="D150" s="7" t="n">
        <v>77</v>
      </c>
      <c r="E150" s="5" t="s">
        <v>27</v>
      </c>
      <c r="F150" s="10" t="s">
        <v>157</v>
      </c>
      <c r="G150" s="5"/>
      <c r="H150" s="4"/>
    </row>
    <row r="151" customFormat="false" ht="44.25" hidden="false" customHeight="true" outlineLevel="0" collapsed="false">
      <c r="A151" s="4" t="s">
        <v>88</v>
      </c>
      <c r="B151" s="7" t="n">
        <v>51</v>
      </c>
      <c r="C151" s="5" t="s">
        <v>156</v>
      </c>
      <c r="D151" s="7" t="n">
        <v>79</v>
      </c>
      <c r="E151" s="5" t="s">
        <v>27</v>
      </c>
      <c r="F151" s="10" t="s">
        <v>157</v>
      </c>
      <c r="G151" s="5"/>
      <c r="H151" s="4"/>
    </row>
    <row r="152" customFormat="false" ht="30.75" hidden="false" customHeight="true" outlineLevel="0" collapsed="false">
      <c r="A152" s="4" t="s">
        <v>98</v>
      </c>
      <c r="B152" s="7" t="n">
        <v>51</v>
      </c>
      <c r="C152" s="5" t="n">
        <v>1.549</v>
      </c>
      <c r="D152" s="7" t="n">
        <v>80</v>
      </c>
      <c r="E152" s="5" t="n">
        <v>1.488</v>
      </c>
      <c r="F152" s="10" t="n">
        <v>0.061</v>
      </c>
      <c r="G152" s="5" t="n">
        <v>0.281</v>
      </c>
      <c r="H152" s="4" t="s">
        <v>226</v>
      </c>
    </row>
    <row r="153" customFormat="false" ht="30.75" hidden="false" customHeight="true" outlineLevel="0" collapsed="false">
      <c r="A153" s="4" t="s">
        <v>101</v>
      </c>
      <c r="B153" s="7" t="n">
        <v>51</v>
      </c>
      <c r="C153" s="5" t="n">
        <v>1.667</v>
      </c>
      <c r="D153" s="7" t="n">
        <v>77</v>
      </c>
      <c r="E153" s="5" t="n">
        <v>1.26</v>
      </c>
      <c r="F153" s="10" t="n">
        <v>0.407</v>
      </c>
      <c r="G153" s="5" t="n">
        <v>0.359</v>
      </c>
      <c r="H153" s="4" t="s">
        <v>229</v>
      </c>
    </row>
    <row r="154" customFormat="false" ht="44.25" hidden="false" customHeight="true" outlineLevel="0" collapsed="false">
      <c r="A154" s="4" t="s">
        <v>104</v>
      </c>
      <c r="B154" s="7" t="n">
        <v>51</v>
      </c>
      <c r="C154" s="5" t="s">
        <v>27</v>
      </c>
      <c r="D154" s="7" t="n">
        <v>77</v>
      </c>
      <c r="E154" s="5" t="s">
        <v>27</v>
      </c>
      <c r="F154" s="10" t="s">
        <v>227</v>
      </c>
      <c r="G154" s="5"/>
      <c r="H154" s="4"/>
    </row>
    <row r="155" customFormat="false" ht="30.75" hidden="false" customHeight="true" outlineLevel="0" collapsed="false">
      <c r="A155" s="4" t="s">
        <v>106</v>
      </c>
      <c r="B155" s="7" t="n">
        <v>51</v>
      </c>
      <c r="C155" s="5" t="n">
        <v>2.059</v>
      </c>
      <c r="D155" s="7" t="n">
        <v>77</v>
      </c>
      <c r="E155" s="5" t="n">
        <v>1.818</v>
      </c>
      <c r="F155" s="10" t="n">
        <v>0.241</v>
      </c>
      <c r="G155" s="5" t="n">
        <v>0.351</v>
      </c>
      <c r="H155" s="4" t="s">
        <v>226</v>
      </c>
    </row>
    <row r="156" customFormat="false" ht="17.25" hidden="false" customHeight="true" outlineLevel="0" collapsed="false"/>
    <row r="157" customFormat="false" ht="17.25" hidden="false" customHeight="true" outlineLevel="0" collapsed="false">
      <c r="A157" s="8" t="s">
        <v>231</v>
      </c>
    </row>
    <row r="158" customFormat="false" ht="44.25" hidden="false" customHeight="true" outlineLevel="0" collapsed="false">
      <c r="A158" s="3" t="s">
        <v>3</v>
      </c>
      <c r="B158" s="3" t="s">
        <v>220</v>
      </c>
      <c r="C158" s="3" t="s">
        <v>221</v>
      </c>
      <c r="D158" s="3" t="s">
        <v>222</v>
      </c>
      <c r="E158" s="3" t="s">
        <v>223</v>
      </c>
      <c r="F158" s="3" t="s">
        <v>224</v>
      </c>
      <c r="G158" s="3" t="s">
        <v>225</v>
      </c>
      <c r="H158" s="3" t="s">
        <v>17</v>
      </c>
    </row>
    <row r="159" customFormat="false" ht="30.75" hidden="false" customHeight="true" outlineLevel="0" collapsed="false">
      <c r="A159" s="4" t="s">
        <v>18</v>
      </c>
      <c r="B159" s="7" t="n">
        <v>49</v>
      </c>
      <c r="C159" s="5" t="n">
        <v>0.531</v>
      </c>
      <c r="D159" s="7" t="n">
        <v>199</v>
      </c>
      <c r="E159" s="5" t="n">
        <v>0.322</v>
      </c>
      <c r="F159" s="10" t="n">
        <v>0.209</v>
      </c>
      <c r="G159" s="5" t="n">
        <v>0.154</v>
      </c>
      <c r="H159" s="4" t="s">
        <v>229</v>
      </c>
    </row>
    <row r="160" customFormat="false" ht="30.75" hidden="false" customHeight="true" outlineLevel="0" collapsed="false">
      <c r="A160" s="4" t="s">
        <v>22</v>
      </c>
      <c r="B160" s="7" t="n">
        <v>47</v>
      </c>
      <c r="C160" s="5" t="n">
        <v>0.489</v>
      </c>
      <c r="D160" s="7" t="n">
        <v>184</v>
      </c>
      <c r="E160" s="5" t="n">
        <v>0.44</v>
      </c>
      <c r="F160" s="10" t="n">
        <v>0.049</v>
      </c>
      <c r="G160" s="5" t="n">
        <v>0.16</v>
      </c>
      <c r="H160" s="4" t="s">
        <v>226</v>
      </c>
    </row>
    <row r="161" customFormat="false" ht="30.75" hidden="false" customHeight="true" outlineLevel="0" collapsed="false">
      <c r="A161" s="4" t="s">
        <v>24</v>
      </c>
      <c r="B161" s="7" t="n">
        <v>52</v>
      </c>
      <c r="C161" s="5" t="n">
        <v>0.635</v>
      </c>
      <c r="D161" s="7" t="n">
        <v>205</v>
      </c>
      <c r="E161" s="5" t="n">
        <v>0.595</v>
      </c>
      <c r="F161" s="10" t="n">
        <v>0.04</v>
      </c>
      <c r="G161" s="5" t="n">
        <v>0.147</v>
      </c>
      <c r="H161" s="4" t="s">
        <v>226</v>
      </c>
    </row>
    <row r="162" customFormat="false" ht="30.75" hidden="false" customHeight="true" outlineLevel="0" collapsed="false">
      <c r="A162" s="4" t="s">
        <v>38</v>
      </c>
      <c r="B162" s="7" t="n">
        <v>50</v>
      </c>
      <c r="C162" s="5" t="n">
        <v>3.388</v>
      </c>
      <c r="D162" s="7" t="n">
        <v>189</v>
      </c>
      <c r="E162" s="5" t="n">
        <v>3.166</v>
      </c>
      <c r="F162" s="10" t="n">
        <v>0.222</v>
      </c>
      <c r="G162" s="5" t="n">
        <v>0.235</v>
      </c>
      <c r="H162" s="4" t="s">
        <v>228</v>
      </c>
    </row>
    <row r="163" customFormat="false" ht="44.25" hidden="false" customHeight="true" outlineLevel="0" collapsed="false">
      <c r="A163" s="4" t="s">
        <v>61</v>
      </c>
      <c r="B163" s="7" t="n">
        <v>52</v>
      </c>
      <c r="C163" s="5" t="s">
        <v>178</v>
      </c>
      <c r="D163" s="7" t="n">
        <v>205</v>
      </c>
      <c r="E163" s="5" t="s">
        <v>27</v>
      </c>
      <c r="F163" s="10" t="s">
        <v>157</v>
      </c>
      <c r="G163" s="5"/>
      <c r="H163" s="4"/>
    </row>
    <row r="164" customFormat="false" ht="44.25" hidden="false" customHeight="true" outlineLevel="0" collapsed="false">
      <c r="A164" s="4" t="s">
        <v>67</v>
      </c>
      <c r="B164" s="7" t="n">
        <v>52</v>
      </c>
      <c r="C164" s="5" t="s">
        <v>27</v>
      </c>
      <c r="D164" s="7" t="n">
        <v>202</v>
      </c>
      <c r="E164" s="5" t="s">
        <v>27</v>
      </c>
      <c r="F164" s="10" t="s">
        <v>227</v>
      </c>
      <c r="G164" s="5"/>
      <c r="H164" s="4"/>
    </row>
    <row r="165" customFormat="false" ht="30.75" hidden="false" customHeight="true" outlineLevel="0" collapsed="false">
      <c r="A165" s="4" t="s">
        <v>33</v>
      </c>
      <c r="B165" s="7" t="n">
        <v>52</v>
      </c>
      <c r="C165" s="5" t="n">
        <v>0.596</v>
      </c>
      <c r="D165" s="7" t="n">
        <v>202</v>
      </c>
      <c r="E165" s="5" t="n">
        <v>0.54</v>
      </c>
      <c r="F165" s="10" t="n">
        <v>0.056</v>
      </c>
      <c r="G165" s="5" t="n">
        <v>0.15</v>
      </c>
      <c r="H165" s="4" t="s">
        <v>226</v>
      </c>
    </row>
    <row r="166" customFormat="false" ht="30.75" hidden="false" customHeight="true" outlineLevel="0" collapsed="false">
      <c r="A166" s="4" t="s">
        <v>71</v>
      </c>
      <c r="B166" s="7" t="n">
        <v>52</v>
      </c>
      <c r="C166" s="5" t="n">
        <v>0.635</v>
      </c>
      <c r="D166" s="7" t="n">
        <v>202</v>
      </c>
      <c r="E166" s="5" t="n">
        <v>0.54</v>
      </c>
      <c r="F166" s="10" t="n">
        <v>0.095</v>
      </c>
      <c r="G166" s="5" t="n">
        <v>0.148</v>
      </c>
      <c r="H166" s="4" t="s">
        <v>226</v>
      </c>
    </row>
    <row r="167" customFormat="false" ht="44.25" hidden="false" customHeight="true" outlineLevel="0" collapsed="false">
      <c r="A167" s="4" t="s">
        <v>73</v>
      </c>
      <c r="B167" s="7" t="n">
        <v>52</v>
      </c>
      <c r="C167" s="5" t="s">
        <v>156</v>
      </c>
      <c r="D167" s="7" t="n">
        <v>204</v>
      </c>
      <c r="E167" s="5" t="s">
        <v>27</v>
      </c>
      <c r="F167" s="10" t="s">
        <v>157</v>
      </c>
      <c r="G167" s="5"/>
      <c r="H167" s="4"/>
    </row>
    <row r="168" customFormat="false" ht="44.25" hidden="false" customHeight="true" outlineLevel="0" collapsed="false">
      <c r="A168" s="4" t="s">
        <v>75</v>
      </c>
      <c r="B168" s="7" t="n">
        <v>52</v>
      </c>
      <c r="C168" s="5" t="s">
        <v>156</v>
      </c>
      <c r="D168" s="7" t="n">
        <v>202</v>
      </c>
      <c r="E168" s="5" t="s">
        <v>27</v>
      </c>
      <c r="F168" s="10" t="s">
        <v>157</v>
      </c>
      <c r="G168" s="5"/>
      <c r="H168" s="4"/>
    </row>
    <row r="169" customFormat="false" ht="30.75" hidden="false" customHeight="true" outlineLevel="0" collapsed="false">
      <c r="A169" s="4" t="s">
        <v>77</v>
      </c>
      <c r="B169" s="7" t="n">
        <v>52</v>
      </c>
      <c r="C169" s="5" t="n">
        <v>0.635</v>
      </c>
      <c r="D169" s="7" t="n">
        <v>204</v>
      </c>
      <c r="E169" s="5" t="n">
        <v>0.686</v>
      </c>
      <c r="F169" s="10" t="n">
        <v>-0.051</v>
      </c>
      <c r="G169" s="5" t="n">
        <v>0.146</v>
      </c>
      <c r="H169" s="4" t="s">
        <v>226</v>
      </c>
    </row>
    <row r="170" customFormat="false" ht="30.75" hidden="false" customHeight="true" outlineLevel="0" collapsed="false">
      <c r="A170" s="4" t="s">
        <v>79</v>
      </c>
      <c r="B170" s="7" t="n">
        <v>52</v>
      </c>
      <c r="C170" s="5" t="n">
        <v>0.654</v>
      </c>
      <c r="D170" s="7" t="n">
        <v>204</v>
      </c>
      <c r="E170" s="5" t="n">
        <v>0.706</v>
      </c>
      <c r="F170" s="10" t="n">
        <v>-0.052</v>
      </c>
      <c r="G170" s="5" t="n">
        <v>0.144</v>
      </c>
      <c r="H170" s="4" t="s">
        <v>226</v>
      </c>
    </row>
    <row r="171" customFormat="false" ht="30.75" hidden="false" customHeight="true" outlineLevel="0" collapsed="false">
      <c r="A171" s="4" t="s">
        <v>81</v>
      </c>
      <c r="B171" s="7" t="n">
        <v>52</v>
      </c>
      <c r="C171" s="5" t="n">
        <v>0.212</v>
      </c>
      <c r="D171" s="7" t="n">
        <v>204</v>
      </c>
      <c r="E171" s="5" t="n">
        <v>0.333</v>
      </c>
      <c r="F171" s="10" t="n">
        <v>-0.121</v>
      </c>
      <c r="G171" s="5" t="n">
        <v>0.128</v>
      </c>
      <c r="H171" s="4" t="s">
        <v>228</v>
      </c>
    </row>
    <row r="172" customFormat="false" ht="30.75" hidden="false" customHeight="true" outlineLevel="0" collapsed="false">
      <c r="A172" s="4" t="s">
        <v>35</v>
      </c>
      <c r="B172" s="7" t="n">
        <v>52</v>
      </c>
      <c r="C172" s="5" t="n">
        <v>0.519</v>
      </c>
      <c r="D172" s="7" t="n">
        <v>204</v>
      </c>
      <c r="E172" s="5" t="n">
        <v>0.662</v>
      </c>
      <c r="F172" s="10" t="n">
        <v>-0.143</v>
      </c>
      <c r="G172" s="5" t="n">
        <v>0.151</v>
      </c>
      <c r="H172" s="4" t="s">
        <v>228</v>
      </c>
    </row>
    <row r="173" customFormat="false" ht="30.75" hidden="false" customHeight="true" outlineLevel="0" collapsed="false">
      <c r="A173" s="4" t="s">
        <v>84</v>
      </c>
      <c r="B173" s="7" t="n">
        <v>52</v>
      </c>
      <c r="C173" s="5" t="n">
        <v>0.423</v>
      </c>
      <c r="D173" s="7" t="n">
        <v>202</v>
      </c>
      <c r="E173" s="5" t="n">
        <v>0.574</v>
      </c>
      <c r="F173" s="10" t="n">
        <v>-0.151</v>
      </c>
      <c r="G173" s="5" t="n">
        <v>0.151</v>
      </c>
      <c r="H173" s="4" t="s">
        <v>228</v>
      </c>
    </row>
    <row r="174" customFormat="false" ht="30.75" hidden="false" customHeight="true" outlineLevel="0" collapsed="false">
      <c r="A174" s="4" t="s">
        <v>86</v>
      </c>
      <c r="B174" s="7" t="n">
        <v>52</v>
      </c>
      <c r="C174" s="5" t="n">
        <v>0.212</v>
      </c>
      <c r="D174" s="7" t="n">
        <v>202</v>
      </c>
      <c r="E174" s="5" t="n">
        <v>0.312</v>
      </c>
      <c r="F174" s="10" t="n">
        <v>-0.1</v>
      </c>
      <c r="G174" s="5" t="n">
        <v>0.128</v>
      </c>
      <c r="H174" s="4" t="s">
        <v>226</v>
      </c>
    </row>
    <row r="175" customFormat="false" ht="30.75" hidden="false" customHeight="true" outlineLevel="0" collapsed="false">
      <c r="A175" s="4" t="s">
        <v>88</v>
      </c>
      <c r="B175" s="7" t="n">
        <v>52</v>
      </c>
      <c r="C175" s="5" t="n">
        <v>0.25</v>
      </c>
      <c r="D175" s="7" t="n">
        <v>203</v>
      </c>
      <c r="E175" s="5" t="n">
        <v>0.202</v>
      </c>
      <c r="F175" s="10" t="n">
        <v>0.048</v>
      </c>
      <c r="G175" s="5" t="n">
        <v>0.13</v>
      </c>
      <c r="H175" s="4" t="s">
        <v>226</v>
      </c>
    </row>
    <row r="176" customFormat="false" ht="30.75" hidden="false" customHeight="true" outlineLevel="0" collapsed="false">
      <c r="A176" s="4" t="s">
        <v>98</v>
      </c>
      <c r="B176" s="7" t="n">
        <v>52</v>
      </c>
      <c r="C176" s="5" t="n">
        <v>1.231</v>
      </c>
      <c r="D176" s="7" t="n">
        <v>202</v>
      </c>
      <c r="E176" s="5" t="n">
        <v>1.079</v>
      </c>
      <c r="F176" s="10" t="n">
        <v>0.152</v>
      </c>
      <c r="G176" s="5" t="n">
        <v>0.286</v>
      </c>
      <c r="H176" s="4" t="s">
        <v>226</v>
      </c>
    </row>
    <row r="177" customFormat="false" ht="30.75" hidden="false" customHeight="true" outlineLevel="0" collapsed="false">
      <c r="A177" s="4" t="s">
        <v>101</v>
      </c>
      <c r="B177" s="7" t="n">
        <v>52</v>
      </c>
      <c r="C177" s="5" t="n">
        <v>1.808</v>
      </c>
      <c r="D177" s="7" t="n">
        <v>204</v>
      </c>
      <c r="E177" s="5" t="n">
        <v>2.054</v>
      </c>
      <c r="F177" s="10" t="n">
        <v>-0.246</v>
      </c>
      <c r="G177" s="5" t="n">
        <v>0.29</v>
      </c>
      <c r="H177" s="4" t="s">
        <v>226</v>
      </c>
    </row>
    <row r="178" customFormat="false" ht="44.25" hidden="false" customHeight="true" outlineLevel="0" collapsed="false">
      <c r="A178" s="4" t="s">
        <v>104</v>
      </c>
      <c r="B178" s="7" t="n">
        <v>52</v>
      </c>
      <c r="C178" s="5" t="s">
        <v>27</v>
      </c>
      <c r="D178" s="7" t="n">
        <v>202</v>
      </c>
      <c r="E178" s="5" t="s">
        <v>27</v>
      </c>
      <c r="F178" s="10" t="s">
        <v>227</v>
      </c>
      <c r="G178" s="5"/>
      <c r="H178" s="4"/>
    </row>
    <row r="179" customFormat="false" ht="30.75" hidden="false" customHeight="true" outlineLevel="0" collapsed="false">
      <c r="A179" s="4" t="s">
        <v>106</v>
      </c>
      <c r="B179" s="7" t="n">
        <v>52</v>
      </c>
      <c r="C179" s="5" t="n">
        <v>1.827</v>
      </c>
      <c r="D179" s="7" t="n">
        <v>202</v>
      </c>
      <c r="E179" s="5" t="n">
        <v>1.723</v>
      </c>
      <c r="F179" s="10" t="n">
        <v>0.104</v>
      </c>
      <c r="G179" s="5" t="n">
        <v>0.251</v>
      </c>
      <c r="H179" s="4" t="s">
        <v>226</v>
      </c>
    </row>
    <row r="180" customFormat="false" ht="17.25" hidden="false" customHeight="true" outlineLevel="0" collapsed="false"/>
    <row r="181" customFormat="false" ht="17.25" hidden="false" customHeight="true" outlineLevel="0" collapsed="false">
      <c r="A181" s="8" t="s">
        <v>232</v>
      </c>
    </row>
    <row r="182" customFormat="false" ht="44.25" hidden="false" customHeight="true" outlineLevel="0" collapsed="false">
      <c r="A182" s="3" t="s">
        <v>3</v>
      </c>
      <c r="B182" s="3" t="s">
        <v>220</v>
      </c>
      <c r="C182" s="3" t="s">
        <v>221</v>
      </c>
      <c r="D182" s="3" t="s">
        <v>222</v>
      </c>
      <c r="E182" s="3" t="s">
        <v>223</v>
      </c>
      <c r="F182" s="3" t="s">
        <v>224</v>
      </c>
      <c r="G182" s="3" t="s">
        <v>225</v>
      </c>
      <c r="H182" s="3" t="s">
        <v>17</v>
      </c>
    </row>
    <row r="183" customFormat="false" ht="44.25" hidden="false" customHeight="true" outlineLevel="0" collapsed="false">
      <c r="A183" s="4" t="s">
        <v>18</v>
      </c>
      <c r="B183" s="7" t="n">
        <v>24</v>
      </c>
      <c r="C183" s="5" t="s">
        <v>178</v>
      </c>
      <c r="D183" s="7" t="n">
        <v>107</v>
      </c>
      <c r="E183" s="5" t="s">
        <v>27</v>
      </c>
      <c r="F183" s="10" t="s">
        <v>157</v>
      </c>
      <c r="G183" s="5"/>
      <c r="H183" s="4"/>
    </row>
    <row r="184" customFormat="false" ht="44.25" hidden="false" customHeight="true" outlineLevel="0" collapsed="false">
      <c r="A184" s="4" t="s">
        <v>22</v>
      </c>
      <c r="B184" s="7" t="n">
        <v>20</v>
      </c>
      <c r="C184" s="5" t="s">
        <v>178</v>
      </c>
      <c r="D184" s="7" t="n">
        <v>99</v>
      </c>
      <c r="E184" s="5" t="s">
        <v>27</v>
      </c>
      <c r="F184" s="10" t="s">
        <v>157</v>
      </c>
      <c r="G184" s="5"/>
      <c r="H184" s="4"/>
    </row>
    <row r="185" customFormat="false" ht="44.25" hidden="false" customHeight="true" outlineLevel="0" collapsed="false">
      <c r="A185" s="4" t="s">
        <v>24</v>
      </c>
      <c r="B185" s="7" t="n">
        <v>24</v>
      </c>
      <c r="C185" s="5" t="s">
        <v>178</v>
      </c>
      <c r="D185" s="7" t="n">
        <v>108</v>
      </c>
      <c r="E185" s="5" t="s">
        <v>27</v>
      </c>
      <c r="F185" s="10" t="s">
        <v>157</v>
      </c>
      <c r="G185" s="5"/>
      <c r="H185" s="4"/>
    </row>
    <row r="186" customFormat="false" ht="30.75" hidden="false" customHeight="true" outlineLevel="0" collapsed="false">
      <c r="A186" s="4" t="s">
        <v>38</v>
      </c>
      <c r="B186" s="7" t="n">
        <v>20</v>
      </c>
      <c r="C186" s="5" t="n">
        <v>4.032</v>
      </c>
      <c r="D186" s="7" t="n">
        <v>101</v>
      </c>
      <c r="E186" s="5" t="n">
        <v>3.955</v>
      </c>
      <c r="F186" s="10" t="n">
        <v>0.077</v>
      </c>
      <c r="G186" s="5" t="n">
        <v>0.317</v>
      </c>
      <c r="H186" s="4" t="s">
        <v>226</v>
      </c>
    </row>
    <row r="187" customFormat="false" ht="44.25" hidden="false" customHeight="true" outlineLevel="0" collapsed="false">
      <c r="A187" s="4" t="s">
        <v>61</v>
      </c>
      <c r="B187" s="7" t="n">
        <v>24</v>
      </c>
      <c r="C187" s="5" t="s">
        <v>178</v>
      </c>
      <c r="D187" s="7" t="n">
        <v>109</v>
      </c>
      <c r="E187" s="5" t="s">
        <v>27</v>
      </c>
      <c r="F187" s="10" t="s">
        <v>157</v>
      </c>
      <c r="G187" s="5"/>
      <c r="H187" s="4"/>
    </row>
    <row r="188" customFormat="false" ht="44.25" hidden="false" customHeight="true" outlineLevel="0" collapsed="false">
      <c r="A188" s="4" t="s">
        <v>67</v>
      </c>
      <c r="B188" s="7" t="n">
        <v>20</v>
      </c>
      <c r="C188" s="5" t="s">
        <v>27</v>
      </c>
      <c r="D188" s="7" t="n">
        <v>108</v>
      </c>
      <c r="E188" s="5" t="s">
        <v>27</v>
      </c>
      <c r="F188" s="10" t="s">
        <v>227</v>
      </c>
      <c r="G188" s="5"/>
      <c r="H188" s="4"/>
    </row>
    <row r="189" customFormat="false" ht="44.25" hidden="false" customHeight="true" outlineLevel="0" collapsed="false">
      <c r="A189" s="4" t="s">
        <v>33</v>
      </c>
      <c r="B189" s="7" t="n">
        <v>23</v>
      </c>
      <c r="C189" s="5" t="s">
        <v>178</v>
      </c>
      <c r="D189" s="7" t="n">
        <v>108</v>
      </c>
      <c r="E189" s="5" t="s">
        <v>27</v>
      </c>
      <c r="F189" s="10" t="s">
        <v>157</v>
      </c>
      <c r="G189" s="5"/>
      <c r="H189" s="4"/>
    </row>
    <row r="190" customFormat="false" ht="44.25" hidden="false" customHeight="true" outlineLevel="0" collapsed="false">
      <c r="A190" s="4" t="s">
        <v>71</v>
      </c>
      <c r="B190" s="7" t="n">
        <v>23</v>
      </c>
      <c r="C190" s="5" t="s">
        <v>178</v>
      </c>
      <c r="D190" s="7" t="n">
        <v>108</v>
      </c>
      <c r="E190" s="5" t="s">
        <v>27</v>
      </c>
      <c r="F190" s="10" t="s">
        <v>157</v>
      </c>
      <c r="G190" s="5"/>
      <c r="H190" s="4"/>
    </row>
    <row r="191" customFormat="false" ht="44.25" hidden="false" customHeight="true" outlineLevel="0" collapsed="false">
      <c r="A191" s="4" t="s">
        <v>73</v>
      </c>
      <c r="B191" s="7" t="n">
        <v>20</v>
      </c>
      <c r="C191" s="5" t="s">
        <v>156</v>
      </c>
      <c r="D191" s="7" t="n">
        <v>108</v>
      </c>
      <c r="E191" s="5" t="s">
        <v>27</v>
      </c>
      <c r="F191" s="10" t="s">
        <v>157</v>
      </c>
      <c r="G191" s="5"/>
      <c r="H191" s="4"/>
    </row>
    <row r="192" customFormat="false" ht="44.25" hidden="false" customHeight="true" outlineLevel="0" collapsed="false">
      <c r="A192" s="4" t="s">
        <v>75</v>
      </c>
      <c r="B192" s="7" t="n">
        <v>21</v>
      </c>
      <c r="C192" s="5" t="s">
        <v>156</v>
      </c>
      <c r="D192" s="7" t="n">
        <v>108</v>
      </c>
      <c r="E192" s="5" t="s">
        <v>27</v>
      </c>
      <c r="F192" s="10" t="s">
        <v>157</v>
      </c>
      <c r="G192" s="5"/>
      <c r="H192" s="4"/>
    </row>
    <row r="193" customFormat="false" ht="44.25" hidden="false" customHeight="true" outlineLevel="0" collapsed="false">
      <c r="A193" s="4" t="s">
        <v>77</v>
      </c>
      <c r="B193" s="7" t="n">
        <v>21</v>
      </c>
      <c r="C193" s="5" t="s">
        <v>178</v>
      </c>
      <c r="D193" s="7" t="n">
        <v>108</v>
      </c>
      <c r="E193" s="5" t="s">
        <v>27</v>
      </c>
      <c r="F193" s="10" t="s">
        <v>157</v>
      </c>
      <c r="G193" s="5"/>
      <c r="H193" s="4"/>
    </row>
    <row r="194" customFormat="false" ht="44.25" hidden="false" customHeight="true" outlineLevel="0" collapsed="false">
      <c r="A194" s="4" t="s">
        <v>79</v>
      </c>
      <c r="B194" s="7" t="n">
        <v>20</v>
      </c>
      <c r="C194" s="5" t="s">
        <v>178</v>
      </c>
      <c r="D194" s="7" t="n">
        <v>108</v>
      </c>
      <c r="E194" s="5" t="s">
        <v>27</v>
      </c>
      <c r="F194" s="10" t="s">
        <v>157</v>
      </c>
      <c r="G194" s="5"/>
      <c r="H194" s="4"/>
    </row>
    <row r="195" customFormat="false" ht="30.75" hidden="false" customHeight="true" outlineLevel="0" collapsed="false">
      <c r="A195" s="4" t="s">
        <v>81</v>
      </c>
      <c r="B195" s="7" t="n">
        <v>22</v>
      </c>
      <c r="C195" s="5" t="n">
        <v>0.455</v>
      </c>
      <c r="D195" s="7" t="n">
        <v>108</v>
      </c>
      <c r="E195" s="5" t="n">
        <v>0.287</v>
      </c>
      <c r="F195" s="10" t="n">
        <v>0.168</v>
      </c>
      <c r="G195" s="5" t="n">
        <v>0.225</v>
      </c>
      <c r="H195" s="4" t="s">
        <v>226</v>
      </c>
    </row>
    <row r="196" customFormat="false" ht="44.25" hidden="false" customHeight="true" outlineLevel="0" collapsed="false">
      <c r="A196" s="4" t="s">
        <v>35</v>
      </c>
      <c r="B196" s="7" t="n">
        <v>21</v>
      </c>
      <c r="C196" s="5" t="s">
        <v>178</v>
      </c>
      <c r="D196" s="7" t="n">
        <v>108</v>
      </c>
      <c r="E196" s="5" t="s">
        <v>27</v>
      </c>
      <c r="F196" s="10" t="s">
        <v>157</v>
      </c>
      <c r="G196" s="5"/>
      <c r="H196" s="4"/>
    </row>
    <row r="197" customFormat="false" ht="44.25" hidden="false" customHeight="true" outlineLevel="0" collapsed="false">
      <c r="A197" s="4" t="s">
        <v>84</v>
      </c>
      <c r="B197" s="7" t="n">
        <v>21</v>
      </c>
      <c r="C197" s="5" t="s">
        <v>156</v>
      </c>
      <c r="D197" s="7" t="n">
        <v>108</v>
      </c>
      <c r="E197" s="5" t="s">
        <v>27</v>
      </c>
      <c r="F197" s="10" t="s">
        <v>157</v>
      </c>
      <c r="G197" s="5"/>
      <c r="H197" s="4"/>
    </row>
    <row r="198" customFormat="false" ht="44.25" hidden="false" customHeight="true" outlineLevel="0" collapsed="false">
      <c r="A198" s="4" t="s">
        <v>86</v>
      </c>
      <c r="B198" s="7" t="n">
        <v>20</v>
      </c>
      <c r="C198" s="5" t="s">
        <v>156</v>
      </c>
      <c r="D198" s="7" t="n">
        <v>108</v>
      </c>
      <c r="E198" s="5" t="s">
        <v>27</v>
      </c>
      <c r="F198" s="10" t="s">
        <v>157</v>
      </c>
      <c r="G198" s="5"/>
      <c r="H198" s="4"/>
    </row>
    <row r="199" customFormat="false" ht="44.25" hidden="false" customHeight="true" outlineLevel="0" collapsed="false">
      <c r="A199" s="4" t="s">
        <v>88</v>
      </c>
      <c r="B199" s="7" t="n">
        <v>22</v>
      </c>
      <c r="C199" s="5" t="s">
        <v>156</v>
      </c>
      <c r="D199" s="7" t="n">
        <v>108</v>
      </c>
      <c r="E199" s="5" t="s">
        <v>27</v>
      </c>
      <c r="F199" s="10" t="s">
        <v>157</v>
      </c>
      <c r="G199" s="5"/>
      <c r="H199" s="4"/>
    </row>
    <row r="200" customFormat="false" ht="44.25" hidden="false" customHeight="true" outlineLevel="0" collapsed="false">
      <c r="A200" s="4" t="s">
        <v>98</v>
      </c>
      <c r="B200" s="7" t="n">
        <v>23</v>
      </c>
      <c r="C200" s="5" t="s">
        <v>27</v>
      </c>
      <c r="D200" s="7" t="n">
        <v>108</v>
      </c>
      <c r="E200" s="5" t="s">
        <v>27</v>
      </c>
      <c r="F200" s="10" t="s">
        <v>227</v>
      </c>
      <c r="G200" s="5"/>
      <c r="H200" s="4"/>
    </row>
    <row r="201" customFormat="false" ht="44.25" hidden="false" customHeight="true" outlineLevel="0" collapsed="false">
      <c r="A201" s="4" t="s">
        <v>101</v>
      </c>
      <c r="B201" s="7" t="n">
        <v>20</v>
      </c>
      <c r="C201" s="5" t="s">
        <v>27</v>
      </c>
      <c r="D201" s="7" t="n">
        <v>108</v>
      </c>
      <c r="E201" s="5" t="s">
        <v>27</v>
      </c>
      <c r="F201" s="10" t="s">
        <v>227</v>
      </c>
      <c r="G201" s="5"/>
      <c r="H201" s="4"/>
    </row>
    <row r="202" customFormat="false" ht="44.25" hidden="false" customHeight="true" outlineLevel="0" collapsed="false">
      <c r="A202" s="4" t="s">
        <v>104</v>
      </c>
      <c r="B202" s="7" t="n">
        <v>20</v>
      </c>
      <c r="C202" s="5" t="s">
        <v>27</v>
      </c>
      <c r="D202" s="7" t="n">
        <v>108</v>
      </c>
      <c r="E202" s="5" t="s">
        <v>27</v>
      </c>
      <c r="F202" s="10" t="s">
        <v>227</v>
      </c>
      <c r="G202" s="5"/>
      <c r="H202" s="4"/>
    </row>
    <row r="203" customFormat="false" ht="30.75" hidden="false" customHeight="true" outlineLevel="0" collapsed="false">
      <c r="A203" s="4" t="s">
        <v>106</v>
      </c>
      <c r="B203" s="7" t="n">
        <v>20</v>
      </c>
      <c r="C203" s="5" t="n">
        <v>2.3</v>
      </c>
      <c r="D203" s="7" t="n">
        <v>108</v>
      </c>
      <c r="E203" s="5" t="n">
        <v>1.843</v>
      </c>
      <c r="F203" s="10" t="n">
        <v>0.457</v>
      </c>
      <c r="G203" s="5" t="n">
        <v>0.286</v>
      </c>
      <c r="H203" s="4" t="s">
        <v>229</v>
      </c>
    </row>
    <row r="204" customFormat="false" ht="17.25" hidden="false" customHeight="true" outlineLevel="0" collapsed="false"/>
    <row r="205" customFormat="false" ht="17.25" hidden="false" customHeight="true" outlineLevel="0" collapsed="false">
      <c r="A205" s="8" t="s">
        <v>233</v>
      </c>
    </row>
    <row r="206" customFormat="false" ht="44.25" hidden="false" customHeight="true" outlineLevel="0" collapsed="false">
      <c r="A206" s="3" t="s">
        <v>3</v>
      </c>
      <c r="B206" s="3" t="s">
        <v>220</v>
      </c>
      <c r="C206" s="3" t="s">
        <v>221</v>
      </c>
      <c r="D206" s="3" t="s">
        <v>222</v>
      </c>
      <c r="E206" s="3" t="s">
        <v>223</v>
      </c>
      <c r="F206" s="3" t="s">
        <v>224</v>
      </c>
      <c r="G206" s="3" t="s">
        <v>225</v>
      </c>
      <c r="H206" s="3" t="s">
        <v>17</v>
      </c>
    </row>
    <row r="207" customFormat="false" ht="44.25" hidden="false" customHeight="true" outlineLevel="0" collapsed="false">
      <c r="A207" s="4" t="s">
        <v>234</v>
      </c>
      <c r="B207" s="7" t="n">
        <v>60</v>
      </c>
      <c r="C207" s="5" t="s">
        <v>178</v>
      </c>
      <c r="D207" s="7" t="n">
        <v>197</v>
      </c>
      <c r="E207" s="5" t="s">
        <v>27</v>
      </c>
      <c r="F207" s="10" t="s">
        <v>157</v>
      </c>
      <c r="G207" s="5"/>
      <c r="H207" s="4"/>
    </row>
    <row r="208" customFormat="false" ht="17.25" hidden="false" customHeight="true" outlineLevel="0" collapsed="false"/>
    <row r="209" customFormat="false" ht="17.25" hidden="false" customHeight="true" outlineLevel="0" collapsed="false">
      <c r="A209" s="8" t="s">
        <v>235</v>
      </c>
    </row>
    <row r="210" customFormat="false" ht="44.25" hidden="false" customHeight="true" outlineLevel="0" collapsed="false">
      <c r="A210" s="3" t="s">
        <v>3</v>
      </c>
      <c r="B210" s="3" t="s">
        <v>220</v>
      </c>
      <c r="C210" s="3" t="s">
        <v>221</v>
      </c>
      <c r="D210" s="3" t="s">
        <v>222</v>
      </c>
      <c r="E210" s="3" t="s">
        <v>223</v>
      </c>
      <c r="F210" s="3" t="s">
        <v>224</v>
      </c>
      <c r="G210" s="3" t="s">
        <v>225</v>
      </c>
      <c r="H210" s="3" t="s">
        <v>17</v>
      </c>
    </row>
    <row r="211" customFormat="false" ht="30.75" hidden="false" customHeight="true" outlineLevel="0" collapsed="false">
      <c r="A211" s="4" t="s">
        <v>234</v>
      </c>
      <c r="B211" s="7" t="n">
        <v>51</v>
      </c>
      <c r="C211" s="5" t="n">
        <v>0.804</v>
      </c>
      <c r="D211" s="7" t="n">
        <v>82</v>
      </c>
      <c r="E211" s="5" t="n">
        <v>0.768</v>
      </c>
      <c r="F211" s="10" t="n">
        <v>0.036</v>
      </c>
      <c r="G211" s="5" t="n">
        <v>0.142</v>
      </c>
      <c r="H211" s="4" t="s">
        <v>226</v>
      </c>
    </row>
    <row r="212" customFormat="false" ht="17.25" hidden="false" customHeight="true" outlineLevel="0" collapsed="false"/>
    <row r="213" customFormat="false" ht="17.25" hidden="false" customHeight="true" outlineLevel="0" collapsed="false">
      <c r="A213" s="8" t="s">
        <v>236</v>
      </c>
    </row>
    <row r="214" customFormat="false" ht="44.25" hidden="false" customHeight="true" outlineLevel="0" collapsed="false">
      <c r="A214" s="3" t="s">
        <v>3</v>
      </c>
      <c r="B214" s="3" t="s">
        <v>220</v>
      </c>
      <c r="C214" s="3" t="s">
        <v>221</v>
      </c>
      <c r="D214" s="3" t="s">
        <v>222</v>
      </c>
      <c r="E214" s="3" t="s">
        <v>223</v>
      </c>
      <c r="F214" s="3" t="s">
        <v>224</v>
      </c>
      <c r="G214" s="3" t="s">
        <v>225</v>
      </c>
      <c r="H214" s="3" t="s">
        <v>17</v>
      </c>
    </row>
    <row r="215" customFormat="false" ht="44.25" hidden="false" customHeight="true" outlineLevel="0" collapsed="false">
      <c r="A215" s="4" t="s">
        <v>234</v>
      </c>
      <c r="B215" s="7" t="n">
        <v>52</v>
      </c>
      <c r="C215" s="5" t="s">
        <v>178</v>
      </c>
      <c r="D215" s="7" t="n">
        <v>205</v>
      </c>
      <c r="E215" s="5" t="s">
        <v>27</v>
      </c>
      <c r="F215" s="10" t="s">
        <v>157</v>
      </c>
      <c r="G215" s="5"/>
      <c r="H215" s="4"/>
    </row>
    <row r="216" customFormat="false" ht="17.25" hidden="false" customHeight="true" outlineLevel="0" collapsed="false"/>
    <row r="217" customFormat="false" ht="17.25" hidden="false" customHeight="true" outlineLevel="0" collapsed="false">
      <c r="A217" s="8" t="s">
        <v>237</v>
      </c>
    </row>
    <row r="218" customFormat="false" ht="44.25" hidden="false" customHeight="true" outlineLevel="0" collapsed="false">
      <c r="A218" s="3" t="s">
        <v>3</v>
      </c>
      <c r="B218" s="3" t="s">
        <v>220</v>
      </c>
      <c r="C218" s="3" t="s">
        <v>221</v>
      </c>
      <c r="D218" s="3" t="s">
        <v>222</v>
      </c>
      <c r="E218" s="3" t="s">
        <v>223</v>
      </c>
      <c r="F218" s="3" t="s">
        <v>224</v>
      </c>
      <c r="G218" s="3" t="s">
        <v>225</v>
      </c>
      <c r="H218" s="3" t="s">
        <v>17</v>
      </c>
    </row>
    <row r="219" customFormat="false" ht="44.25" hidden="false" customHeight="true" outlineLevel="0" collapsed="false">
      <c r="A219" s="4" t="s">
        <v>234</v>
      </c>
      <c r="B219" s="7" t="n">
        <v>24</v>
      </c>
      <c r="C219" s="5" t="s">
        <v>178</v>
      </c>
      <c r="D219" s="7" t="n">
        <v>109</v>
      </c>
      <c r="E219" s="5" t="s">
        <v>27</v>
      </c>
      <c r="F219" s="10" t="s">
        <v>157</v>
      </c>
      <c r="G219" s="5"/>
      <c r="H219" s="4"/>
    </row>
    <row r="220" customFormat="false" ht="17.25" hidden="false" customHeight="true" outlineLevel="0" collapsed="false"/>
  </sheetData>
  <mergeCells count="3">
    <mergeCell ref="A2:J2"/>
    <mergeCell ref="A3:J3"/>
    <mergeCell ref="A6:J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8"/>
    <col collapsed="false" customWidth="true" hidden="false" outlineLevel="0" max="4" min="4" style="0" width="70"/>
    <col collapsed="false" customWidth="true" hidden="false" outlineLevel="0" max="5" min="5" style="0" width="18"/>
    <col collapsed="false" customWidth="true" hidden="false" outlineLevel="0" max="8" min="6" style="0" width="13"/>
  </cols>
  <sheetData>
    <row r="1" customFormat="false" ht="15" hidden="false" customHeight="false" outlineLevel="0" collapsed="false">
      <c r="A1" s="1" t="s">
        <v>238</v>
      </c>
    </row>
    <row r="2" customFormat="false" ht="70.5" hidden="false" customHeight="true" outlineLevel="0" collapsed="false">
      <c r="A2" s="2" t="s">
        <v>239</v>
      </c>
      <c r="B2" s="2"/>
      <c r="C2" s="2"/>
      <c r="D2" s="2"/>
      <c r="E2" s="2"/>
      <c r="F2" s="2"/>
      <c r="G2" s="2"/>
      <c r="H2" s="2"/>
    </row>
    <row r="4" customFormat="false" ht="30" hidden="false" customHeight="true" outlineLevel="0" collapsed="false">
      <c r="A4" s="3" t="s">
        <v>191</v>
      </c>
      <c r="B4" s="3" t="s">
        <v>240</v>
      </c>
      <c r="C4" s="3" t="s">
        <v>51</v>
      </c>
      <c r="D4" s="3" t="s">
        <v>241</v>
      </c>
    </row>
    <row r="5" customFormat="false" ht="23.85" hidden="false" customHeight="false" outlineLevel="0" collapsed="false">
      <c r="A5" s="4" t="s">
        <v>242</v>
      </c>
      <c r="B5" s="7" t="n">
        <v>209</v>
      </c>
      <c r="C5" s="7" t="n">
        <v>209</v>
      </c>
      <c r="D5" s="4" t="s">
        <v>243</v>
      </c>
    </row>
    <row r="6" customFormat="false" ht="23.85" hidden="false" customHeight="false" outlineLevel="0" collapsed="false">
      <c r="A6" s="4" t="s">
        <v>244</v>
      </c>
      <c r="B6" s="7" t="s">
        <v>133</v>
      </c>
      <c r="C6" s="7" t="s">
        <v>133</v>
      </c>
      <c r="D6" s="4" t="s">
        <v>245</v>
      </c>
    </row>
    <row r="7" customFormat="false" ht="15" hidden="false" customHeight="false" outlineLevel="0" collapsed="false">
      <c r="A7" s="4" t="s">
        <v>246</v>
      </c>
      <c r="B7" s="7" t="n">
        <v>0.35</v>
      </c>
      <c r="C7" s="7" t="n">
        <v>0.297</v>
      </c>
      <c r="D7" s="4"/>
    </row>
    <row r="8" customFormat="false" ht="15" hidden="false" customHeight="false" outlineLevel="0" collapsed="false">
      <c r="A8" s="4" t="s">
        <v>247</v>
      </c>
      <c r="B8" s="7" t="n">
        <v>0.872</v>
      </c>
      <c r="C8" s="7" t="n">
        <v>0.846</v>
      </c>
      <c r="D8" s="4" t="s">
        <v>248</v>
      </c>
    </row>
    <row r="9" customFormat="false" ht="15" hidden="false" customHeight="false" outlineLevel="0" collapsed="false">
      <c r="A9" s="4" t="s">
        <v>249</v>
      </c>
      <c r="B9" s="7" t="n">
        <v>93</v>
      </c>
      <c r="C9" s="7" t="n">
        <v>77</v>
      </c>
      <c r="D9" s="4"/>
    </row>
    <row r="10" customFormat="false" ht="23.85" hidden="false" customHeight="false" outlineLevel="0" collapsed="false">
      <c r="A10" s="4" t="s">
        <v>250</v>
      </c>
      <c r="B10" s="7" t="s">
        <v>27</v>
      </c>
      <c r="C10" s="7" t="s">
        <v>27</v>
      </c>
      <c r="D10" s="4" t="s">
        <v>251</v>
      </c>
    </row>
    <row r="11" customFormat="false" ht="15" hidden="false" customHeight="false" outlineLevel="0" collapsed="false">
      <c r="A11" s="4" t="s">
        <v>252</v>
      </c>
      <c r="B11" s="7" t="n">
        <v>116</v>
      </c>
      <c r="C11" s="7" t="n">
        <v>132</v>
      </c>
      <c r="D11" s="4"/>
    </row>
    <row r="12" customFormat="false" ht="15" hidden="false" customHeight="false" outlineLevel="0" collapsed="false">
      <c r="A12" s="4" t="s">
        <v>253</v>
      </c>
      <c r="B12" s="7" t="n">
        <v>95</v>
      </c>
      <c r="C12" s="7" t="n">
        <v>104</v>
      </c>
      <c r="D12" s="4"/>
    </row>
    <row r="13" customFormat="false" ht="23.85" hidden="false" customHeight="false" outlineLevel="0" collapsed="false">
      <c r="A13" s="4" t="s">
        <v>254</v>
      </c>
      <c r="B13" s="7" t="n">
        <v>28</v>
      </c>
      <c r="C13" s="7" t="n">
        <v>36.7</v>
      </c>
      <c r="D13" s="4"/>
    </row>
    <row r="14" customFormat="false" ht="23.85" hidden="false" customHeight="false" outlineLevel="0" collapsed="false">
      <c r="A14" s="4" t="s">
        <v>255</v>
      </c>
      <c r="B14" s="7" t="n">
        <v>53.4</v>
      </c>
      <c r="C14" s="7" t="n">
        <v>49.2</v>
      </c>
      <c r="D14" s="4" t="s">
        <v>256</v>
      </c>
    </row>
    <row r="16" customFormat="false" ht="15" hidden="false" customHeight="false" outlineLevel="0" collapsed="false">
      <c r="A16" s="8" t="s">
        <v>257</v>
      </c>
    </row>
    <row r="17" customFormat="false" ht="21.75" hidden="false" customHeight="true" outlineLevel="0" collapsed="false">
      <c r="A17" s="3" t="s">
        <v>258</v>
      </c>
      <c r="B17" s="3" t="s">
        <v>259</v>
      </c>
      <c r="C17" s="3" t="s">
        <v>260</v>
      </c>
      <c r="D17" s="3" t="s">
        <v>261</v>
      </c>
      <c r="E17" s="3" t="s">
        <v>262</v>
      </c>
      <c r="F17" s="3" t="s">
        <v>263</v>
      </c>
    </row>
    <row r="18" customFormat="false" ht="15" hidden="false" customHeight="false" outlineLevel="0" collapsed="false">
      <c r="A18" s="4" t="s">
        <v>264</v>
      </c>
      <c r="B18" s="5" t="n">
        <v>0.042</v>
      </c>
      <c r="C18" s="5" t="n">
        <v>0.073</v>
      </c>
      <c r="D18" s="5" t="n">
        <v>0.132</v>
      </c>
      <c r="E18" s="5" t="n">
        <v>0.302</v>
      </c>
      <c r="F18" s="5" t="n">
        <v>0.552</v>
      </c>
    </row>
    <row r="19" customFormat="false" ht="15" hidden="false" customHeight="false" outlineLevel="0" collapsed="false">
      <c r="A19" s="4" t="s">
        <v>265</v>
      </c>
      <c r="B19" s="5" t="n">
        <v>0.188</v>
      </c>
      <c r="C19" s="5" t="n">
        <v>0.447</v>
      </c>
      <c r="D19" s="5" t="n">
        <v>0.682</v>
      </c>
      <c r="E19" s="5" t="n">
        <v>0.885</v>
      </c>
      <c r="F19" s="5" t="n">
        <v>0.957</v>
      </c>
    </row>
    <row r="20" customFormat="false" ht="15" hidden="false" customHeight="false" outlineLevel="0" collapsed="false">
      <c r="A20" s="4" t="s">
        <v>266</v>
      </c>
      <c r="B20" s="5" t="n">
        <v>0.048</v>
      </c>
      <c r="C20" s="5" t="n">
        <v>0.076</v>
      </c>
      <c r="D20" s="5" t="n">
        <v>0.158</v>
      </c>
      <c r="E20" s="5" t="n">
        <v>0.296</v>
      </c>
      <c r="F20" s="5" t="n">
        <v>0.572</v>
      </c>
    </row>
    <row r="21" customFormat="false" ht="15" hidden="false" customHeight="false" outlineLevel="0" collapsed="false">
      <c r="A21" s="4" t="s">
        <v>267</v>
      </c>
      <c r="B21" s="5" t="n">
        <v>0.194</v>
      </c>
      <c r="C21" s="5" t="n">
        <v>0.439</v>
      </c>
      <c r="D21" s="5" t="n">
        <v>0.632</v>
      </c>
      <c r="E21" s="5" t="n">
        <v>0.79</v>
      </c>
      <c r="F21" s="5" t="n">
        <v>0.923</v>
      </c>
    </row>
    <row r="23" customFormat="false" ht="15" hidden="false" customHeight="false" outlineLevel="0" collapsed="false">
      <c r="A23" s="8" t="s">
        <v>268</v>
      </c>
    </row>
    <row r="24" customFormat="false" ht="30" hidden="false" customHeight="true" outlineLevel="0" collapsed="false">
      <c r="A24" s="3" t="s">
        <v>269</v>
      </c>
      <c r="B24" s="3" t="s">
        <v>270</v>
      </c>
      <c r="C24" s="3" t="s">
        <v>271</v>
      </c>
      <c r="D24" s="3" t="s">
        <v>272</v>
      </c>
      <c r="E24" s="3" t="s">
        <v>273</v>
      </c>
    </row>
    <row r="25" customFormat="false" ht="15" hidden="false" customHeight="false" outlineLevel="0" collapsed="false">
      <c r="A25" s="4" t="s">
        <v>274</v>
      </c>
      <c r="B25" s="5" t="n">
        <v>-1.763</v>
      </c>
      <c r="C25" s="6" t="n">
        <f aca="false">IF(ISNUMBER(B25),EXP(B25),"")</f>
        <v>0.171529502659847</v>
      </c>
      <c r="D25" s="5" t="n">
        <v>-1.818</v>
      </c>
      <c r="E25" s="6" t="n">
        <f aca="false">IF(ISNUMBER(D25),EXP(D25),"")</f>
        <v>0.162350126703393</v>
      </c>
    </row>
    <row r="26" customFormat="false" ht="15" hidden="false" customHeight="false" outlineLevel="0" collapsed="false">
      <c r="A26" s="4" t="s">
        <v>275</v>
      </c>
      <c r="B26" s="5" t="n">
        <v>2.046</v>
      </c>
      <c r="C26" s="6" t="n">
        <f aca="false">IF(ISNUMBER(B26),EXP(B26),"")</f>
        <v>7.73689156231557</v>
      </c>
      <c r="D26" s="5" t="n">
        <v>2.038</v>
      </c>
      <c r="E26" s="6" t="n">
        <f aca="false">IF(ISNUMBER(D26),EXP(D26),"")</f>
        <v>7.67524335145062</v>
      </c>
    </row>
    <row r="27" customFormat="false" ht="15" hidden="false" customHeight="false" outlineLevel="0" collapsed="false">
      <c r="A27" s="4" t="s">
        <v>276</v>
      </c>
      <c r="B27" s="5" t="n">
        <v>1.736</v>
      </c>
      <c r="C27" s="6" t="n">
        <f aca="false">IF(ISNUMBER(B27),EXP(B27),"")</f>
        <v>5.67459956701774</v>
      </c>
      <c r="D27" s="5" t="n">
        <v>1.641</v>
      </c>
      <c r="E27" s="6" t="n">
        <f aca="false">IF(ISNUMBER(D27),EXP(D27),"")</f>
        <v>5.16032726019108</v>
      </c>
    </row>
    <row r="28" customFormat="false" ht="15" hidden="false" customHeight="false" outlineLevel="0" collapsed="false">
      <c r="A28" s="4" t="s">
        <v>277</v>
      </c>
      <c r="B28" s="5" t="n">
        <v>1.244</v>
      </c>
      <c r="C28" s="6" t="n">
        <f aca="false">IF(ISNUMBER(B28),EXP(B28),"")</f>
        <v>3.46946360042621</v>
      </c>
      <c r="D28" s="5" t="n">
        <v>1.18</v>
      </c>
      <c r="E28" s="6" t="n">
        <f aca="false">IF(ISNUMBER(D28),EXP(D28),"")</f>
        <v>3.25437420288967</v>
      </c>
    </row>
    <row r="29" customFormat="false" ht="15" hidden="false" customHeight="false" outlineLevel="0" collapsed="false">
      <c r="A29" s="4" t="s">
        <v>278</v>
      </c>
      <c r="B29" s="5" t="n">
        <v>0.219</v>
      </c>
      <c r="C29" s="6" t="n">
        <f aca="false">IF(ISNUMBER(B29),EXP(B29),"")</f>
        <v>1.24483127668753</v>
      </c>
      <c r="D29" s="5" t="n">
        <v>0.273</v>
      </c>
      <c r="E29" s="6" t="n">
        <f aca="false">IF(ISNUMBER(D29),EXP(D29),"")</f>
        <v>1.31390024482474</v>
      </c>
    </row>
    <row r="30" customFormat="false" ht="15" hidden="false" customHeight="false" outlineLevel="0" collapsed="false">
      <c r="A30" s="4" t="s">
        <v>279</v>
      </c>
      <c r="B30" s="5" t="n">
        <v>-1.232</v>
      </c>
      <c r="C30" s="6" t="n">
        <f aca="false">IF(ISNUMBER(B30),EXP(B30),"")</f>
        <v>0.291708576721124</v>
      </c>
      <c r="D30" s="5" t="n">
        <v>-1.08</v>
      </c>
      <c r="E30" s="6" t="n">
        <f aca="false">IF(ISNUMBER(D30),EXP(D30),"")</f>
        <v>0.339595525644939</v>
      </c>
    </row>
    <row r="31" customFormat="false" ht="15" hidden="false" customHeight="false" outlineLevel="0" collapsed="false">
      <c r="A31" s="4" t="s">
        <v>280</v>
      </c>
      <c r="B31" s="5" t="n">
        <v>-0.032</v>
      </c>
      <c r="C31" s="6" t="n">
        <f aca="false">IF(ISNUMBER(B31),EXP(B31),"")</f>
        <v>0.968506582079198</v>
      </c>
      <c r="D31" s="5" t="n">
        <v>-0.028</v>
      </c>
      <c r="E31" s="6" t="n">
        <f aca="false">IF(ISNUMBER(D31),EXP(D31),"")</f>
        <v>0.972388366801247</v>
      </c>
    </row>
    <row r="32" customFormat="false" ht="15" hidden="false" customHeight="false" outlineLevel="0" collapsed="false">
      <c r="A32" s="4" t="s">
        <v>281</v>
      </c>
      <c r="B32" s="5" t="n">
        <v>0.581</v>
      </c>
      <c r="C32" s="6" t="n">
        <f aca="false">IF(ISNUMBER(B32),EXP(B32),"")</f>
        <v>1.78782536249779</v>
      </c>
      <c r="D32" s="5" t="n">
        <v>0.485</v>
      </c>
      <c r="E32" s="6" t="n">
        <f aca="false">IF(ISNUMBER(D32),EXP(D32),"")</f>
        <v>1.62417500884423</v>
      </c>
    </row>
    <row r="33" customFormat="false" ht="15" hidden="false" customHeight="false" outlineLevel="0" collapsed="false">
      <c r="A33" s="4" t="s">
        <v>282</v>
      </c>
      <c r="B33" s="5" t="n">
        <v>1.935</v>
      </c>
      <c r="C33" s="6" t="n">
        <f aca="false">IF(ISNUMBER(B33),EXP(B33),"")</f>
        <v>6.92404405537828</v>
      </c>
      <c r="D33" s="5" t="s">
        <v>283</v>
      </c>
      <c r="E33" s="6" t="str">
        <f aca="false">IF(ISNUMBER(D33),EXP(D33),"")</f>
        <v/>
      </c>
    </row>
    <row r="34" customFormat="false" ht="15" hidden="false" customHeight="false" outlineLevel="0" collapsed="false">
      <c r="A34" s="4" t="s">
        <v>284</v>
      </c>
      <c r="B34" s="5" t="n">
        <v>-1.123</v>
      </c>
      <c r="C34" s="6" t="n">
        <f aca="false">IF(ISNUMBER(B34),EXP(B34),"")</f>
        <v>0.325302422031088</v>
      </c>
      <c r="D34" s="5" t="s">
        <v>283</v>
      </c>
      <c r="E34" s="6" t="str">
        <f aca="false">IF(ISNUMBER(D34),EXP(D34),"")</f>
        <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10" min="3" style="0" width="13"/>
  </cols>
  <sheetData>
    <row r="1" customFormat="false" ht="15" hidden="false" customHeight="false" outlineLevel="0" collapsed="false">
      <c r="A1" s="1" t="s">
        <v>285</v>
      </c>
    </row>
    <row r="2" customFormat="false" ht="70.5" hidden="false" customHeight="true" outlineLevel="0" collapsed="false">
      <c r="A2" s="2" t="s">
        <v>286</v>
      </c>
      <c r="B2" s="2"/>
      <c r="C2" s="2"/>
      <c r="D2" s="2"/>
      <c r="E2" s="2"/>
      <c r="F2" s="2"/>
      <c r="G2" s="2"/>
      <c r="H2" s="2"/>
      <c r="I2" s="2"/>
      <c r="J2" s="2"/>
    </row>
    <row r="4" customFormat="false" ht="55.5" hidden="false" customHeight="true" outlineLevel="0" collapsed="false">
      <c r="A4" s="3" t="s">
        <v>269</v>
      </c>
      <c r="B4" s="3" t="s">
        <v>287</v>
      </c>
      <c r="C4" s="3" t="s">
        <v>288</v>
      </c>
      <c r="D4" s="3" t="s">
        <v>289</v>
      </c>
      <c r="E4" s="3" t="s">
        <v>290</v>
      </c>
      <c r="F4" s="3" t="s">
        <v>291</v>
      </c>
      <c r="G4" s="3" t="s">
        <v>292</v>
      </c>
      <c r="H4" s="3" t="s">
        <v>293</v>
      </c>
      <c r="I4" s="3" t="s">
        <v>294</v>
      </c>
      <c r="J4" s="3" t="s">
        <v>295</v>
      </c>
    </row>
    <row r="5" customFormat="false" ht="17.25" hidden="false" customHeight="true" outlineLevel="0" collapsed="false">
      <c r="A5" s="4" t="s">
        <v>275</v>
      </c>
      <c r="B5" s="4" t="s">
        <v>296</v>
      </c>
      <c r="C5" s="6" t="n">
        <v>0.89</v>
      </c>
      <c r="D5" s="6" t="n">
        <v>0.47</v>
      </c>
      <c r="E5" s="6" t="n">
        <v>-0.14</v>
      </c>
      <c r="F5" s="6" t="n">
        <v>0</v>
      </c>
      <c r="G5" s="6" t="n">
        <v>0.89</v>
      </c>
      <c r="H5" s="6" t="n">
        <v>0.5</v>
      </c>
      <c r="I5" s="6" t="n">
        <v>-0.14</v>
      </c>
      <c r="J5" s="6" t="n">
        <v>0</v>
      </c>
    </row>
    <row r="6" customFormat="false" ht="17.25" hidden="false" customHeight="true" outlineLevel="0" collapsed="false">
      <c r="A6" s="4" t="s">
        <v>276</v>
      </c>
      <c r="B6" s="4" t="s">
        <v>296</v>
      </c>
      <c r="C6" s="6" t="n">
        <v>0.74</v>
      </c>
      <c r="D6" s="6" t="n">
        <v>0.3</v>
      </c>
      <c r="E6" s="6" t="n">
        <v>0.15</v>
      </c>
      <c r="F6" s="6" t="n">
        <v>0</v>
      </c>
      <c r="G6" s="6" t="n">
        <v>0.74</v>
      </c>
      <c r="H6" s="6" t="n">
        <v>0.35</v>
      </c>
      <c r="I6" s="6" t="n">
        <v>0.01</v>
      </c>
      <c r="J6" s="6" t="n">
        <v>0</v>
      </c>
    </row>
    <row r="7" customFormat="false" ht="17.25" hidden="false" customHeight="true" outlineLevel="0" collapsed="false">
      <c r="A7" s="4" t="s">
        <v>277</v>
      </c>
      <c r="B7" s="4" t="s">
        <v>296</v>
      </c>
      <c r="C7" s="6" t="n">
        <v>0.68</v>
      </c>
      <c r="D7" s="6" t="n">
        <v>0.18</v>
      </c>
      <c r="E7" s="6" t="n">
        <v>0.19</v>
      </c>
      <c r="F7" s="6" t="n">
        <v>0</v>
      </c>
      <c r="G7" s="6" t="n">
        <v>0.68</v>
      </c>
      <c r="H7" s="6" t="n">
        <v>0.24</v>
      </c>
      <c r="I7" s="6" t="n">
        <v>0.12</v>
      </c>
      <c r="J7" s="6" t="n">
        <v>0</v>
      </c>
    </row>
    <row r="8" customFormat="false" ht="17.25" hidden="false" customHeight="true" outlineLevel="0" collapsed="false">
      <c r="A8" s="4" t="s">
        <v>278</v>
      </c>
      <c r="B8" s="4" t="s">
        <v>296</v>
      </c>
      <c r="C8" s="6" t="n">
        <v>0.34</v>
      </c>
      <c r="D8" s="6" t="n">
        <v>0.24</v>
      </c>
      <c r="E8" s="6" t="n">
        <v>0.26</v>
      </c>
      <c r="F8" s="6" t="n">
        <v>0</v>
      </c>
      <c r="G8" s="6" t="n">
        <v>0.34</v>
      </c>
      <c r="H8" s="6" t="n">
        <v>0.2</v>
      </c>
      <c r="I8" s="6" t="n">
        <v>0.15</v>
      </c>
      <c r="J8" s="6" t="n">
        <v>0</v>
      </c>
    </row>
    <row r="9" customFormat="false" ht="17.25" hidden="false" customHeight="true" outlineLevel="0" collapsed="false">
      <c r="A9" s="4" t="s">
        <v>279</v>
      </c>
      <c r="B9" s="4" t="s">
        <v>296</v>
      </c>
      <c r="C9" s="6" t="n">
        <v>-0.44</v>
      </c>
      <c r="D9" s="6" t="n">
        <v>-0.05</v>
      </c>
      <c r="E9" s="6" t="n">
        <v>0.15</v>
      </c>
      <c r="F9" s="6" t="n">
        <v>0</v>
      </c>
      <c r="G9" s="6" t="n">
        <v>-0.44</v>
      </c>
      <c r="H9" s="6" t="n">
        <v>-0.17</v>
      </c>
      <c r="I9" s="6" t="n">
        <v>0.15</v>
      </c>
      <c r="J9" s="6" t="n">
        <v>0</v>
      </c>
    </row>
    <row r="10" customFormat="false" ht="17.25" hidden="false" customHeight="true" outlineLevel="0" collapsed="false">
      <c r="A10" s="4" t="s">
        <v>280</v>
      </c>
      <c r="B10" s="4" t="s">
        <v>296</v>
      </c>
      <c r="C10" s="6" t="n">
        <v>0.02</v>
      </c>
      <c r="D10" s="6" t="n">
        <v>0.04</v>
      </c>
      <c r="E10" s="6" t="n">
        <v>0.08</v>
      </c>
      <c r="F10" s="6" t="n">
        <v>0</v>
      </c>
      <c r="G10" s="6" t="n">
        <v>0.02</v>
      </c>
      <c r="H10" s="6" t="n">
        <v>-0.05</v>
      </c>
      <c r="I10" s="6" t="n">
        <v>0.06</v>
      </c>
      <c r="J10" s="6" t="n">
        <v>0</v>
      </c>
    </row>
    <row r="11" customFormat="false" ht="17.25" hidden="false" customHeight="true" outlineLevel="0" collapsed="false">
      <c r="A11" s="4" t="s">
        <v>281</v>
      </c>
      <c r="B11" s="4" t="s">
        <v>296</v>
      </c>
      <c r="C11" s="6" t="n">
        <v>0.02</v>
      </c>
      <c r="D11" s="6" t="n">
        <v>0.05</v>
      </c>
      <c r="E11" s="6" t="n">
        <v>0.1</v>
      </c>
      <c r="F11" s="6" t="n">
        <v>0</v>
      </c>
      <c r="G11" s="6" t="n">
        <v>0.02</v>
      </c>
      <c r="H11" s="6" t="n">
        <v>0.05</v>
      </c>
      <c r="I11" s="6" t="n">
        <v>0.13</v>
      </c>
      <c r="J11" s="6" t="n">
        <v>0</v>
      </c>
    </row>
    <row r="12" customFormat="false" ht="30.75" hidden="false" customHeight="true" outlineLevel="0" collapsed="false">
      <c r="A12" s="4" t="s">
        <v>282</v>
      </c>
      <c r="B12" s="4" t="s">
        <v>297</v>
      </c>
      <c r="C12" s="6" t="s">
        <v>298</v>
      </c>
      <c r="D12" s="6" t="n">
        <v>0.26</v>
      </c>
      <c r="E12" s="6" t="n">
        <v>0.12</v>
      </c>
      <c r="F12" s="6" t="n">
        <v>0</v>
      </c>
      <c r="G12" s="6" t="s">
        <v>298</v>
      </c>
      <c r="H12" s="6" t="n">
        <v>0.49</v>
      </c>
      <c r="I12" s="6" t="n">
        <v>0.53</v>
      </c>
      <c r="J12" s="6" t="n">
        <v>0.51</v>
      </c>
    </row>
    <row r="13" customFormat="false" ht="30.75" hidden="false" customHeight="true" outlineLevel="0" collapsed="false">
      <c r="A13" s="4" t="s">
        <v>284</v>
      </c>
      <c r="B13" s="4" t="s">
        <v>297</v>
      </c>
      <c r="C13" s="6" t="n">
        <v>-0.11</v>
      </c>
      <c r="D13" s="6" t="n">
        <v>-0.13</v>
      </c>
      <c r="E13" s="6" t="n">
        <v>-0.01</v>
      </c>
      <c r="F13" s="6" t="n">
        <v>0</v>
      </c>
      <c r="G13" s="6" t="n">
        <v>-0.11</v>
      </c>
      <c r="H13" s="6" t="n">
        <v>-0.33</v>
      </c>
      <c r="I13" s="6" t="n">
        <v>-0.57</v>
      </c>
      <c r="J13" s="6" t="n">
        <v>-0.61</v>
      </c>
    </row>
    <row r="14" customFormat="false" ht="30.75" hidden="false" customHeight="true" outlineLevel="0" collapsed="false">
      <c r="A14" s="4" t="s">
        <v>299</v>
      </c>
      <c r="B14" s="4" t="s">
        <v>300</v>
      </c>
      <c r="C14" s="6" t="n">
        <v>0.89</v>
      </c>
      <c r="D14" s="6" t="n">
        <v>0.82</v>
      </c>
      <c r="E14" s="6" t="n">
        <v>0.77</v>
      </c>
      <c r="F14" s="6" t="n">
        <v>0.77</v>
      </c>
      <c r="G14" s="6" t="n">
        <v>0.89</v>
      </c>
      <c r="H14" s="6" t="n">
        <v>0.89</v>
      </c>
      <c r="I14" s="6" t="n">
        <v>0.9</v>
      </c>
      <c r="J14" s="6" t="n">
        <v>0.92</v>
      </c>
    </row>
    <row r="15" customFormat="false" ht="30.75" hidden="false" customHeight="true" outlineLevel="0" collapsed="false">
      <c r="A15" s="4" t="s">
        <v>301</v>
      </c>
      <c r="B15" s="4" t="s">
        <v>300</v>
      </c>
      <c r="C15" s="6" t="n">
        <v>0.14</v>
      </c>
      <c r="D15" s="6" t="n">
        <v>0.04</v>
      </c>
      <c r="E15" s="6" t="n">
        <v>0.07</v>
      </c>
      <c r="F15" s="6" t="n">
        <v>0</v>
      </c>
      <c r="G15" s="6" t="n">
        <v>0.14</v>
      </c>
      <c r="H15" s="6" t="n">
        <v>0.17</v>
      </c>
      <c r="I15" s="6" t="n">
        <v>0.26</v>
      </c>
      <c r="J15" s="6" t="n">
        <v>0.25</v>
      </c>
    </row>
    <row r="16" customFormat="false" ht="30.75" hidden="false" customHeight="true" outlineLevel="0" collapsed="false">
      <c r="A16" s="4" t="s">
        <v>302</v>
      </c>
      <c r="B16" s="4" t="s">
        <v>300</v>
      </c>
      <c r="C16" s="6" t="n">
        <v>0.43</v>
      </c>
      <c r="D16" s="6" t="n">
        <v>0.41</v>
      </c>
      <c r="E16" s="6" t="n">
        <v>0.3</v>
      </c>
      <c r="F16" s="6" t="n">
        <v>0.26</v>
      </c>
      <c r="G16" s="6" t="n">
        <v>0.43</v>
      </c>
      <c r="H16" s="6" t="n">
        <v>0.39</v>
      </c>
      <c r="I16" s="6" t="n">
        <v>0.35</v>
      </c>
      <c r="J16" s="6" t="n">
        <v>0.37</v>
      </c>
    </row>
    <row r="17" customFormat="false" ht="17.25" hidden="false" customHeight="true" outlineLevel="0" collapsed="false">
      <c r="A17" s="4" t="s">
        <v>303</v>
      </c>
      <c r="B17" s="4" t="s">
        <v>304</v>
      </c>
      <c r="C17" s="6" t="n">
        <v>0.3</v>
      </c>
      <c r="D17" s="6" t="n">
        <v>0.22</v>
      </c>
      <c r="E17" s="6" t="n">
        <v>0.24</v>
      </c>
      <c r="F17" s="6" t="n">
        <v>0.15</v>
      </c>
      <c r="G17" s="6" t="n">
        <v>0.3</v>
      </c>
      <c r="H17" s="6" t="n">
        <v>0.13</v>
      </c>
      <c r="I17" s="6" t="n">
        <v>-0.04</v>
      </c>
      <c r="J17" s="6" t="n">
        <v>-0.07</v>
      </c>
    </row>
    <row r="18" customFormat="false" ht="17.25" hidden="false" customHeight="true" outlineLevel="0" collapsed="false">
      <c r="A18" s="4" t="s">
        <v>305</v>
      </c>
      <c r="B18" s="4" t="s">
        <v>304</v>
      </c>
      <c r="C18" s="6" t="n">
        <v>0.04</v>
      </c>
      <c r="D18" s="6" t="n">
        <v>0.14</v>
      </c>
      <c r="E18" s="6" t="n">
        <v>0.09</v>
      </c>
      <c r="F18" s="6" t="n">
        <v>0.07</v>
      </c>
      <c r="G18" s="6" t="n">
        <v>0.04</v>
      </c>
      <c r="H18" s="6" t="n">
        <v>0.15</v>
      </c>
      <c r="I18" s="6" t="n">
        <v>0.1</v>
      </c>
      <c r="J18" s="6" t="n">
        <v>0.1</v>
      </c>
    </row>
    <row r="19" customFormat="false" ht="17.25" hidden="false" customHeight="true" outlineLevel="0" collapsed="false">
      <c r="A19" s="4" t="s">
        <v>306</v>
      </c>
      <c r="B19" s="4" t="s">
        <v>304</v>
      </c>
      <c r="C19" s="6" t="n">
        <v>0.11</v>
      </c>
      <c r="D19" s="6" t="n">
        <v>0.26</v>
      </c>
      <c r="E19" s="6" t="n">
        <v>0.33</v>
      </c>
      <c r="F19" s="6" t="n">
        <v>0.39</v>
      </c>
      <c r="G19" s="6" t="n">
        <v>0.11</v>
      </c>
      <c r="H19" s="6" t="n">
        <v>0.19</v>
      </c>
      <c r="I19" s="6" t="n">
        <v>0.33</v>
      </c>
      <c r="J19" s="6" t="n">
        <v>0.31</v>
      </c>
    </row>
    <row r="20" customFormat="false" ht="17.25" hidden="false" customHeight="true" outlineLevel="0" collapsed="false">
      <c r="A20" s="4" t="s">
        <v>307</v>
      </c>
      <c r="B20" s="4" t="s">
        <v>304</v>
      </c>
      <c r="C20" s="6" t="n">
        <v>0.14</v>
      </c>
      <c r="D20" s="6" t="n">
        <v>0.18</v>
      </c>
      <c r="E20" s="6" t="n">
        <v>0.31</v>
      </c>
      <c r="F20" s="6" t="n">
        <v>0.27</v>
      </c>
      <c r="G20" s="6" t="n">
        <v>0.14</v>
      </c>
      <c r="H20" s="6" t="n">
        <v>0.16</v>
      </c>
      <c r="I20" s="6" t="n">
        <v>0.21</v>
      </c>
      <c r="J20" s="6" t="n">
        <v>0.13</v>
      </c>
    </row>
    <row r="21" customFormat="false" ht="17.25" hidden="false" customHeight="true" outlineLevel="0" collapsed="false">
      <c r="A21" s="4" t="s">
        <v>308</v>
      </c>
      <c r="B21" s="4" t="s">
        <v>304</v>
      </c>
      <c r="C21" s="6" t="n">
        <v>0.02</v>
      </c>
      <c r="D21" s="6" t="n">
        <v>0.21</v>
      </c>
      <c r="E21" s="6" t="n">
        <v>0.18</v>
      </c>
      <c r="F21" s="6" t="n">
        <v>0.2</v>
      </c>
      <c r="G21" s="6" t="n">
        <v>0.02</v>
      </c>
      <c r="H21" s="6" t="n">
        <v>0.09</v>
      </c>
      <c r="I21" s="6" t="n">
        <v>0.09</v>
      </c>
      <c r="J21" s="6" t="n">
        <v>0.08</v>
      </c>
    </row>
    <row r="22" customFormat="false" ht="17.25" hidden="false" customHeight="true" outlineLevel="0" collapsed="false">
      <c r="A22" s="4" t="s">
        <v>309</v>
      </c>
      <c r="B22" s="4" t="s">
        <v>304</v>
      </c>
      <c r="C22" s="6" t="n">
        <v>0.2</v>
      </c>
      <c r="D22" s="6" t="n">
        <v>-0.02</v>
      </c>
      <c r="E22" s="6" t="n">
        <v>-0.05</v>
      </c>
      <c r="F22" s="6" t="n">
        <v>-0.2</v>
      </c>
      <c r="G22" s="6" t="n">
        <v>0.2</v>
      </c>
      <c r="H22" s="6" t="n">
        <v>0.01</v>
      </c>
      <c r="I22" s="6" t="n">
        <v>-0.13</v>
      </c>
      <c r="J22" s="6" t="n">
        <v>-0.19</v>
      </c>
    </row>
    <row r="24" customFormat="false" ht="15" hidden="false" customHeight="false" outlineLevel="0" collapsed="false">
      <c r="A24" s="8" t="s">
        <v>310</v>
      </c>
    </row>
    <row r="25" customFormat="false" ht="23.85" hidden="false" customHeight="false" outlineLevel="0" collapsed="false">
      <c r="A25" s="4" t="s">
        <v>311</v>
      </c>
      <c r="B25" s="7"/>
      <c r="C25" s="6" t="n">
        <f aca="false">MAX(MAX(C5:C13),-MIN(C5:C13))</f>
        <v>0.89</v>
      </c>
      <c r="D25" s="6" t="n">
        <f aca="false">MAX(MAX(D5:D13),-MIN(D5:D13))</f>
        <v>0.47</v>
      </c>
      <c r="E25" s="6" t="n">
        <f aca="false">MAX(MAX(E5:E13),-MIN(E5:E13))</f>
        <v>0.26</v>
      </c>
      <c r="F25" s="6" t="n">
        <f aca="false">MAX(MAX(F5:F13),-MIN(F5:F13))</f>
        <v>0</v>
      </c>
      <c r="G25" s="6" t="n">
        <f aca="false">MAX(MAX(G5:G11),-MIN(G5:G11))</f>
        <v>0.89</v>
      </c>
      <c r="H25" s="6" t="n">
        <f aca="false">MAX(MAX(H5:H11),-MIN(H5:H11))</f>
        <v>0.5</v>
      </c>
      <c r="I25" s="6" t="n">
        <f aca="false">MAX(MAX(I5:I11),-MIN(I5:I11))</f>
        <v>0.15</v>
      </c>
      <c r="J25" s="6" t="n">
        <f aca="false">MAX(MAX(J5:J11),-MIN(J5:J11))</f>
        <v>0</v>
      </c>
    </row>
    <row r="26" customFormat="false" ht="23.85" hidden="false" customHeight="false" outlineLevel="0" collapsed="false">
      <c r="A26" s="4" t="s">
        <v>312</v>
      </c>
      <c r="B26" s="7"/>
      <c r="C26" s="6" t="n">
        <f aca="false">MAX(MAX(C17:C22),-MIN(C17:C22))</f>
        <v>0.3</v>
      </c>
      <c r="D26" s="6" t="n">
        <f aca="false">MAX(MAX(D17:D22),-MIN(D17:D22))</f>
        <v>0.26</v>
      </c>
      <c r="E26" s="6" t="n">
        <f aca="false">MAX(MAX(E17:E22),-MIN(E17:E22))</f>
        <v>0.33</v>
      </c>
      <c r="F26" s="6" t="n">
        <f aca="false">MAX(MAX(F17:F22),-MIN(F17:F22))</f>
        <v>0.39</v>
      </c>
      <c r="G26" s="6" t="n">
        <f aca="false">MAX(MAX(G12:G13),MAX(G17:G22),-MIN(G12:G13),-MIN(G17:G22))</f>
        <v>0.3</v>
      </c>
      <c r="H26" s="6" t="n">
        <f aca="false">MAX(MAX(H12:H13),MAX(H17:H22),-MIN(H12:H13),-MIN(H17:H22))</f>
        <v>0.49</v>
      </c>
      <c r="I26" s="6" t="n">
        <f aca="false">MAX(MAX(I12:I13),MAX(I17:I22),-MIN(I12:I13),-MIN(I17:I22))</f>
        <v>0.57</v>
      </c>
      <c r="J26" s="6" t="n">
        <f aca="false">MAX(MAX(J12:J13),MAX(J17:J22),-MIN(J12:J13),-MIN(J17:J22))</f>
        <v>0.61</v>
      </c>
    </row>
    <row r="27" customFormat="false" ht="23.85" hidden="false" customHeight="false" outlineLevel="0" collapsed="false">
      <c r="A27" s="4" t="s">
        <v>313</v>
      </c>
      <c r="B27" s="7"/>
      <c r="C27" s="7" t="n">
        <f aca="false">SUMPRODUCT(--(ABS(C5:C13)&gt;0.1))</f>
        <v>7</v>
      </c>
      <c r="D27" s="7" t="n">
        <f aca="false">SUMPRODUCT(--(ABS(D5:D13)&gt;0.1))</f>
        <v>6</v>
      </c>
      <c r="E27" s="7" t="n">
        <f aca="false">SUMPRODUCT(--(ABS(E5:E13)&gt;0.1))</f>
        <v>6</v>
      </c>
      <c r="F27" s="7" t="n">
        <f aca="false">SUMPRODUCT(--(ABS(F5:F13)&gt;0.1))</f>
        <v>0</v>
      </c>
      <c r="G27" s="7" t="n">
        <f aca="false">SUMPRODUCT(--(ABS(G5:G11)&gt;0.1))</f>
        <v>5</v>
      </c>
      <c r="H27" s="7" t="n">
        <f aca="false">SUMPRODUCT(--(ABS(H5:H11)&gt;0.1))</f>
        <v>5</v>
      </c>
      <c r="I27" s="7" t="n">
        <f aca="false">SUMPRODUCT(--(ABS(I5:I11)&gt;0.1))</f>
        <v>5</v>
      </c>
      <c r="J27" s="7" t="n">
        <f aca="false">SUMPRODUCT(--(ABS(J5:J11)&gt;0.1))</f>
        <v>0</v>
      </c>
    </row>
    <row r="28" customFormat="false" ht="23.85" hidden="false" customHeight="false" outlineLevel="0" collapsed="false">
      <c r="A28" s="4" t="s">
        <v>314</v>
      </c>
      <c r="B28" s="7"/>
      <c r="C28" s="7" t="n">
        <f aca="false">SUMPRODUCT(--(ABS(C17:C22)&gt;0.1))</f>
        <v>4</v>
      </c>
      <c r="D28" s="7" t="n">
        <f aca="false">SUMPRODUCT(--(ABS(D17:D22)&gt;0.1))</f>
        <v>5</v>
      </c>
      <c r="E28" s="7" t="n">
        <f aca="false">SUMPRODUCT(--(ABS(E17:E22)&gt;0.1))</f>
        <v>4</v>
      </c>
      <c r="F28" s="7" t="n">
        <f aca="false">SUMPRODUCT(--(ABS(F17:F22)&gt;0.1))</f>
        <v>5</v>
      </c>
      <c r="G28" s="7" t="n">
        <f aca="false">SUMPRODUCT(--(ABS(G12:G13)&gt;0.1))+SUMPRODUCT(--(ABS(G17:G22)&gt;0.1))</f>
        <v>6</v>
      </c>
      <c r="H28" s="7" t="n">
        <f aca="false">SUMPRODUCT(--(ABS(H12:H13)&gt;0.1))+SUMPRODUCT(--(ABS(H17:H22)&gt;0.1))</f>
        <v>6</v>
      </c>
      <c r="I28" s="7" t="n">
        <f aca="false">SUMPRODUCT(--(ABS(I12:I13)&gt;0.1))+SUMPRODUCT(--(ABS(I17:I22)&gt;0.1))</f>
        <v>5</v>
      </c>
      <c r="J28" s="7" t="n">
        <f aca="false">SUMPRODUCT(--(ABS(J12:J13)&gt;0.1))+SUMPRODUCT(--(ABS(J17:J22)&gt;0.1))</f>
        <v>5</v>
      </c>
    </row>
    <row r="29" customFormat="false" ht="15" hidden="false" customHeight="false" outlineLevel="0" collapsed="false">
      <c r="A29" s="4" t="s">
        <v>315</v>
      </c>
      <c r="B29" s="7"/>
      <c r="C29" s="7"/>
      <c r="D29" s="7"/>
      <c r="E29" s="7" t="n">
        <v>53.4</v>
      </c>
      <c r="F29" s="7" t="n">
        <v>37.7</v>
      </c>
      <c r="G29" s="7"/>
      <c r="H29" s="7"/>
      <c r="I29" s="7" t="n">
        <v>49.2</v>
      </c>
      <c r="J29" s="7" t="n">
        <v>52.1</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5" min="3" style="0" width="11"/>
    <col collapsed="false" customWidth="true" hidden="false" outlineLevel="0" max="6" min="6" style="0" width="9"/>
    <col collapsed="false" customWidth="true" hidden="false" outlineLevel="0" max="7" min="7" style="0" width="7"/>
    <col collapsed="false" customWidth="true" hidden="false" outlineLevel="0" max="8" min="8" style="0" width="11"/>
    <col collapsed="false" customWidth="true" hidden="false" outlineLevel="0" max="9" min="9" style="0" width="9"/>
    <col collapsed="false" customWidth="true" hidden="false" outlineLevel="0" max="10" min="10" style="0" width="7"/>
    <col collapsed="false" customWidth="true" hidden="false" outlineLevel="0" max="11" min="11" style="0" width="11"/>
    <col collapsed="false" customWidth="true" hidden="false" outlineLevel="0" max="12" min="12" style="0" width="9"/>
    <col collapsed="false" customWidth="true" hidden="false" outlineLevel="0" max="13" min="13" style="0" width="7"/>
    <col collapsed="false" customWidth="true" hidden="false" outlineLevel="0" max="14" min="14" style="0" width="11"/>
    <col collapsed="false" customWidth="true" hidden="false" outlineLevel="0" max="15" min="15" style="0" width="9"/>
    <col collapsed="false" customWidth="true" hidden="false" outlineLevel="0" max="16" min="16" style="0" width="7"/>
    <col collapsed="false" customWidth="true" hidden="false" outlineLevel="0" max="17" min="17" style="0" width="11"/>
    <col collapsed="false" customWidth="true" hidden="false" outlineLevel="0" max="18" min="18" style="0" width="9"/>
    <col collapsed="false" customWidth="true" hidden="false" outlineLevel="0" max="19" min="19" style="0" width="7"/>
    <col collapsed="false" customWidth="true" hidden="false" outlineLevel="0" max="20" min="20" style="0" width="11"/>
    <col collapsed="false" customWidth="true" hidden="false" outlineLevel="0" max="21" min="21" style="0" width="9"/>
    <col collapsed="false" customWidth="true" hidden="false" outlineLevel="0" max="22" min="22" style="0" width="7"/>
    <col collapsed="false" customWidth="true" hidden="false" outlineLevel="0" max="24" min="23" style="0" width="11"/>
    <col collapsed="false" customWidth="true" hidden="false" outlineLevel="0" max="25" min="25" style="0" width="9"/>
    <col collapsed="false" customWidth="true" hidden="false" outlineLevel="0" max="26" min="26" style="0" width="11"/>
    <col collapsed="false" customWidth="true" hidden="false" outlineLevel="0" max="27" min="27" style="0" width="9"/>
  </cols>
  <sheetData>
    <row r="1" customFormat="false" ht="15" hidden="false" customHeight="false" outlineLevel="0" collapsed="false">
      <c r="A1" s="1" t="s">
        <v>316</v>
      </c>
    </row>
    <row r="2" customFormat="false" ht="43.5" hidden="false" customHeight="true" outlineLevel="0" collapsed="false">
      <c r="A2" s="2" t="s">
        <v>317</v>
      </c>
      <c r="B2" s="2"/>
      <c r="C2" s="2"/>
      <c r="D2" s="2"/>
      <c r="E2" s="2"/>
      <c r="F2" s="2"/>
      <c r="G2" s="2"/>
      <c r="H2" s="2"/>
      <c r="I2" s="2"/>
      <c r="J2" s="2"/>
      <c r="K2" s="2"/>
      <c r="L2" s="2"/>
      <c r="M2" s="2"/>
      <c r="N2" s="2"/>
      <c r="O2" s="2"/>
      <c r="P2" s="2"/>
      <c r="Q2" s="2"/>
      <c r="R2" s="2"/>
      <c r="S2" s="2"/>
      <c r="T2" s="2"/>
    </row>
    <row r="4" customFormat="false" ht="69.75" hidden="false" customHeight="true" outlineLevel="0" collapsed="false">
      <c r="A4" s="3" t="s">
        <v>3</v>
      </c>
      <c r="B4" s="3" t="s">
        <v>318</v>
      </c>
      <c r="C4" s="3" t="s">
        <v>319</v>
      </c>
      <c r="D4" s="3" t="s">
        <v>320</v>
      </c>
      <c r="E4" s="3" t="s">
        <v>119</v>
      </c>
      <c r="F4" s="3" t="s">
        <v>120</v>
      </c>
      <c r="G4" s="3" t="s">
        <v>321</v>
      </c>
      <c r="H4" s="3" t="s">
        <v>121</v>
      </c>
      <c r="I4" s="3" t="s">
        <v>122</v>
      </c>
      <c r="J4" s="3" t="s">
        <v>322</v>
      </c>
      <c r="K4" s="3" t="s">
        <v>123</v>
      </c>
      <c r="L4" s="3" t="s">
        <v>124</v>
      </c>
      <c r="M4" s="3" t="s">
        <v>323</v>
      </c>
      <c r="N4" s="3" t="s">
        <v>125</v>
      </c>
      <c r="O4" s="3" t="s">
        <v>126</v>
      </c>
      <c r="P4" s="3" t="s">
        <v>324</v>
      </c>
      <c r="Q4" s="3" t="s">
        <v>127</v>
      </c>
      <c r="R4" s="3" t="s">
        <v>128</v>
      </c>
      <c r="S4" s="3" t="s">
        <v>325</v>
      </c>
      <c r="T4" s="3" t="s">
        <v>129</v>
      </c>
      <c r="U4" s="3" t="s">
        <v>130</v>
      </c>
      <c r="V4" s="3" t="s">
        <v>326</v>
      </c>
      <c r="W4" s="3" t="s">
        <v>327</v>
      </c>
      <c r="X4" s="3" t="s">
        <v>328</v>
      </c>
      <c r="Y4" s="3" t="s">
        <v>329</v>
      </c>
      <c r="Z4" s="3" t="s">
        <v>330</v>
      </c>
      <c r="AA4" s="3" t="s">
        <v>331</v>
      </c>
    </row>
    <row r="5" customFormat="false" ht="15" hidden="false" customHeight="false" outlineLevel="0" collapsed="false">
      <c r="A5" s="4" t="s">
        <v>18</v>
      </c>
      <c r="B5" s="7" t="s">
        <v>50</v>
      </c>
      <c r="C5" s="7" t="n">
        <v>112</v>
      </c>
      <c r="D5" s="7" t="n">
        <v>93</v>
      </c>
      <c r="E5" s="5" t="n">
        <v>0.324</v>
      </c>
      <c r="F5" s="5" t="n">
        <v>0.071</v>
      </c>
      <c r="G5" s="6" t="n">
        <f aca="false">IF(AND(ISNUMBER(E5),ISNUMBER(F5)),E5/F5,"")</f>
        <v>4.56338028169014</v>
      </c>
      <c r="H5" s="5" t="n">
        <v>0.297</v>
      </c>
      <c r="I5" s="5" t="n">
        <v>0.09</v>
      </c>
      <c r="J5" s="6" t="n">
        <f aca="false">IF(AND(ISNUMBER(H5),ISNUMBER(I5)),H5/I5,"")</f>
        <v>3.3</v>
      </c>
      <c r="K5" s="5" t="n">
        <v>0.285</v>
      </c>
      <c r="L5" s="5" t="n">
        <v>0.099</v>
      </c>
      <c r="M5" s="6" t="n">
        <f aca="false">IF(AND(ISNUMBER(K5),ISNUMBER(L5)),K5/L5,"")</f>
        <v>2.87878787878788</v>
      </c>
      <c r="N5" s="5" t="n">
        <v>0.239</v>
      </c>
      <c r="O5" s="5" t="n">
        <v>0.117</v>
      </c>
      <c r="P5" s="6" t="n">
        <f aca="false">IF(AND(ISNUMBER(N5),ISNUMBER(O5)),N5/O5,"")</f>
        <v>2.04273504273504</v>
      </c>
      <c r="Q5" s="5" t="n">
        <v>0.268</v>
      </c>
      <c r="R5" s="5" t="n">
        <v>0.104</v>
      </c>
      <c r="S5" s="6" t="n">
        <f aca="false">IF(AND(ISNUMBER(Q5),ISNUMBER(R5)),Q5/R5,"")</f>
        <v>2.57692307692308</v>
      </c>
      <c r="T5" s="5" t="n">
        <v>0.265</v>
      </c>
      <c r="U5" s="5" t="n">
        <v>0.16</v>
      </c>
      <c r="V5" s="6" t="n">
        <f aca="false">IF(AND(ISNUMBER(T5),ISNUMBER(U5)),T5/U5,"")</f>
        <v>1.65625</v>
      </c>
      <c r="W5" s="7" t="n">
        <v>48</v>
      </c>
      <c r="X5" s="5" t="n">
        <v>0.251</v>
      </c>
      <c r="Y5" s="5" t="n">
        <v>0.077</v>
      </c>
      <c r="Z5" s="5" t="n">
        <v>0.278</v>
      </c>
      <c r="AA5" s="5" t="n">
        <v>0.055</v>
      </c>
    </row>
    <row r="6" customFormat="false" ht="15" hidden="false" customHeight="false" outlineLevel="0" collapsed="false">
      <c r="A6" s="4" t="s">
        <v>22</v>
      </c>
      <c r="B6" s="7" t="s">
        <v>50</v>
      </c>
      <c r="C6" s="7" t="n">
        <v>103</v>
      </c>
      <c r="D6" s="7" t="n">
        <v>84</v>
      </c>
      <c r="E6" s="5" t="n">
        <v>0.095</v>
      </c>
      <c r="F6" s="5" t="n">
        <v>0.077</v>
      </c>
      <c r="G6" s="6" t="n">
        <f aca="false">IF(AND(ISNUMBER(E6),ISNUMBER(F6)),E6/F6,"")</f>
        <v>1.23376623376623</v>
      </c>
      <c r="H6" s="5" t="n">
        <v>0.086</v>
      </c>
      <c r="I6" s="5" t="n">
        <v>0.088</v>
      </c>
      <c r="J6" s="6" t="n">
        <f aca="false">IF(AND(ISNUMBER(H6),ISNUMBER(I6)),H6/I6,"")</f>
        <v>0.977272727272727</v>
      </c>
      <c r="K6" s="5" t="n">
        <v>0.11</v>
      </c>
      <c r="L6" s="5" t="n">
        <v>0.096</v>
      </c>
      <c r="M6" s="6" t="n">
        <f aca="false">IF(AND(ISNUMBER(K6),ISNUMBER(L6)),K6/L6,"")</f>
        <v>1.14583333333333</v>
      </c>
      <c r="N6" s="5" t="n">
        <v>0.168</v>
      </c>
      <c r="O6" s="5" t="n">
        <v>0.106</v>
      </c>
      <c r="P6" s="6" t="n">
        <f aca="false">IF(AND(ISNUMBER(N6),ISNUMBER(O6)),N6/O6,"")</f>
        <v>1.58490566037736</v>
      </c>
      <c r="Q6" s="5" t="n">
        <v>0.149</v>
      </c>
      <c r="R6" s="5" t="n">
        <v>0.096</v>
      </c>
      <c r="S6" s="6" t="n">
        <f aca="false">IF(AND(ISNUMBER(Q6),ISNUMBER(R6)),Q6/R6,"")</f>
        <v>1.55208333333333</v>
      </c>
      <c r="T6" s="5" t="n">
        <v>0.107</v>
      </c>
      <c r="U6" s="5" t="n">
        <v>0.141</v>
      </c>
      <c r="V6" s="6" t="n">
        <f aca="false">IF(AND(ISNUMBER(T6),ISNUMBER(U6)),T6/U6,"")</f>
        <v>0.758865248226951</v>
      </c>
      <c r="W6" s="7" t="n">
        <v>40</v>
      </c>
      <c r="X6" s="5" t="n">
        <v>0.116</v>
      </c>
      <c r="Y6" s="5" t="n">
        <v>0.08</v>
      </c>
      <c r="Z6" s="5" t="n">
        <v>0.038</v>
      </c>
      <c r="AA6" s="5" t="n">
        <v>0.061</v>
      </c>
    </row>
    <row r="7" customFormat="false" ht="15" hidden="false" customHeight="false" outlineLevel="0" collapsed="false">
      <c r="A7" s="4" t="s">
        <v>24</v>
      </c>
      <c r="B7" s="7" t="s">
        <v>50</v>
      </c>
      <c r="C7" s="7" t="n">
        <v>116</v>
      </c>
      <c r="D7" s="7" t="n">
        <v>95</v>
      </c>
      <c r="E7" s="5" t="n">
        <v>0.093</v>
      </c>
      <c r="F7" s="5" t="n">
        <v>0.067</v>
      </c>
      <c r="G7" s="6" t="n">
        <f aca="false">IF(AND(ISNUMBER(E7),ISNUMBER(F7)),E7/F7,"")</f>
        <v>1.38805970149254</v>
      </c>
      <c r="H7" s="5" t="n">
        <v>0.12</v>
      </c>
      <c r="I7" s="5" t="n">
        <v>0.082</v>
      </c>
      <c r="J7" s="6" t="n">
        <f aca="false">IF(AND(ISNUMBER(H7),ISNUMBER(I7)),H7/I7,"")</f>
        <v>1.46341463414634</v>
      </c>
      <c r="K7" s="5" t="n">
        <v>0.18</v>
      </c>
      <c r="L7" s="5" t="n">
        <v>0.091</v>
      </c>
      <c r="M7" s="6" t="n">
        <f aca="false">IF(AND(ISNUMBER(K7),ISNUMBER(L7)),K7/L7,"")</f>
        <v>1.97802197802198</v>
      </c>
      <c r="N7" s="5" t="n">
        <v>0.219</v>
      </c>
      <c r="O7" s="5" t="n">
        <v>0.104</v>
      </c>
      <c r="P7" s="6" t="n">
        <f aca="false">IF(AND(ISNUMBER(N7),ISNUMBER(O7)),N7/O7,"")</f>
        <v>2.10576923076923</v>
      </c>
      <c r="Q7" s="5" t="n">
        <v>0.198</v>
      </c>
      <c r="R7" s="5" t="n">
        <v>0.087</v>
      </c>
      <c r="S7" s="6" t="n">
        <f aca="false">IF(AND(ISNUMBER(Q7),ISNUMBER(R7)),Q7/R7,"")</f>
        <v>2.27586206896552</v>
      </c>
      <c r="T7" s="5" t="n">
        <v>0.229</v>
      </c>
      <c r="U7" s="5" t="n">
        <v>0.147</v>
      </c>
      <c r="V7" s="6" t="n">
        <f aca="false">IF(AND(ISNUMBER(T7),ISNUMBER(U7)),T7/U7,"")</f>
        <v>1.5578231292517</v>
      </c>
      <c r="W7" s="7" t="n">
        <v>50</v>
      </c>
      <c r="X7" s="5" t="n">
        <v>0.141</v>
      </c>
      <c r="Y7" s="5" t="n">
        <v>0.07</v>
      </c>
      <c r="Z7" s="5" t="n">
        <v>0.093</v>
      </c>
      <c r="AA7" s="5" t="n">
        <v>0.05</v>
      </c>
    </row>
    <row r="8" customFormat="false" ht="15" hidden="false" customHeight="false" outlineLevel="0" collapsed="false">
      <c r="A8" s="4" t="s">
        <v>26</v>
      </c>
      <c r="B8" s="7" t="s">
        <v>50</v>
      </c>
      <c r="C8" s="7" t="n">
        <v>116</v>
      </c>
      <c r="D8" s="7" t="n">
        <v>95</v>
      </c>
      <c r="E8" s="5" t="s">
        <v>27</v>
      </c>
      <c r="F8" s="5" t="s">
        <v>27</v>
      </c>
      <c r="G8" s="6"/>
      <c r="H8" s="5" t="n">
        <v>0.396</v>
      </c>
      <c r="I8" s="5" t="n">
        <v>0.065</v>
      </c>
      <c r="J8" s="6" t="n">
        <f aca="false">IF(AND(ISNUMBER(H8),ISNUMBER(I8)),H8/I8,"")</f>
        <v>6.09230769230769</v>
      </c>
      <c r="K8" s="5" t="n">
        <v>0.383</v>
      </c>
      <c r="L8" s="5" t="n">
        <v>0.078</v>
      </c>
      <c r="M8" s="6" t="n">
        <f aca="false">IF(AND(ISNUMBER(K8),ISNUMBER(L8)),K8/L8,"")</f>
        <v>4.91025641025641</v>
      </c>
      <c r="N8" s="5" t="n">
        <v>0.298</v>
      </c>
      <c r="O8" s="5" t="n">
        <v>0.092</v>
      </c>
      <c r="P8" s="6" t="n">
        <f aca="false">IF(AND(ISNUMBER(N8),ISNUMBER(O8)),N8/O8,"")</f>
        <v>3.23913043478261</v>
      </c>
      <c r="Q8" s="5" t="n">
        <v>0.316</v>
      </c>
      <c r="R8" s="5" t="n">
        <v>0.083</v>
      </c>
      <c r="S8" s="6" t="n">
        <f aca="false">IF(AND(ISNUMBER(Q8),ISNUMBER(R8)),Q8/R8,"")</f>
        <v>3.80722891566265</v>
      </c>
      <c r="T8" s="5" t="n">
        <v>0.382</v>
      </c>
      <c r="U8" s="5" t="n">
        <v>0.127</v>
      </c>
      <c r="V8" s="6" t="n">
        <f aca="false">IF(AND(ISNUMBER(T8),ISNUMBER(U8)),T8/U8,"")</f>
        <v>3.00787401574803</v>
      </c>
      <c r="W8" s="7" t="n">
        <v>50</v>
      </c>
      <c r="X8" s="5" t="n">
        <v>0.391</v>
      </c>
      <c r="Y8" s="5" t="n">
        <v>0.052</v>
      </c>
      <c r="Z8" s="5" t="n">
        <v>0.497</v>
      </c>
      <c r="AA8" s="5" t="n">
        <v>0.036</v>
      </c>
    </row>
    <row r="9" customFormat="false" ht="15" hidden="false" customHeight="false" outlineLevel="0" collapsed="false">
      <c r="A9" s="4" t="s">
        <v>29</v>
      </c>
      <c r="B9" s="7" t="s">
        <v>50</v>
      </c>
      <c r="C9" s="7" t="n">
        <v>116</v>
      </c>
      <c r="D9" s="7" t="n">
        <v>95</v>
      </c>
      <c r="E9" s="5" t="n">
        <v>0.51</v>
      </c>
      <c r="F9" s="5" t="n">
        <v>0.065</v>
      </c>
      <c r="G9" s="6" t="n">
        <f aca="false">IF(AND(ISNUMBER(E9),ISNUMBER(F9)),E9/F9,"")</f>
        <v>7.84615384615385</v>
      </c>
      <c r="H9" s="5" t="n">
        <v>0.472</v>
      </c>
      <c r="I9" s="5" t="n">
        <v>0.081</v>
      </c>
      <c r="J9" s="6" t="n">
        <f aca="false">IF(AND(ISNUMBER(H9),ISNUMBER(I9)),H9/I9,"")</f>
        <v>5.82716049382716</v>
      </c>
      <c r="K9" s="5" t="n">
        <v>0.484</v>
      </c>
      <c r="L9" s="5" t="n">
        <v>0.086</v>
      </c>
      <c r="M9" s="6" t="n">
        <f aca="false">IF(AND(ISNUMBER(K9),ISNUMBER(L9)),K9/L9,"")</f>
        <v>5.62790697674419</v>
      </c>
      <c r="N9" s="5" t="n">
        <v>0.437</v>
      </c>
      <c r="O9" s="5" t="n">
        <v>0.098</v>
      </c>
      <c r="P9" s="6" t="n">
        <f aca="false">IF(AND(ISNUMBER(N9),ISNUMBER(O9)),N9/O9,"")</f>
        <v>4.45918367346939</v>
      </c>
      <c r="Q9" s="5" t="n">
        <v>0.515</v>
      </c>
      <c r="R9" s="5" t="n">
        <v>0.088</v>
      </c>
      <c r="S9" s="6" t="n">
        <f aca="false">IF(AND(ISNUMBER(Q9),ISNUMBER(R9)),Q9/R9,"")</f>
        <v>5.85227272727273</v>
      </c>
      <c r="T9" s="5" t="n">
        <v>0.411</v>
      </c>
      <c r="U9" s="5" t="n">
        <v>0.129</v>
      </c>
      <c r="V9" s="6" t="n">
        <f aca="false">IF(AND(ISNUMBER(T9),ISNUMBER(U9)),T9/U9,"")</f>
        <v>3.18604651162791</v>
      </c>
      <c r="W9" s="7" t="n">
        <v>50</v>
      </c>
      <c r="X9" s="5" t="n">
        <v>0.5</v>
      </c>
      <c r="Y9" s="5" t="n">
        <v>0.066</v>
      </c>
      <c r="Z9" s="5" t="n">
        <v>0.496</v>
      </c>
      <c r="AA9" s="5" t="n">
        <v>0.047</v>
      </c>
    </row>
    <row r="10" customFormat="false" ht="23.85" hidden="false" customHeight="false" outlineLevel="0" collapsed="false">
      <c r="A10" s="4" t="s">
        <v>31</v>
      </c>
      <c r="B10" s="7" t="s">
        <v>50</v>
      </c>
      <c r="C10" s="7" t="n">
        <v>113</v>
      </c>
      <c r="D10" s="7" t="n">
        <v>93</v>
      </c>
      <c r="E10" s="5" t="n">
        <v>0.141</v>
      </c>
      <c r="F10" s="5" t="n">
        <v>0.058</v>
      </c>
      <c r="G10" s="6" t="n">
        <f aca="false">IF(AND(ISNUMBER(E10),ISNUMBER(F10)),E10/F10,"")</f>
        <v>2.43103448275862</v>
      </c>
      <c r="H10" s="5" t="n">
        <v>0.08</v>
      </c>
      <c r="I10" s="5" t="n">
        <v>0.074</v>
      </c>
      <c r="J10" s="6" t="n">
        <f aca="false">IF(AND(ISNUMBER(H10),ISNUMBER(I10)),H10/I10,"")</f>
        <v>1.08108108108108</v>
      </c>
      <c r="K10" s="5" t="n">
        <v>0.086</v>
      </c>
      <c r="L10" s="5" t="n">
        <v>0.079</v>
      </c>
      <c r="M10" s="6" t="n">
        <f aca="false">IF(AND(ISNUMBER(K10),ISNUMBER(L10)),K10/L10,"")</f>
        <v>1.08860759493671</v>
      </c>
      <c r="N10" s="5" t="n">
        <v>0.077</v>
      </c>
      <c r="O10" s="5" t="n">
        <v>0.103</v>
      </c>
      <c r="P10" s="6" t="n">
        <f aca="false">IF(AND(ISNUMBER(N10),ISNUMBER(O10)),N10/O10,"")</f>
        <v>0.747572815533981</v>
      </c>
      <c r="Q10" s="5" t="n">
        <v>0.086</v>
      </c>
      <c r="R10" s="5" t="n">
        <v>0.084</v>
      </c>
      <c r="S10" s="6" t="n">
        <f aca="false">IF(AND(ISNUMBER(Q10),ISNUMBER(R10)),Q10/R10,"")</f>
        <v>1.02380952380952</v>
      </c>
      <c r="T10" s="5" t="n">
        <v>0.004</v>
      </c>
      <c r="U10" s="5" t="n">
        <v>0.128</v>
      </c>
      <c r="V10" s="6" t="n">
        <f aca="false">IF(AND(ISNUMBER(T10),ISNUMBER(U10)),T10/U10,"")</f>
        <v>0.03125</v>
      </c>
      <c r="W10" s="7" t="n">
        <v>47</v>
      </c>
      <c r="X10" s="5" t="n">
        <v>0.123</v>
      </c>
      <c r="Y10" s="5" t="n">
        <v>0.064</v>
      </c>
      <c r="Z10" s="5" t="n">
        <v>0.131</v>
      </c>
      <c r="AA10" s="5" t="n">
        <v>0.043</v>
      </c>
    </row>
    <row r="11" customFormat="false" ht="15" hidden="false" customHeight="false" outlineLevel="0" collapsed="false">
      <c r="A11" s="4" t="s">
        <v>33</v>
      </c>
      <c r="B11" s="7" t="s">
        <v>50</v>
      </c>
      <c r="C11" s="7" t="n">
        <v>116</v>
      </c>
      <c r="D11" s="7" t="n">
        <v>94</v>
      </c>
      <c r="E11" s="5" t="s">
        <v>27</v>
      </c>
      <c r="F11" s="5" t="s">
        <v>27</v>
      </c>
      <c r="G11" s="6"/>
      <c r="H11" s="5" t="n">
        <v>0.074</v>
      </c>
      <c r="I11" s="5" t="n">
        <v>0.078</v>
      </c>
      <c r="J11" s="6" t="n">
        <f aca="false">IF(AND(ISNUMBER(H11),ISNUMBER(I11)),H11/I11,"")</f>
        <v>0.948717948717949</v>
      </c>
      <c r="K11" s="5" t="n">
        <v>0.105</v>
      </c>
      <c r="L11" s="5" t="n">
        <v>0.091</v>
      </c>
      <c r="M11" s="6" t="n">
        <f aca="false">IF(AND(ISNUMBER(K11),ISNUMBER(L11)),K11/L11,"")</f>
        <v>1.15384615384615</v>
      </c>
      <c r="N11" s="5" t="n">
        <v>0.145</v>
      </c>
      <c r="O11" s="5" t="n">
        <v>0.1</v>
      </c>
      <c r="P11" s="6" t="n">
        <f aca="false">IF(AND(ISNUMBER(N11),ISNUMBER(O11)),N11/O11,"")</f>
        <v>1.45</v>
      </c>
      <c r="Q11" s="5" t="n">
        <v>0.155</v>
      </c>
      <c r="R11" s="5" t="n">
        <v>0.092</v>
      </c>
      <c r="S11" s="6" t="n">
        <f aca="false">IF(AND(ISNUMBER(Q11),ISNUMBER(R11)),Q11/R11,"")</f>
        <v>1.68478260869565</v>
      </c>
      <c r="T11" s="5" t="n">
        <v>0.009</v>
      </c>
      <c r="U11" s="5" t="n">
        <v>0.126</v>
      </c>
      <c r="V11" s="6" t="n">
        <f aca="false">IF(AND(ISNUMBER(T11),ISNUMBER(U11)),T11/U11,"")</f>
        <v>0.0714285714285714</v>
      </c>
      <c r="W11" s="7" t="n">
        <v>50</v>
      </c>
      <c r="X11" s="5" t="n">
        <v>0.132</v>
      </c>
      <c r="Y11" s="5" t="n">
        <v>0.067</v>
      </c>
      <c r="Z11" s="5" t="n">
        <v>0.167</v>
      </c>
      <c r="AA11" s="5" t="n">
        <v>0.046</v>
      </c>
    </row>
    <row r="12" customFormat="false" ht="23.85" hidden="false" customHeight="false" outlineLevel="0" collapsed="false">
      <c r="A12" s="4" t="s">
        <v>35</v>
      </c>
      <c r="B12" s="7" t="s">
        <v>50</v>
      </c>
      <c r="C12" s="7" t="n">
        <v>116</v>
      </c>
      <c r="D12" s="7" t="n">
        <v>94</v>
      </c>
      <c r="E12" s="5" t="s">
        <v>27</v>
      </c>
      <c r="F12" s="5" t="s">
        <v>27</v>
      </c>
      <c r="G12" s="6"/>
      <c r="H12" s="5" t="n">
        <v>-0.008</v>
      </c>
      <c r="I12" s="5" t="n">
        <v>0.088</v>
      </c>
      <c r="J12" s="6" t="n">
        <f aca="false">IF(AND(ISNUMBER(H12),ISNUMBER(I12)),H12/I12,"")</f>
        <v>-0.0909090909090909</v>
      </c>
      <c r="K12" s="5" t="n">
        <v>0.075</v>
      </c>
      <c r="L12" s="5" t="n">
        <v>0.101</v>
      </c>
      <c r="M12" s="6" t="n">
        <f aca="false">IF(AND(ISNUMBER(K12),ISNUMBER(L12)),K12/L12,"")</f>
        <v>0.742574257425743</v>
      </c>
      <c r="N12" s="5" t="n">
        <v>0.085</v>
      </c>
      <c r="O12" s="5" t="n">
        <v>0.123</v>
      </c>
      <c r="P12" s="6" t="n">
        <f aca="false">IF(AND(ISNUMBER(N12),ISNUMBER(O12)),N12/O12,"")</f>
        <v>0.691056910569106</v>
      </c>
      <c r="Q12" s="5" t="n">
        <v>0.099</v>
      </c>
      <c r="R12" s="5" t="n">
        <v>0.105</v>
      </c>
      <c r="S12" s="6" t="n">
        <f aca="false">IF(AND(ISNUMBER(Q12),ISNUMBER(R12)),Q12/R12,"")</f>
        <v>0.942857142857143</v>
      </c>
      <c r="T12" s="5" t="n">
        <v>0.034</v>
      </c>
      <c r="U12" s="5" t="n">
        <v>0.154</v>
      </c>
      <c r="V12" s="6" t="n">
        <f aca="false">IF(AND(ISNUMBER(T12),ISNUMBER(U12)),T12/U12,"")</f>
        <v>0.220779220779221</v>
      </c>
      <c r="W12" s="7" t="n">
        <v>50</v>
      </c>
      <c r="X12" s="5" t="n">
        <v>-0.015</v>
      </c>
      <c r="Y12" s="5" t="n">
        <v>0.073</v>
      </c>
      <c r="Z12" s="5" t="n">
        <v>-0.082</v>
      </c>
      <c r="AA12" s="5" t="n">
        <v>0.053</v>
      </c>
    </row>
    <row r="13" customFormat="false" ht="15" hidden="false" customHeight="false" outlineLevel="0" collapsed="false">
      <c r="A13" s="4" t="s">
        <v>38</v>
      </c>
      <c r="B13" s="7" t="s">
        <v>50</v>
      </c>
      <c r="C13" s="7" t="n">
        <v>107</v>
      </c>
      <c r="D13" s="7" t="n">
        <v>86</v>
      </c>
      <c r="E13" s="5" t="n">
        <v>0.716</v>
      </c>
      <c r="F13" s="5" t="n">
        <v>0.126</v>
      </c>
      <c r="G13" s="6" t="n">
        <f aca="false">IF(AND(ISNUMBER(E13),ISNUMBER(F13)),E13/F13,"")</f>
        <v>5.68253968253968</v>
      </c>
      <c r="H13" s="5" t="n">
        <v>0.711</v>
      </c>
      <c r="I13" s="5" t="n">
        <v>0.179</v>
      </c>
      <c r="J13" s="6" t="n">
        <f aca="false">IF(AND(ISNUMBER(H13),ISNUMBER(I13)),H13/I13,"")</f>
        <v>3.97206703910615</v>
      </c>
      <c r="K13" s="5" t="n">
        <v>0.536</v>
      </c>
      <c r="L13" s="5" t="n">
        <v>0.184</v>
      </c>
      <c r="M13" s="6" t="n">
        <f aca="false">IF(AND(ISNUMBER(K13),ISNUMBER(L13)),K13/L13,"")</f>
        <v>2.91304347826087</v>
      </c>
      <c r="N13" s="5" t="n">
        <v>0.627</v>
      </c>
      <c r="O13" s="5" t="n">
        <v>0.262</v>
      </c>
      <c r="P13" s="6" t="n">
        <f aca="false">IF(AND(ISNUMBER(N13),ISNUMBER(O13)),N13/O13,"")</f>
        <v>2.39312977099237</v>
      </c>
      <c r="Q13" s="5" t="n">
        <v>0.587</v>
      </c>
      <c r="R13" s="5" t="n">
        <v>0.17</v>
      </c>
      <c r="S13" s="6" t="n">
        <f aca="false">IF(AND(ISNUMBER(Q13),ISNUMBER(R13)),Q13/R13,"")</f>
        <v>3.45294117647059</v>
      </c>
      <c r="T13" s="5" t="n">
        <v>0.709</v>
      </c>
      <c r="U13" s="5" t="n">
        <v>0.298</v>
      </c>
      <c r="V13" s="6" t="n">
        <f aca="false">IF(AND(ISNUMBER(T13),ISNUMBER(U13)),T13/U13,"")</f>
        <v>2.37919463087248</v>
      </c>
      <c r="W13" s="7" t="n">
        <v>41</v>
      </c>
      <c r="X13" s="5" t="n">
        <v>0.771</v>
      </c>
      <c r="Y13" s="5" t="n">
        <v>0.139</v>
      </c>
      <c r="Z13" s="5" t="n">
        <v>0.729</v>
      </c>
      <c r="AA13" s="5" t="n">
        <v>0.086</v>
      </c>
    </row>
    <row r="14" customFormat="false" ht="15" hidden="false" customHeight="false" outlineLevel="0" collapsed="false">
      <c r="A14" s="4" t="s">
        <v>41</v>
      </c>
      <c r="B14" s="7" t="s">
        <v>50</v>
      </c>
      <c r="C14" s="7" t="n">
        <v>116</v>
      </c>
      <c r="D14" s="7" t="n">
        <v>95</v>
      </c>
      <c r="E14" s="5" t="n">
        <v>-3.243</v>
      </c>
      <c r="F14" s="5" t="n">
        <v>0.386</v>
      </c>
      <c r="G14" s="6" t="n">
        <f aca="false">IF(AND(ISNUMBER(E14),ISNUMBER(F14)),E14/F14,"")</f>
        <v>-8.40155440414508</v>
      </c>
      <c r="H14" s="5" t="n">
        <v>-3.139</v>
      </c>
      <c r="I14" s="5" t="n">
        <v>0.479</v>
      </c>
      <c r="J14" s="6" t="n">
        <f aca="false">IF(AND(ISNUMBER(H14),ISNUMBER(I14)),H14/I14,"")</f>
        <v>-6.55323590814196</v>
      </c>
      <c r="K14" s="5" t="n">
        <v>-3.442</v>
      </c>
      <c r="L14" s="5" t="n">
        <v>0.409</v>
      </c>
      <c r="M14" s="6" t="n">
        <f aca="false">IF(AND(ISNUMBER(K14),ISNUMBER(L14)),K14/L14,"")</f>
        <v>-8.41564792176039</v>
      </c>
      <c r="N14" s="5" t="n">
        <v>-3.189</v>
      </c>
      <c r="O14" s="5" t="n">
        <v>0.479</v>
      </c>
      <c r="P14" s="6" t="n">
        <f aca="false">IF(AND(ISNUMBER(N14),ISNUMBER(O14)),N14/O14,"")</f>
        <v>-6.65762004175365</v>
      </c>
      <c r="Q14" s="5" t="n">
        <v>-3.415</v>
      </c>
      <c r="R14" s="5" t="n">
        <v>0.426</v>
      </c>
      <c r="S14" s="6" t="n">
        <f aca="false">IF(AND(ISNUMBER(Q14),ISNUMBER(R14)),Q14/R14,"")</f>
        <v>-8.01643192488263</v>
      </c>
      <c r="T14" s="5" t="n">
        <v>-3.204</v>
      </c>
      <c r="U14" s="5" t="n">
        <v>0.676</v>
      </c>
      <c r="V14" s="6" t="n">
        <f aca="false">IF(AND(ISNUMBER(T14),ISNUMBER(U14)),T14/U14,"")</f>
        <v>-4.7396449704142</v>
      </c>
      <c r="W14" s="7" t="n">
        <v>50</v>
      </c>
      <c r="X14" s="5" t="n">
        <v>-3.185</v>
      </c>
      <c r="Y14" s="5" t="n">
        <v>0.407</v>
      </c>
      <c r="Z14" s="5" t="n">
        <v>-3.218</v>
      </c>
      <c r="AA14" s="5" t="n">
        <v>0.291</v>
      </c>
    </row>
    <row r="15" customFormat="false" ht="15" hidden="false" customHeight="false" outlineLevel="0" collapsed="false">
      <c r="A15" s="4" t="s">
        <v>44</v>
      </c>
      <c r="B15" s="7" t="s">
        <v>50</v>
      </c>
      <c r="C15" s="7" t="n">
        <v>116</v>
      </c>
      <c r="D15" s="7" t="n">
        <v>95</v>
      </c>
      <c r="E15" s="5" t="n">
        <v>-1.036</v>
      </c>
      <c r="F15" s="5" t="n">
        <v>0.399</v>
      </c>
      <c r="G15" s="6" t="n">
        <f aca="false">IF(AND(ISNUMBER(E15),ISNUMBER(F15)),E15/F15,"")</f>
        <v>-2.59649122807018</v>
      </c>
      <c r="H15" s="5" t="n">
        <v>-1.082</v>
      </c>
      <c r="I15" s="5" t="n">
        <v>0.509</v>
      </c>
      <c r="J15" s="6" t="n">
        <f aca="false">IF(AND(ISNUMBER(H15),ISNUMBER(I15)),H15/I15,"")</f>
        <v>-2.12573673870334</v>
      </c>
      <c r="K15" s="5" t="n">
        <v>-1.441</v>
      </c>
      <c r="L15" s="5" t="n">
        <v>0.431</v>
      </c>
      <c r="M15" s="6" t="n">
        <f aca="false">IF(AND(ISNUMBER(K15),ISNUMBER(L15)),K15/L15,"")</f>
        <v>-3.34338747099768</v>
      </c>
      <c r="N15" s="5" t="n">
        <v>-1.719</v>
      </c>
      <c r="O15" s="5" t="n">
        <v>0.566</v>
      </c>
      <c r="P15" s="6" t="n">
        <f aca="false">IF(AND(ISNUMBER(N15),ISNUMBER(O15)),N15/O15,"")</f>
        <v>-3.03710247349823</v>
      </c>
      <c r="Q15" s="5" t="n">
        <v>-1.458</v>
      </c>
      <c r="R15" s="5" t="n">
        <v>0.476</v>
      </c>
      <c r="S15" s="6" t="n">
        <f aca="false">IF(AND(ISNUMBER(Q15),ISNUMBER(R15)),Q15/R15,"")</f>
        <v>-3.06302521008403</v>
      </c>
      <c r="T15" s="5" t="n">
        <v>-1.04</v>
      </c>
      <c r="U15" s="5" t="n">
        <v>0.852</v>
      </c>
      <c r="V15" s="6" t="n">
        <f aca="false">IF(AND(ISNUMBER(T15),ISNUMBER(U15)),T15/U15,"")</f>
        <v>-1.22065727699531</v>
      </c>
      <c r="W15" s="7" t="n">
        <v>50</v>
      </c>
      <c r="X15" s="5" t="n">
        <v>-1.188</v>
      </c>
      <c r="Y15" s="5" t="n">
        <v>0.421</v>
      </c>
      <c r="Z15" s="5" t="n">
        <v>-0.884</v>
      </c>
      <c r="AA15" s="5" t="n">
        <v>0.314</v>
      </c>
    </row>
    <row r="16" customFormat="false" ht="15" hidden="false" customHeight="false" outlineLevel="0" collapsed="false">
      <c r="A16" s="4" t="s">
        <v>46</v>
      </c>
      <c r="B16" s="7" t="s">
        <v>50</v>
      </c>
      <c r="C16" s="7" t="n">
        <v>116</v>
      </c>
      <c r="D16" s="7" t="n">
        <v>94</v>
      </c>
      <c r="E16" s="5" t="n">
        <v>-0.494</v>
      </c>
      <c r="F16" s="5" t="n">
        <v>0.38</v>
      </c>
      <c r="G16" s="6" t="n">
        <f aca="false">IF(AND(ISNUMBER(E16),ISNUMBER(F16)),E16/F16,"")</f>
        <v>-1.3</v>
      </c>
      <c r="H16" s="5" t="n">
        <v>-0.506</v>
      </c>
      <c r="I16" s="5" t="n">
        <v>0.457</v>
      </c>
      <c r="J16" s="6" t="n">
        <f aca="false">IF(AND(ISNUMBER(H16),ISNUMBER(I16)),H16/I16,"")</f>
        <v>-1.10722100656455</v>
      </c>
      <c r="K16" s="5" t="n">
        <v>-0.847</v>
      </c>
      <c r="L16" s="5" t="n">
        <v>0.494</v>
      </c>
      <c r="M16" s="6" t="n">
        <f aca="false">IF(AND(ISNUMBER(K16),ISNUMBER(L16)),K16/L16,"")</f>
        <v>-1.71457489878543</v>
      </c>
      <c r="N16" s="5" t="n">
        <v>-0.901</v>
      </c>
      <c r="O16" s="5" t="n">
        <v>0.608</v>
      </c>
      <c r="P16" s="6" t="n">
        <f aca="false">IF(AND(ISNUMBER(N16),ISNUMBER(O16)),N16/O16,"")</f>
        <v>-1.48190789473684</v>
      </c>
      <c r="Q16" s="5" t="n">
        <v>-0.891</v>
      </c>
      <c r="R16" s="5" t="n">
        <v>0.56</v>
      </c>
      <c r="S16" s="6" t="n">
        <f aca="false">IF(AND(ISNUMBER(Q16),ISNUMBER(R16)),Q16/R16,"")</f>
        <v>-1.59107142857143</v>
      </c>
      <c r="T16" s="5" t="n">
        <v>0.124</v>
      </c>
      <c r="U16" s="5" t="n">
        <v>0.836</v>
      </c>
      <c r="V16" s="6" t="n">
        <f aca="false">IF(AND(ISNUMBER(T16),ISNUMBER(U16)),T16/U16,"")</f>
        <v>0.148325358851675</v>
      </c>
      <c r="W16" s="7" t="n">
        <v>50</v>
      </c>
      <c r="X16" s="5" t="n">
        <v>-0.574</v>
      </c>
      <c r="Y16" s="5" t="n">
        <v>0.395</v>
      </c>
      <c r="Z16" s="5" t="n">
        <v>-0.515</v>
      </c>
      <c r="AA16" s="5" t="n">
        <v>0.29</v>
      </c>
    </row>
    <row r="18" customFormat="false" ht="15" hidden="false" customHeight="false" outlineLevel="0" collapsed="false">
      <c r="A18" s="4" t="s">
        <v>18</v>
      </c>
      <c r="B18" s="7" t="s">
        <v>51</v>
      </c>
      <c r="C18" s="7" t="n">
        <v>127</v>
      </c>
      <c r="D18" s="7" t="n">
        <v>103</v>
      </c>
      <c r="E18" s="5" t="n">
        <v>0.26</v>
      </c>
      <c r="F18" s="5" t="n">
        <v>0.066</v>
      </c>
      <c r="G18" s="6" t="n">
        <f aca="false">IF(AND(ISNUMBER(E18),ISNUMBER(F18)),E18/F18,"")</f>
        <v>3.93939393939394</v>
      </c>
      <c r="H18" s="5" t="n">
        <v>0.267</v>
      </c>
      <c r="I18" s="5" t="n">
        <v>0.083</v>
      </c>
      <c r="J18" s="6" t="n">
        <f aca="false">IF(AND(ISNUMBER(H18),ISNUMBER(I18)),H18/I18,"")</f>
        <v>3.21686746987952</v>
      </c>
      <c r="K18" s="5" t="n">
        <v>0.187</v>
      </c>
      <c r="L18" s="5" t="n">
        <v>0.098</v>
      </c>
      <c r="M18" s="6" t="n">
        <f aca="false">IF(AND(ISNUMBER(K18),ISNUMBER(L18)),K18/L18,"")</f>
        <v>1.90816326530612</v>
      </c>
      <c r="N18" s="5" t="n">
        <v>0.175</v>
      </c>
      <c r="O18" s="5" t="n">
        <v>0.107</v>
      </c>
      <c r="P18" s="6" t="n">
        <f aca="false">IF(AND(ISNUMBER(N18),ISNUMBER(O18)),N18/O18,"")</f>
        <v>1.63551401869159</v>
      </c>
      <c r="Q18" s="5" t="n">
        <v>0.173</v>
      </c>
      <c r="R18" s="5" t="n">
        <v>0.09</v>
      </c>
      <c r="S18" s="6" t="n">
        <f aca="false">IF(AND(ISNUMBER(Q18),ISNUMBER(R18)),Q18/R18,"")</f>
        <v>1.92222222222222</v>
      </c>
      <c r="T18" s="5" t="n">
        <v>0.219</v>
      </c>
      <c r="U18" s="5" t="n">
        <v>0.154</v>
      </c>
      <c r="V18" s="6" t="n">
        <f aca="false">IF(AND(ISNUMBER(T18),ISNUMBER(U18)),T18/U18,"")</f>
        <v>1.42207792207792</v>
      </c>
      <c r="W18" s="7" t="n">
        <v>62</v>
      </c>
      <c r="X18" s="5" t="n">
        <v>0.228</v>
      </c>
      <c r="Y18" s="5" t="n">
        <v>0.074</v>
      </c>
      <c r="Z18" s="5" t="n">
        <v>0.278</v>
      </c>
      <c r="AA18" s="5" t="n">
        <v>0.055</v>
      </c>
    </row>
    <row r="19" customFormat="false" ht="15" hidden="false" customHeight="false" outlineLevel="0" collapsed="false">
      <c r="A19" s="4" t="s">
        <v>22</v>
      </c>
      <c r="B19" s="7" t="s">
        <v>51</v>
      </c>
      <c r="C19" s="7" t="n">
        <v>118</v>
      </c>
      <c r="D19" s="7" t="n">
        <v>93</v>
      </c>
      <c r="E19" s="5" t="n">
        <v>0.092</v>
      </c>
      <c r="F19" s="5" t="n">
        <v>0.078</v>
      </c>
      <c r="G19" s="6" t="n">
        <f aca="false">IF(AND(ISNUMBER(E19),ISNUMBER(F19)),E19/F19,"")</f>
        <v>1.17948717948718</v>
      </c>
      <c r="H19" s="5" t="n">
        <v>0.105</v>
      </c>
      <c r="I19" s="5" t="n">
        <v>0.089</v>
      </c>
      <c r="J19" s="6" t="n">
        <f aca="false">IF(AND(ISNUMBER(H19),ISNUMBER(I19)),H19/I19,"")</f>
        <v>1.17977528089888</v>
      </c>
      <c r="K19" s="5" t="n">
        <v>0.153</v>
      </c>
      <c r="L19" s="5" t="n">
        <v>0.091</v>
      </c>
      <c r="M19" s="6" t="n">
        <f aca="false">IF(AND(ISNUMBER(K19),ISNUMBER(L19)),K19/L19,"")</f>
        <v>1.68131868131868</v>
      </c>
      <c r="N19" s="5" t="n">
        <v>0.175</v>
      </c>
      <c r="O19" s="5" t="n">
        <v>0.11</v>
      </c>
      <c r="P19" s="6" t="n">
        <f aca="false">IF(AND(ISNUMBER(N19),ISNUMBER(O19)),N19/O19,"")</f>
        <v>1.59090909090909</v>
      </c>
      <c r="Q19" s="5" t="n">
        <v>0.167</v>
      </c>
      <c r="R19" s="5" t="n">
        <v>0.087</v>
      </c>
      <c r="S19" s="6" t="n">
        <f aca="false">IF(AND(ISNUMBER(Q19),ISNUMBER(R19)),Q19/R19,"")</f>
        <v>1.91954022988506</v>
      </c>
      <c r="T19" s="5" t="n">
        <v>0.132</v>
      </c>
      <c r="U19" s="5" t="n">
        <v>0.138</v>
      </c>
      <c r="V19" s="6" t="n">
        <f aca="false">IF(AND(ISNUMBER(T19),ISNUMBER(U19)),T19/U19,"")</f>
        <v>0.956521739130435</v>
      </c>
      <c r="W19" s="7" t="n">
        <v>51</v>
      </c>
      <c r="X19" s="5" t="n">
        <v>0.124</v>
      </c>
      <c r="Y19" s="5" t="n">
        <v>0.079</v>
      </c>
      <c r="Z19" s="5" t="n">
        <v>0.038</v>
      </c>
      <c r="AA19" s="5" t="n">
        <v>0.061</v>
      </c>
    </row>
    <row r="20" customFormat="false" ht="15" hidden="false" customHeight="false" outlineLevel="0" collapsed="false">
      <c r="A20" s="4" t="s">
        <v>24</v>
      </c>
      <c r="B20" s="7" t="s">
        <v>51</v>
      </c>
      <c r="C20" s="7" t="n">
        <v>132</v>
      </c>
      <c r="D20" s="7" t="n">
        <v>104</v>
      </c>
      <c r="E20" s="5" t="n">
        <v>0.077</v>
      </c>
      <c r="F20" s="5" t="n">
        <v>0.066</v>
      </c>
      <c r="G20" s="6" t="n">
        <f aca="false">IF(AND(ISNUMBER(E20),ISNUMBER(F20)),E20/F20,"")</f>
        <v>1.16666666666667</v>
      </c>
      <c r="H20" s="5" t="n">
        <v>0.098</v>
      </c>
      <c r="I20" s="5" t="n">
        <v>0.082</v>
      </c>
      <c r="J20" s="6" t="n">
        <f aca="false">IF(AND(ISNUMBER(H20),ISNUMBER(I20)),H20/I20,"")</f>
        <v>1.19512195121951</v>
      </c>
      <c r="K20" s="5" t="n">
        <v>0.195</v>
      </c>
      <c r="L20" s="5" t="n">
        <v>0.097</v>
      </c>
      <c r="M20" s="6" t="n">
        <f aca="false">IF(AND(ISNUMBER(K20),ISNUMBER(L20)),K20/L20,"")</f>
        <v>2.01030927835052</v>
      </c>
      <c r="N20" s="5" t="n">
        <v>0.196</v>
      </c>
      <c r="O20" s="5" t="n">
        <v>0.108</v>
      </c>
      <c r="P20" s="6" t="n">
        <f aca="false">IF(AND(ISNUMBER(N20),ISNUMBER(O20)),N20/O20,"")</f>
        <v>1.81481481481481</v>
      </c>
      <c r="Q20" s="5" t="n">
        <v>0.165</v>
      </c>
      <c r="R20" s="5" t="n">
        <v>0.089</v>
      </c>
      <c r="S20" s="6" t="n">
        <f aca="false">IF(AND(ISNUMBER(Q20),ISNUMBER(R20)),Q20/R20,"")</f>
        <v>1.85393258426966</v>
      </c>
      <c r="T20" s="5" t="n">
        <v>0.222</v>
      </c>
      <c r="U20" s="5" t="n">
        <v>0.143</v>
      </c>
      <c r="V20" s="6" t="n">
        <f aca="false">IF(AND(ISNUMBER(T20),ISNUMBER(U20)),T20/U20,"")</f>
        <v>1.55244755244755</v>
      </c>
      <c r="W20" s="7" t="n">
        <v>64</v>
      </c>
      <c r="X20" s="5" t="n">
        <v>0.158</v>
      </c>
      <c r="Y20" s="5" t="n">
        <v>0.071</v>
      </c>
      <c r="Z20" s="5" t="n">
        <v>0.093</v>
      </c>
      <c r="AA20" s="5" t="n">
        <v>0.05</v>
      </c>
    </row>
    <row r="21" customFormat="false" ht="15" hidden="false" customHeight="false" outlineLevel="0" collapsed="false">
      <c r="A21" s="4" t="s">
        <v>26</v>
      </c>
      <c r="B21" s="7" t="s">
        <v>51</v>
      </c>
      <c r="C21" s="7" t="n">
        <v>132</v>
      </c>
      <c r="D21" s="7" t="n">
        <v>104</v>
      </c>
      <c r="E21" s="5" t="s">
        <v>27</v>
      </c>
      <c r="F21" s="5" t="s">
        <v>27</v>
      </c>
      <c r="G21" s="6"/>
      <c r="H21" s="5" t="n">
        <v>0.371</v>
      </c>
      <c r="I21" s="5" t="n">
        <v>0.064</v>
      </c>
      <c r="J21" s="6" t="n">
        <f aca="false">IF(AND(ISNUMBER(H21),ISNUMBER(I21)),H21/I21,"")</f>
        <v>5.796875</v>
      </c>
      <c r="K21" s="5" t="n">
        <v>0.365</v>
      </c>
      <c r="L21" s="5" t="n">
        <v>0.085</v>
      </c>
      <c r="M21" s="6" t="n">
        <f aca="false">IF(AND(ISNUMBER(K21),ISNUMBER(L21)),K21/L21,"")</f>
        <v>4.29411764705882</v>
      </c>
      <c r="N21" s="5" t="n">
        <v>0.27</v>
      </c>
      <c r="O21" s="5" t="n">
        <v>0.096</v>
      </c>
      <c r="P21" s="6" t="n">
        <f aca="false">IF(AND(ISNUMBER(N21),ISNUMBER(O21)),N21/O21,"")</f>
        <v>2.8125</v>
      </c>
      <c r="Q21" s="5" t="n">
        <v>0.354</v>
      </c>
      <c r="R21" s="5" t="n">
        <v>0.081</v>
      </c>
      <c r="S21" s="6" t="n">
        <f aca="false">IF(AND(ISNUMBER(Q21),ISNUMBER(R21)),Q21/R21,"")</f>
        <v>4.37037037037037</v>
      </c>
      <c r="T21" s="5" t="n">
        <v>0.275</v>
      </c>
      <c r="U21" s="5" t="n">
        <v>0.122</v>
      </c>
      <c r="V21" s="6" t="n">
        <f aca="false">IF(AND(ISNUMBER(T21),ISNUMBER(U21)),T21/U21,"")</f>
        <v>2.25409836065574</v>
      </c>
      <c r="W21" s="7" t="n">
        <v>64</v>
      </c>
      <c r="X21" s="5" t="n">
        <v>0.383</v>
      </c>
      <c r="Y21" s="5" t="n">
        <v>0.052</v>
      </c>
      <c r="Z21" s="5" t="n">
        <v>0.497</v>
      </c>
      <c r="AA21" s="5" t="n">
        <v>0.036</v>
      </c>
    </row>
    <row r="22" customFormat="false" ht="15" hidden="false" customHeight="false" outlineLevel="0" collapsed="false">
      <c r="A22" s="4" t="s">
        <v>29</v>
      </c>
      <c r="B22" s="7" t="s">
        <v>51</v>
      </c>
      <c r="C22" s="7" t="n">
        <v>132</v>
      </c>
      <c r="D22" s="7" t="n">
        <v>104</v>
      </c>
      <c r="E22" s="5" t="n">
        <v>0.492</v>
      </c>
      <c r="F22" s="5" t="n">
        <v>0.061</v>
      </c>
      <c r="G22" s="6" t="n">
        <f aca="false">IF(AND(ISNUMBER(E22),ISNUMBER(F22)),E22/F22,"")</f>
        <v>8.0655737704918</v>
      </c>
      <c r="H22" s="5" t="n">
        <v>0.488</v>
      </c>
      <c r="I22" s="5" t="n">
        <v>0.077</v>
      </c>
      <c r="J22" s="6" t="n">
        <f aca="false">IF(AND(ISNUMBER(H22),ISNUMBER(I22)),H22/I22,"")</f>
        <v>6.33766233766234</v>
      </c>
      <c r="K22" s="5" t="n">
        <v>0.472</v>
      </c>
      <c r="L22" s="5" t="n">
        <v>0.089</v>
      </c>
      <c r="M22" s="6" t="n">
        <f aca="false">IF(AND(ISNUMBER(K22),ISNUMBER(L22)),K22/L22,"")</f>
        <v>5.30337078651685</v>
      </c>
      <c r="N22" s="5" t="n">
        <v>0.419</v>
      </c>
      <c r="O22" s="5" t="n">
        <v>0.096</v>
      </c>
      <c r="P22" s="6" t="n">
        <f aca="false">IF(AND(ISNUMBER(N22),ISNUMBER(O22)),N22/O22,"")</f>
        <v>4.36458333333333</v>
      </c>
      <c r="Q22" s="5" t="n">
        <v>0.497</v>
      </c>
      <c r="R22" s="5" t="n">
        <v>0.081</v>
      </c>
      <c r="S22" s="6" t="n">
        <f aca="false">IF(AND(ISNUMBER(Q22),ISNUMBER(R22)),Q22/R22,"")</f>
        <v>6.1358024691358</v>
      </c>
      <c r="T22" s="5" t="n">
        <v>0.425</v>
      </c>
      <c r="U22" s="5" t="n">
        <v>0.12</v>
      </c>
      <c r="V22" s="6" t="n">
        <f aca="false">IF(AND(ISNUMBER(T22),ISNUMBER(U22)),T22/U22,"")</f>
        <v>3.54166666666667</v>
      </c>
      <c r="W22" s="7" t="n">
        <v>64</v>
      </c>
      <c r="X22" s="5" t="n">
        <v>0.497</v>
      </c>
      <c r="Y22" s="5" t="n">
        <v>0.065</v>
      </c>
      <c r="Z22" s="5" t="n">
        <v>0.496</v>
      </c>
      <c r="AA22" s="5" t="n">
        <v>0.047</v>
      </c>
    </row>
    <row r="23" customFormat="false" ht="23.85" hidden="false" customHeight="false" outlineLevel="0" collapsed="false">
      <c r="A23" s="4" t="s">
        <v>31</v>
      </c>
      <c r="B23" s="7" t="s">
        <v>51</v>
      </c>
      <c r="C23" s="7" t="n">
        <v>129</v>
      </c>
      <c r="D23" s="7" t="n">
        <v>102</v>
      </c>
      <c r="E23" s="5" t="n">
        <v>0.181</v>
      </c>
      <c r="F23" s="5" t="n">
        <v>0.054</v>
      </c>
      <c r="G23" s="6" t="n">
        <f aca="false">IF(AND(ISNUMBER(E23),ISNUMBER(F23)),E23/F23,"")</f>
        <v>3.35185185185185</v>
      </c>
      <c r="H23" s="5" t="n">
        <v>0.136</v>
      </c>
      <c r="I23" s="5" t="n">
        <v>0.073</v>
      </c>
      <c r="J23" s="6" t="n">
        <f aca="false">IF(AND(ISNUMBER(H23),ISNUMBER(I23)),H23/I23,"")</f>
        <v>1.86301369863014</v>
      </c>
      <c r="K23" s="5" t="n">
        <v>0.196</v>
      </c>
      <c r="L23" s="5" t="n">
        <v>0.093</v>
      </c>
      <c r="M23" s="6" t="n">
        <f aca="false">IF(AND(ISNUMBER(K23),ISNUMBER(L23)),K23/L23,"")</f>
        <v>2.10752688172043</v>
      </c>
      <c r="N23" s="5" t="n">
        <v>0.167</v>
      </c>
      <c r="O23" s="5" t="n">
        <v>0.109</v>
      </c>
      <c r="P23" s="6" t="n">
        <f aca="false">IF(AND(ISNUMBER(N23),ISNUMBER(O23)),N23/O23,"")</f>
        <v>1.53211009174312</v>
      </c>
      <c r="Q23" s="5" t="n">
        <v>0.203</v>
      </c>
      <c r="R23" s="5" t="n">
        <v>0.091</v>
      </c>
      <c r="S23" s="6" t="n">
        <f aca="false">IF(AND(ISNUMBER(Q23),ISNUMBER(R23)),Q23/R23,"")</f>
        <v>2.23076923076923</v>
      </c>
      <c r="T23" s="5" t="n">
        <v>0.078</v>
      </c>
      <c r="U23" s="5" t="n">
        <v>0.124</v>
      </c>
      <c r="V23" s="6" t="n">
        <f aca="false">IF(AND(ISNUMBER(T23),ISNUMBER(U23)),T23/U23,"")</f>
        <v>0.629032258064516</v>
      </c>
      <c r="W23" s="7" t="n">
        <v>61</v>
      </c>
      <c r="X23" s="5" t="n">
        <v>0.182</v>
      </c>
      <c r="Y23" s="5" t="n">
        <v>0.062</v>
      </c>
      <c r="Z23" s="5" t="n">
        <v>0.131</v>
      </c>
      <c r="AA23" s="5" t="n">
        <v>0.043</v>
      </c>
    </row>
    <row r="24" customFormat="false" ht="15" hidden="false" customHeight="false" outlineLevel="0" collapsed="false">
      <c r="A24" s="4" t="s">
        <v>33</v>
      </c>
      <c r="B24" s="7" t="s">
        <v>51</v>
      </c>
      <c r="C24" s="7" t="n">
        <v>132</v>
      </c>
      <c r="D24" s="7" t="n">
        <v>103</v>
      </c>
      <c r="E24" s="5" t="s">
        <v>27</v>
      </c>
      <c r="F24" s="5" t="s">
        <v>27</v>
      </c>
      <c r="G24" s="6"/>
      <c r="H24" s="5" t="n">
        <v>0.099</v>
      </c>
      <c r="I24" s="5" t="n">
        <v>0.076</v>
      </c>
      <c r="J24" s="6" t="n">
        <f aca="false">IF(AND(ISNUMBER(H24),ISNUMBER(I24)),H24/I24,"")</f>
        <v>1.30263157894737</v>
      </c>
      <c r="K24" s="5" t="n">
        <v>0.201</v>
      </c>
      <c r="L24" s="5" t="n">
        <v>0.09</v>
      </c>
      <c r="M24" s="6" t="n">
        <f aca="false">IF(AND(ISNUMBER(K24),ISNUMBER(L24)),K24/L24,"")</f>
        <v>2.23333333333333</v>
      </c>
      <c r="N24" s="5" t="n">
        <v>0.204</v>
      </c>
      <c r="O24" s="5" t="n">
        <v>0.1</v>
      </c>
      <c r="P24" s="6" t="n">
        <f aca="false">IF(AND(ISNUMBER(N24),ISNUMBER(O24)),N24/O24,"")</f>
        <v>2.04</v>
      </c>
      <c r="Q24" s="5" t="n">
        <v>0.225</v>
      </c>
      <c r="R24" s="5" t="n">
        <v>0.086</v>
      </c>
      <c r="S24" s="6" t="n">
        <f aca="false">IF(AND(ISNUMBER(Q24),ISNUMBER(R24)),Q24/R24,"")</f>
        <v>2.61627906976744</v>
      </c>
      <c r="T24" s="5" t="n">
        <v>0.119</v>
      </c>
      <c r="U24" s="5" t="n">
        <v>0.126</v>
      </c>
      <c r="V24" s="6" t="n">
        <f aca="false">IF(AND(ISNUMBER(T24),ISNUMBER(U24)),T24/U24,"")</f>
        <v>0.944444444444444</v>
      </c>
      <c r="W24" s="7" t="n">
        <v>64</v>
      </c>
      <c r="X24" s="5" t="n">
        <v>0.139</v>
      </c>
      <c r="Y24" s="5" t="n">
        <v>0.066</v>
      </c>
      <c r="Z24" s="5" t="n">
        <v>0.167</v>
      </c>
      <c r="AA24" s="5" t="n">
        <v>0.046</v>
      </c>
    </row>
    <row r="25" customFormat="false" ht="23.85" hidden="false" customHeight="false" outlineLevel="0" collapsed="false">
      <c r="A25" s="4" t="s">
        <v>35</v>
      </c>
      <c r="B25" s="7" t="s">
        <v>51</v>
      </c>
      <c r="C25" s="7" t="n">
        <v>132</v>
      </c>
      <c r="D25" s="7" t="n">
        <v>103</v>
      </c>
      <c r="E25" s="5" t="s">
        <v>27</v>
      </c>
      <c r="F25" s="5" t="s">
        <v>27</v>
      </c>
      <c r="G25" s="6"/>
      <c r="H25" s="5" t="n">
        <v>-0.02</v>
      </c>
      <c r="I25" s="5" t="n">
        <v>0.089</v>
      </c>
      <c r="J25" s="6" t="n">
        <f aca="false">IF(AND(ISNUMBER(H25),ISNUMBER(I25)),H25/I25,"")</f>
        <v>-0.224719101123596</v>
      </c>
      <c r="K25" s="5" t="n">
        <v>0.086</v>
      </c>
      <c r="L25" s="5" t="n">
        <v>0.102</v>
      </c>
      <c r="M25" s="6" t="n">
        <f aca="false">IF(AND(ISNUMBER(K25),ISNUMBER(L25)),K25/L25,"")</f>
        <v>0.843137254901961</v>
      </c>
      <c r="N25" s="5" t="n">
        <v>0.077</v>
      </c>
      <c r="O25" s="5" t="n">
        <v>0.125</v>
      </c>
      <c r="P25" s="6" t="n">
        <f aca="false">IF(AND(ISNUMBER(N25),ISNUMBER(O25)),N25/O25,"")</f>
        <v>0.616</v>
      </c>
      <c r="Q25" s="5" t="n">
        <v>0.066</v>
      </c>
      <c r="R25" s="5" t="n">
        <v>0.104</v>
      </c>
      <c r="S25" s="6" t="n">
        <f aca="false">IF(AND(ISNUMBER(Q25),ISNUMBER(R25)),Q25/R25,"")</f>
        <v>0.634615384615385</v>
      </c>
      <c r="T25" s="5" t="n">
        <v>0.002</v>
      </c>
      <c r="U25" s="5" t="n">
        <v>0.152</v>
      </c>
      <c r="V25" s="6" t="n">
        <f aca="false">IF(AND(ISNUMBER(T25),ISNUMBER(U25)),T25/U25,"")</f>
        <v>0.0131578947368421</v>
      </c>
      <c r="W25" s="7" t="n">
        <v>64</v>
      </c>
      <c r="X25" s="5" t="n">
        <v>-0.012</v>
      </c>
      <c r="Y25" s="5" t="n">
        <v>0.073</v>
      </c>
      <c r="Z25" s="5" t="n">
        <v>-0.082</v>
      </c>
      <c r="AA25" s="5" t="n">
        <v>0.053</v>
      </c>
    </row>
    <row r="26" customFormat="false" ht="15" hidden="false" customHeight="false" outlineLevel="0" collapsed="false">
      <c r="A26" s="4" t="s">
        <v>38</v>
      </c>
      <c r="B26" s="7" t="s">
        <v>51</v>
      </c>
      <c r="C26" s="7" t="n">
        <v>123</v>
      </c>
      <c r="D26" s="7" t="n">
        <v>94</v>
      </c>
      <c r="E26" s="5" t="n">
        <v>0.787</v>
      </c>
      <c r="F26" s="5" t="n">
        <v>0.122</v>
      </c>
      <c r="G26" s="6" t="n">
        <f aca="false">IF(AND(ISNUMBER(E26),ISNUMBER(F26)),E26/F26,"")</f>
        <v>6.45081967213115</v>
      </c>
      <c r="H26" s="5" t="n">
        <v>0.813</v>
      </c>
      <c r="I26" s="5" t="n">
        <v>0.165</v>
      </c>
      <c r="J26" s="6" t="n">
        <f aca="false">IF(AND(ISNUMBER(H26),ISNUMBER(I26)),H26/I26,"")</f>
        <v>4.92727272727273</v>
      </c>
      <c r="K26" s="5" t="n">
        <v>0.677</v>
      </c>
      <c r="L26" s="5" t="n">
        <v>0.169</v>
      </c>
      <c r="M26" s="6" t="n">
        <f aca="false">IF(AND(ISNUMBER(K26),ISNUMBER(L26)),K26/L26,"")</f>
        <v>4.00591715976331</v>
      </c>
      <c r="N26" s="5" t="n">
        <v>0.811</v>
      </c>
      <c r="O26" s="5" t="n">
        <v>0.242</v>
      </c>
      <c r="P26" s="6" t="n">
        <f aca="false">IF(AND(ISNUMBER(N26),ISNUMBER(O26)),N26/O26,"")</f>
        <v>3.35123966942149</v>
      </c>
      <c r="Q26" s="5" t="n">
        <v>0.732</v>
      </c>
      <c r="R26" s="5" t="n">
        <v>0.161</v>
      </c>
      <c r="S26" s="6" t="n">
        <f aca="false">IF(AND(ISNUMBER(Q26),ISNUMBER(R26)),Q26/R26,"")</f>
        <v>4.54658385093168</v>
      </c>
      <c r="T26" s="5" t="n">
        <v>0.743</v>
      </c>
      <c r="U26" s="5" t="n">
        <v>0.299</v>
      </c>
      <c r="V26" s="6" t="n">
        <f aca="false">IF(AND(ISNUMBER(T26),ISNUMBER(U26)),T26/U26,"")</f>
        <v>2.48494983277592</v>
      </c>
      <c r="W26" s="7" t="n">
        <v>52</v>
      </c>
      <c r="X26" s="5" t="n">
        <v>0.804</v>
      </c>
      <c r="Y26" s="5" t="n">
        <v>0.14</v>
      </c>
      <c r="Z26" s="5" t="n">
        <v>0.729</v>
      </c>
      <c r="AA26" s="5" t="n">
        <v>0.086</v>
      </c>
    </row>
    <row r="27" customFormat="false" ht="15" hidden="false" customHeight="false" outlineLevel="0" collapsed="false">
      <c r="A27" s="4" t="s">
        <v>41</v>
      </c>
      <c r="B27" s="7" t="s">
        <v>51</v>
      </c>
      <c r="C27" s="7" t="n">
        <v>132</v>
      </c>
      <c r="D27" s="7" t="n">
        <v>104</v>
      </c>
      <c r="E27" s="5" t="n">
        <v>-3.055</v>
      </c>
      <c r="F27" s="5" t="n">
        <v>0.364</v>
      </c>
      <c r="G27" s="6" t="n">
        <f aca="false">IF(AND(ISNUMBER(E27),ISNUMBER(F27)),E27/F27,"")</f>
        <v>-8.39285714285714</v>
      </c>
      <c r="H27" s="5" t="n">
        <v>-2.841</v>
      </c>
      <c r="I27" s="5" t="n">
        <v>0.457</v>
      </c>
      <c r="J27" s="6" t="n">
        <f aca="false">IF(AND(ISNUMBER(H27),ISNUMBER(I27)),H27/I27,"")</f>
        <v>-6.21663019693654</v>
      </c>
      <c r="K27" s="5" t="n">
        <v>-3.275</v>
      </c>
      <c r="L27" s="5" t="n">
        <v>0.409</v>
      </c>
      <c r="M27" s="6" t="n">
        <f aca="false">IF(AND(ISNUMBER(K27),ISNUMBER(L27)),K27/L27,"")</f>
        <v>-8.00733496332518</v>
      </c>
      <c r="N27" s="5" t="n">
        <v>-2.952</v>
      </c>
      <c r="O27" s="5" t="n">
        <v>0.48</v>
      </c>
      <c r="P27" s="6" t="n">
        <f aca="false">IF(AND(ISNUMBER(N27),ISNUMBER(O27)),N27/O27,"")</f>
        <v>-6.15</v>
      </c>
      <c r="Q27" s="5" t="n">
        <v>-3.221</v>
      </c>
      <c r="R27" s="5" t="n">
        <v>0.407</v>
      </c>
      <c r="S27" s="6" t="n">
        <f aca="false">IF(AND(ISNUMBER(Q27),ISNUMBER(R27)),Q27/R27,"")</f>
        <v>-7.91400491400492</v>
      </c>
      <c r="T27" s="5" t="n">
        <v>-2.687</v>
      </c>
      <c r="U27" s="5" t="n">
        <v>0.638</v>
      </c>
      <c r="V27" s="6" t="n">
        <f aca="false">IF(AND(ISNUMBER(T27),ISNUMBER(U27)),T27/U27,"")</f>
        <v>-4.2115987460815</v>
      </c>
      <c r="W27" s="7" t="n">
        <v>64</v>
      </c>
      <c r="X27" s="5" t="n">
        <v>-3.01</v>
      </c>
      <c r="Y27" s="5" t="n">
        <v>0.402</v>
      </c>
      <c r="Z27" s="5" t="n">
        <v>-3.218</v>
      </c>
      <c r="AA27" s="5" t="n">
        <v>0.291</v>
      </c>
    </row>
    <row r="28" customFormat="false" ht="15" hidden="false" customHeight="false" outlineLevel="0" collapsed="false">
      <c r="A28" s="4" t="s">
        <v>44</v>
      </c>
      <c r="B28" s="7" t="s">
        <v>51</v>
      </c>
      <c r="C28" s="7" t="n">
        <v>132</v>
      </c>
      <c r="D28" s="7" t="n">
        <v>104</v>
      </c>
      <c r="E28" s="5" t="n">
        <v>-0.868</v>
      </c>
      <c r="F28" s="5" t="n">
        <v>0.383</v>
      </c>
      <c r="G28" s="6" t="n">
        <f aca="false">IF(AND(ISNUMBER(E28),ISNUMBER(F28)),E28/F28,"")</f>
        <v>-2.26631853785901</v>
      </c>
      <c r="H28" s="5" t="n">
        <v>-1.168</v>
      </c>
      <c r="I28" s="5" t="n">
        <v>0.497</v>
      </c>
      <c r="J28" s="6" t="n">
        <f aca="false">IF(AND(ISNUMBER(H28),ISNUMBER(I28)),H28/I28,"")</f>
        <v>-2.35010060362173</v>
      </c>
      <c r="K28" s="5" t="n">
        <v>-1.558</v>
      </c>
      <c r="L28" s="5" t="n">
        <v>0.423</v>
      </c>
      <c r="M28" s="6" t="n">
        <f aca="false">IF(AND(ISNUMBER(K28),ISNUMBER(L28)),K28/L28,"")</f>
        <v>-3.68321513002364</v>
      </c>
      <c r="N28" s="5" t="n">
        <v>-1.908</v>
      </c>
      <c r="O28" s="5" t="n">
        <v>0.538</v>
      </c>
      <c r="P28" s="6" t="n">
        <f aca="false">IF(AND(ISNUMBER(N28),ISNUMBER(O28)),N28/O28,"")</f>
        <v>-3.54646840148699</v>
      </c>
      <c r="Q28" s="5" t="n">
        <v>-1.482</v>
      </c>
      <c r="R28" s="5" t="n">
        <v>0.43</v>
      </c>
      <c r="S28" s="6" t="n">
        <f aca="false">IF(AND(ISNUMBER(Q28),ISNUMBER(R28)),Q28/R28,"")</f>
        <v>-3.44651162790698</v>
      </c>
      <c r="T28" s="5" t="n">
        <v>-1.52</v>
      </c>
      <c r="U28" s="5" t="n">
        <v>0.793</v>
      </c>
      <c r="V28" s="6" t="n">
        <f aca="false">IF(AND(ISNUMBER(T28),ISNUMBER(U28)),T28/U28,"")</f>
        <v>-1.91677175283733</v>
      </c>
      <c r="W28" s="7" t="n">
        <v>64</v>
      </c>
      <c r="X28" s="5" t="n">
        <v>-1.246</v>
      </c>
      <c r="Y28" s="5" t="n">
        <v>0.41</v>
      </c>
      <c r="Z28" s="5" t="n">
        <v>-0.884</v>
      </c>
      <c r="AA28" s="5" t="n">
        <v>0.314</v>
      </c>
    </row>
    <row r="29" customFormat="false" ht="15" hidden="false" customHeight="false" outlineLevel="0" collapsed="false">
      <c r="A29" s="4" t="s">
        <v>46</v>
      </c>
      <c r="B29" s="7" t="s">
        <v>51</v>
      </c>
      <c r="C29" s="7" t="n">
        <v>132</v>
      </c>
      <c r="D29" s="7" t="n">
        <v>103</v>
      </c>
      <c r="E29" s="5" t="n">
        <v>-0.532</v>
      </c>
      <c r="F29" s="5" t="n">
        <v>0.361</v>
      </c>
      <c r="G29" s="6" t="n">
        <f aca="false">IF(AND(ISNUMBER(E29),ISNUMBER(F29)),E29/F29,"")</f>
        <v>-1.47368421052632</v>
      </c>
      <c r="H29" s="5" t="n">
        <v>-0.315</v>
      </c>
      <c r="I29" s="5" t="n">
        <v>0.464</v>
      </c>
      <c r="J29" s="6" t="n">
        <f aca="false">IF(AND(ISNUMBER(H29),ISNUMBER(I29)),H29/I29,"")</f>
        <v>-0.678879310344828</v>
      </c>
      <c r="K29" s="5" t="n">
        <v>-0.605</v>
      </c>
      <c r="L29" s="5" t="n">
        <v>0.546</v>
      </c>
      <c r="M29" s="6" t="n">
        <f aca="false">IF(AND(ISNUMBER(K29),ISNUMBER(L29)),K29/L29,"")</f>
        <v>-1.10805860805861</v>
      </c>
      <c r="N29" s="5" t="n">
        <v>-0.619</v>
      </c>
      <c r="O29" s="5" t="n">
        <v>0.608</v>
      </c>
      <c r="P29" s="6" t="n">
        <f aca="false">IF(AND(ISNUMBER(N29),ISNUMBER(O29)),N29/O29,"")</f>
        <v>-1.01809210526316</v>
      </c>
      <c r="Q29" s="5" t="n">
        <v>-0.433</v>
      </c>
      <c r="R29" s="5" t="n">
        <v>0.5</v>
      </c>
      <c r="S29" s="6" t="n">
        <f aca="false">IF(AND(ISNUMBER(Q29),ISNUMBER(R29)),Q29/R29,"")</f>
        <v>-0.866</v>
      </c>
      <c r="T29" s="5" t="n">
        <v>-0.175</v>
      </c>
      <c r="U29" s="5" t="n">
        <v>0.805</v>
      </c>
      <c r="V29" s="6" t="n">
        <f aca="false">IF(AND(ISNUMBER(T29),ISNUMBER(U29)),T29/U29,"")</f>
        <v>-0.217391304347826</v>
      </c>
      <c r="W29" s="7" t="n">
        <v>64</v>
      </c>
      <c r="X29" s="5" t="n">
        <v>-0.36</v>
      </c>
      <c r="Y29" s="5" t="n">
        <v>0.392</v>
      </c>
      <c r="Z29" s="5" t="n">
        <v>-0.515</v>
      </c>
      <c r="AA29" s="5" t="n">
        <v>0.29</v>
      </c>
    </row>
    <row r="31" customFormat="false" ht="15" hidden="false" customHeight="false" outlineLevel="0" collapsed="false">
      <c r="A31" s="4" t="s">
        <v>61</v>
      </c>
      <c r="B31" s="7" t="s">
        <v>332</v>
      </c>
      <c r="C31" s="7" t="n">
        <v>116</v>
      </c>
      <c r="D31" s="7" t="n">
        <v>95</v>
      </c>
      <c r="E31" s="5" t="s">
        <v>27</v>
      </c>
      <c r="F31" s="5" t="s">
        <v>27</v>
      </c>
      <c r="G31" s="6"/>
      <c r="H31" s="5" t="n">
        <v>-0.253</v>
      </c>
      <c r="I31" s="5" t="n">
        <v>0.064</v>
      </c>
      <c r="J31" s="6" t="n">
        <f aca="false">IF(AND(ISNUMBER(H31),ISNUMBER(I31)),H31/I31,"")</f>
        <v>-3.953125</v>
      </c>
      <c r="K31" s="5" t="n">
        <v>-0.18</v>
      </c>
      <c r="L31" s="5" t="n">
        <v>0.074</v>
      </c>
      <c r="M31" s="6" t="n">
        <f aca="false">IF(AND(ISNUMBER(K31),ISNUMBER(L31)),K31/L31,"")</f>
        <v>-2.43243243243243</v>
      </c>
      <c r="N31" s="5" t="n">
        <v>-0.211</v>
      </c>
      <c r="O31" s="5" t="n">
        <v>0.062</v>
      </c>
      <c r="P31" s="6" t="n">
        <f aca="false">IF(AND(ISNUMBER(N31),ISNUMBER(O31)),N31/O31,"")</f>
        <v>-3.40322580645161</v>
      </c>
      <c r="Q31" s="5" t="n">
        <v>-0.185</v>
      </c>
      <c r="R31" s="5" t="n">
        <v>0.065</v>
      </c>
      <c r="S31" s="6" t="n">
        <f aca="false">IF(AND(ISNUMBER(Q31),ISNUMBER(R31)),Q31/R31,"")</f>
        <v>-2.84615384615385</v>
      </c>
      <c r="T31" s="5" t="n">
        <v>-0.265</v>
      </c>
      <c r="U31" s="5" t="n">
        <v>0.083</v>
      </c>
      <c r="V31" s="6" t="n">
        <f aca="false">IF(AND(ISNUMBER(T31),ISNUMBER(U31)),T31/U31,"")</f>
        <v>-3.19277108433735</v>
      </c>
      <c r="W31" s="7" t="n">
        <v>50</v>
      </c>
      <c r="X31" s="5" t="n">
        <v>-0.212</v>
      </c>
      <c r="Y31" s="5" t="n">
        <v>0.056</v>
      </c>
      <c r="Z31" s="5" t="n">
        <v>-0.137</v>
      </c>
      <c r="AA31" s="5" t="n">
        <v>0.041</v>
      </c>
    </row>
    <row r="32" customFormat="false" ht="15" hidden="false" customHeight="false" outlineLevel="0" collapsed="false">
      <c r="A32" s="4" t="s">
        <v>63</v>
      </c>
      <c r="B32" s="7" t="s">
        <v>332</v>
      </c>
      <c r="C32" s="7" t="n">
        <v>116</v>
      </c>
      <c r="D32" s="7" t="n">
        <v>95</v>
      </c>
      <c r="E32" s="5" t="s">
        <v>27</v>
      </c>
      <c r="F32" s="5" t="s">
        <v>27</v>
      </c>
      <c r="G32" s="6"/>
      <c r="H32" s="5" t="n">
        <v>-0.007</v>
      </c>
      <c r="I32" s="5" t="n">
        <v>0.047</v>
      </c>
      <c r="J32" s="6" t="n">
        <f aca="false">IF(AND(ISNUMBER(H32),ISNUMBER(I32)),H32/I32,"")</f>
        <v>-0.148936170212766</v>
      </c>
      <c r="K32" s="5" t="n">
        <v>-0.038</v>
      </c>
      <c r="L32" s="5" t="n">
        <v>0.051</v>
      </c>
      <c r="M32" s="6" t="n">
        <f aca="false">IF(AND(ISNUMBER(K32),ISNUMBER(L32)),K32/L32,"")</f>
        <v>-0.745098039215686</v>
      </c>
      <c r="N32" s="5" t="n">
        <v>-0.003</v>
      </c>
      <c r="O32" s="5" t="n">
        <v>0.052</v>
      </c>
      <c r="P32" s="6" t="n">
        <f aca="false">IF(AND(ISNUMBER(N32),ISNUMBER(O32)),N32/O32,"")</f>
        <v>-0.0576923076923077</v>
      </c>
      <c r="Q32" s="5" t="n">
        <v>-0.013</v>
      </c>
      <c r="R32" s="5" t="n">
        <v>0.049</v>
      </c>
      <c r="S32" s="6" t="n">
        <f aca="false">IF(AND(ISNUMBER(Q32),ISNUMBER(R32)),Q32/R32,"")</f>
        <v>-0.26530612244898</v>
      </c>
      <c r="T32" s="5" t="n">
        <v>-0.067</v>
      </c>
      <c r="U32" s="5" t="n">
        <v>0.081</v>
      </c>
      <c r="V32" s="6" t="n">
        <f aca="false">IF(AND(ISNUMBER(T32),ISNUMBER(U32)),T32/U32,"")</f>
        <v>-0.827160493827161</v>
      </c>
      <c r="W32" s="7" t="n">
        <v>50</v>
      </c>
      <c r="X32" s="5" t="n">
        <v>-0.021</v>
      </c>
      <c r="Y32" s="5" t="n">
        <v>0.04</v>
      </c>
      <c r="Z32" s="5" t="n">
        <v>-0.021</v>
      </c>
      <c r="AA32" s="5" t="n">
        <v>0.026</v>
      </c>
    </row>
    <row r="33" customFormat="false" ht="15" hidden="false" customHeight="false" outlineLevel="0" collapsed="false">
      <c r="A33" s="4" t="s">
        <v>65</v>
      </c>
      <c r="B33" s="7" t="s">
        <v>332</v>
      </c>
      <c r="C33" s="7" t="n">
        <v>116</v>
      </c>
      <c r="D33" s="7" t="n">
        <v>95</v>
      </c>
      <c r="E33" s="5" t="s">
        <v>27</v>
      </c>
      <c r="F33" s="5" t="s">
        <v>27</v>
      </c>
      <c r="G33" s="6"/>
      <c r="H33" s="5" t="n">
        <v>-0.084</v>
      </c>
      <c r="I33" s="5" t="n">
        <v>0.067</v>
      </c>
      <c r="J33" s="6" t="n">
        <f aca="false">IF(AND(ISNUMBER(H33),ISNUMBER(I33)),H33/I33,"")</f>
        <v>-1.25373134328358</v>
      </c>
      <c r="K33" s="5" t="n">
        <v>-0.112</v>
      </c>
      <c r="L33" s="5" t="n">
        <v>0.088</v>
      </c>
      <c r="M33" s="6" t="n">
        <f aca="false">IF(AND(ISNUMBER(K33),ISNUMBER(L33)),K33/L33,"")</f>
        <v>-1.27272727272727</v>
      </c>
      <c r="N33" s="5" t="n">
        <v>-0.146</v>
      </c>
      <c r="O33" s="5" t="n">
        <v>0.088</v>
      </c>
      <c r="P33" s="6" t="n">
        <f aca="false">IF(AND(ISNUMBER(N33),ISNUMBER(O33)),N33/O33,"")</f>
        <v>-1.65909090909091</v>
      </c>
      <c r="Q33" s="5" t="n">
        <v>-0.154</v>
      </c>
      <c r="R33" s="5" t="n">
        <v>0.079</v>
      </c>
      <c r="S33" s="6" t="n">
        <f aca="false">IF(AND(ISNUMBER(Q33),ISNUMBER(R33)),Q33/R33,"")</f>
        <v>-1.94936708860759</v>
      </c>
      <c r="T33" s="5" t="n">
        <v>-0.026</v>
      </c>
      <c r="U33" s="5" t="n">
        <v>0.114</v>
      </c>
      <c r="V33" s="6" t="n">
        <f aca="false">IF(AND(ISNUMBER(T33),ISNUMBER(U33)),T33/U33,"")</f>
        <v>-0.228070175438596</v>
      </c>
      <c r="W33" s="7" t="n">
        <v>50</v>
      </c>
      <c r="X33" s="5" t="n">
        <v>-0.104</v>
      </c>
      <c r="Y33" s="5" t="n">
        <v>0.058</v>
      </c>
      <c r="Z33" s="5" t="n">
        <v>-0.063</v>
      </c>
      <c r="AA33" s="5" t="n">
        <v>0.042</v>
      </c>
    </row>
    <row r="34" customFormat="false" ht="15" hidden="false" customHeight="false" outlineLevel="0" collapsed="false">
      <c r="A34" s="4" t="s">
        <v>67</v>
      </c>
      <c r="B34" s="7" t="s">
        <v>332</v>
      </c>
      <c r="C34" s="7" t="n">
        <v>116</v>
      </c>
      <c r="D34" s="7" t="n">
        <v>94</v>
      </c>
      <c r="E34" s="5" t="n">
        <v>-0.715</v>
      </c>
      <c r="F34" s="5" t="n">
        <v>0.382</v>
      </c>
      <c r="G34" s="6" t="n">
        <f aca="false">IF(AND(ISNUMBER(E34),ISNUMBER(F34)),E34/F34,"")</f>
        <v>-1.8717277486911</v>
      </c>
      <c r="H34" s="5" t="n">
        <v>-0.834</v>
      </c>
      <c r="I34" s="5" t="n">
        <v>0.512</v>
      </c>
      <c r="J34" s="6" t="n">
        <f aca="false">IF(AND(ISNUMBER(H34),ISNUMBER(I34)),H34/I34,"")</f>
        <v>-1.62890625</v>
      </c>
      <c r="K34" s="5" t="n">
        <v>-0.622</v>
      </c>
      <c r="L34" s="5" t="n">
        <v>0.571</v>
      </c>
      <c r="M34" s="6" t="n">
        <f aca="false">IF(AND(ISNUMBER(K34),ISNUMBER(L34)),K34/L34,"")</f>
        <v>-1.08931698774081</v>
      </c>
      <c r="N34" s="5" t="n">
        <v>-0.265</v>
      </c>
      <c r="O34" s="5" t="n">
        <v>0.733</v>
      </c>
      <c r="P34" s="6" t="n">
        <f aca="false">IF(AND(ISNUMBER(N34),ISNUMBER(O34)),N34/O34,"")</f>
        <v>-0.361527967257845</v>
      </c>
      <c r="Q34" s="5" t="n">
        <v>-0.489</v>
      </c>
      <c r="R34" s="5" t="n">
        <v>0.606</v>
      </c>
      <c r="S34" s="6" t="n">
        <f aca="false">IF(AND(ISNUMBER(Q34),ISNUMBER(R34)),Q34/R34,"")</f>
        <v>-0.806930693069307</v>
      </c>
      <c r="T34" s="5" t="n">
        <v>-1.496</v>
      </c>
      <c r="U34" s="5" t="n">
        <v>0.769</v>
      </c>
      <c r="V34" s="6" t="n">
        <f aca="false">IF(AND(ISNUMBER(T34),ISNUMBER(U34)),T34/U34,"")</f>
        <v>-1.94538361508453</v>
      </c>
      <c r="W34" s="7" t="n">
        <v>50</v>
      </c>
      <c r="X34" s="5" t="n">
        <v>-0.962</v>
      </c>
      <c r="Y34" s="5" t="n">
        <v>0.416</v>
      </c>
      <c r="Z34" s="5" t="n">
        <v>-0.426</v>
      </c>
      <c r="AA34" s="5" t="n">
        <v>0.272</v>
      </c>
    </row>
    <row r="35" customFormat="false" ht="15" hidden="false" customHeight="false" outlineLevel="0" collapsed="false">
      <c r="A35" s="4" t="s">
        <v>33</v>
      </c>
      <c r="B35" s="7" t="s">
        <v>332</v>
      </c>
      <c r="C35" s="7" t="n">
        <v>116</v>
      </c>
      <c r="D35" s="7" t="n">
        <v>94</v>
      </c>
      <c r="E35" s="5" t="s">
        <v>27</v>
      </c>
      <c r="F35" s="5" t="s">
        <v>27</v>
      </c>
      <c r="G35" s="6"/>
      <c r="H35" s="5" t="n">
        <v>0.074</v>
      </c>
      <c r="I35" s="5" t="n">
        <v>0.078</v>
      </c>
      <c r="J35" s="6" t="n">
        <f aca="false">IF(AND(ISNUMBER(H35),ISNUMBER(I35)),H35/I35,"")</f>
        <v>0.948717948717949</v>
      </c>
      <c r="K35" s="5" t="n">
        <v>0.105</v>
      </c>
      <c r="L35" s="5" t="n">
        <v>0.091</v>
      </c>
      <c r="M35" s="6" t="n">
        <f aca="false">IF(AND(ISNUMBER(K35),ISNUMBER(L35)),K35/L35,"")</f>
        <v>1.15384615384615</v>
      </c>
      <c r="N35" s="5" t="n">
        <v>0.145</v>
      </c>
      <c r="O35" s="5" t="n">
        <v>0.1</v>
      </c>
      <c r="P35" s="6" t="n">
        <f aca="false">IF(AND(ISNUMBER(N35),ISNUMBER(O35)),N35/O35,"")</f>
        <v>1.45</v>
      </c>
      <c r="Q35" s="5" t="n">
        <v>0.155</v>
      </c>
      <c r="R35" s="5" t="n">
        <v>0.092</v>
      </c>
      <c r="S35" s="6" t="n">
        <f aca="false">IF(AND(ISNUMBER(Q35),ISNUMBER(R35)),Q35/R35,"")</f>
        <v>1.68478260869565</v>
      </c>
      <c r="T35" s="5" t="n">
        <v>0.009</v>
      </c>
      <c r="U35" s="5" t="n">
        <v>0.126</v>
      </c>
      <c r="V35" s="6" t="n">
        <f aca="false">IF(AND(ISNUMBER(T35),ISNUMBER(U35)),T35/U35,"")</f>
        <v>0.0714285714285714</v>
      </c>
      <c r="W35" s="7" t="n">
        <v>50</v>
      </c>
      <c r="X35" s="5" t="n">
        <v>0.132</v>
      </c>
      <c r="Y35" s="5" t="n">
        <v>0.067</v>
      </c>
      <c r="Z35" s="5" t="n">
        <v>0.167</v>
      </c>
      <c r="AA35" s="5" t="n">
        <v>0.046</v>
      </c>
    </row>
    <row r="36" customFormat="false" ht="15" hidden="false" customHeight="false" outlineLevel="0" collapsed="false">
      <c r="A36" s="4" t="s">
        <v>71</v>
      </c>
      <c r="B36" s="7" t="s">
        <v>332</v>
      </c>
      <c r="C36" s="7" t="n">
        <v>116</v>
      </c>
      <c r="D36" s="7" t="n">
        <v>94</v>
      </c>
      <c r="E36" s="5" t="s">
        <v>27</v>
      </c>
      <c r="F36" s="5" t="s">
        <v>27</v>
      </c>
      <c r="G36" s="6"/>
      <c r="H36" s="5" t="n">
        <v>0.138</v>
      </c>
      <c r="I36" s="5" t="n">
        <v>0.079</v>
      </c>
      <c r="J36" s="6" t="n">
        <f aca="false">IF(AND(ISNUMBER(H36),ISNUMBER(I36)),H36/I36,"")</f>
        <v>1.74683544303797</v>
      </c>
      <c r="K36" s="5" t="n">
        <v>0.159</v>
      </c>
      <c r="L36" s="5" t="n">
        <v>0.095</v>
      </c>
      <c r="M36" s="6" t="n">
        <f aca="false">IF(AND(ISNUMBER(K36),ISNUMBER(L36)),K36/L36,"")</f>
        <v>1.67368421052632</v>
      </c>
      <c r="N36" s="5" t="n">
        <v>0.172</v>
      </c>
      <c r="O36" s="5" t="n">
        <v>0.113</v>
      </c>
      <c r="P36" s="6" t="n">
        <f aca="false">IF(AND(ISNUMBER(N36),ISNUMBER(O36)),N36/O36,"")</f>
        <v>1.52212389380531</v>
      </c>
      <c r="Q36" s="5" t="n">
        <v>0.182</v>
      </c>
      <c r="R36" s="5" t="n">
        <v>0.101</v>
      </c>
      <c r="S36" s="6" t="n">
        <f aca="false">IF(AND(ISNUMBER(Q36),ISNUMBER(R36)),Q36/R36,"")</f>
        <v>1.8019801980198</v>
      </c>
      <c r="T36" s="5" t="n">
        <v>0.14</v>
      </c>
      <c r="U36" s="5" t="n">
        <v>0.136</v>
      </c>
      <c r="V36" s="6" t="n">
        <f aca="false">IF(AND(ISNUMBER(T36),ISNUMBER(U36)),T36/U36,"")</f>
        <v>1.02941176470588</v>
      </c>
      <c r="W36" s="7" t="n">
        <v>50</v>
      </c>
      <c r="X36" s="5" t="n">
        <v>0.179</v>
      </c>
      <c r="Y36" s="5" t="n">
        <v>0.067</v>
      </c>
      <c r="Z36" s="5" t="n">
        <v>0.21</v>
      </c>
      <c r="AA36" s="5" t="n">
        <v>0.048</v>
      </c>
    </row>
    <row r="37" customFormat="false" ht="15" hidden="false" customHeight="false" outlineLevel="0" collapsed="false">
      <c r="A37" s="4" t="s">
        <v>73</v>
      </c>
      <c r="B37" s="7" t="s">
        <v>332</v>
      </c>
      <c r="C37" s="7" t="n">
        <v>116</v>
      </c>
      <c r="D37" s="7" t="n">
        <v>94</v>
      </c>
      <c r="E37" s="5" t="s">
        <v>27</v>
      </c>
      <c r="F37" s="5" t="s">
        <v>27</v>
      </c>
      <c r="G37" s="6"/>
      <c r="H37" s="5" t="n">
        <v>-0.141</v>
      </c>
      <c r="I37" s="5" t="n">
        <v>0.061</v>
      </c>
      <c r="J37" s="6" t="n">
        <f aca="false">IF(AND(ISNUMBER(H37),ISNUMBER(I37)),H37/I37,"")</f>
        <v>-2.31147540983607</v>
      </c>
      <c r="K37" s="5" t="n">
        <v>-0.131</v>
      </c>
      <c r="L37" s="5" t="n">
        <v>0.091</v>
      </c>
      <c r="M37" s="6" t="n">
        <f aca="false">IF(AND(ISNUMBER(K37),ISNUMBER(L37)),K37/L37,"")</f>
        <v>-1.43956043956044</v>
      </c>
      <c r="N37" s="5" t="n">
        <v>-0.088</v>
      </c>
      <c r="O37" s="5" t="n">
        <v>0.093</v>
      </c>
      <c r="P37" s="6" t="n">
        <f aca="false">IF(AND(ISNUMBER(N37),ISNUMBER(O37)),N37/O37,"")</f>
        <v>-0.946236559139785</v>
      </c>
      <c r="Q37" s="5" t="n">
        <v>-0.177</v>
      </c>
      <c r="R37" s="5" t="n">
        <v>0.089</v>
      </c>
      <c r="S37" s="6" t="n">
        <f aca="false">IF(AND(ISNUMBER(Q37),ISNUMBER(R37)),Q37/R37,"")</f>
        <v>-1.98876404494382</v>
      </c>
      <c r="T37" s="5" t="n">
        <v>-0.15</v>
      </c>
      <c r="U37" s="5" t="n">
        <v>0.113</v>
      </c>
      <c r="V37" s="6" t="n">
        <f aca="false">IF(AND(ISNUMBER(T37),ISNUMBER(U37)),T37/U37,"")</f>
        <v>-1.32743362831858</v>
      </c>
      <c r="W37" s="7" t="n">
        <v>50</v>
      </c>
      <c r="X37" s="5" t="n">
        <v>-0.165</v>
      </c>
      <c r="Y37" s="5" t="n">
        <v>0.053</v>
      </c>
      <c r="Z37" s="5" t="n">
        <v>-0.066</v>
      </c>
      <c r="AA37" s="5" t="n">
        <v>0.039</v>
      </c>
    </row>
    <row r="38" customFormat="false" ht="15" hidden="false" customHeight="false" outlineLevel="0" collapsed="false">
      <c r="A38" s="4" t="s">
        <v>75</v>
      </c>
      <c r="B38" s="7" t="s">
        <v>332</v>
      </c>
      <c r="C38" s="7" t="n">
        <v>116</v>
      </c>
      <c r="D38" s="7" t="n">
        <v>94</v>
      </c>
      <c r="E38" s="5" t="s">
        <v>27</v>
      </c>
      <c r="F38" s="5" t="s">
        <v>27</v>
      </c>
      <c r="G38" s="6"/>
      <c r="H38" s="5" t="n">
        <v>-0.01</v>
      </c>
      <c r="I38" s="5" t="n">
        <v>0.078</v>
      </c>
      <c r="J38" s="6" t="n">
        <f aca="false">IF(AND(ISNUMBER(H38),ISNUMBER(I38)),H38/I38,"")</f>
        <v>-0.128205128205128</v>
      </c>
      <c r="K38" s="5" t="n">
        <v>-0.023</v>
      </c>
      <c r="L38" s="5" t="n">
        <v>0.095</v>
      </c>
      <c r="M38" s="6" t="n">
        <f aca="false">IF(AND(ISNUMBER(K38),ISNUMBER(L38)),K38/L38,"")</f>
        <v>-0.242105263157895</v>
      </c>
      <c r="N38" s="5" t="n">
        <v>0.016</v>
      </c>
      <c r="O38" s="5" t="n">
        <v>0.101</v>
      </c>
      <c r="P38" s="6" t="n">
        <f aca="false">IF(AND(ISNUMBER(N38),ISNUMBER(O38)),N38/O38,"")</f>
        <v>0.158415841584158</v>
      </c>
      <c r="Q38" s="5" t="n">
        <v>-0.019</v>
      </c>
      <c r="R38" s="5" t="n">
        <v>0.094</v>
      </c>
      <c r="S38" s="6" t="n">
        <f aca="false">IF(AND(ISNUMBER(Q38),ISNUMBER(R38)),Q38/R38,"")</f>
        <v>-0.202127659574468</v>
      </c>
      <c r="T38" s="5" t="n">
        <v>-0.275</v>
      </c>
      <c r="U38" s="5" t="n">
        <v>0.131</v>
      </c>
      <c r="V38" s="6" t="n">
        <f aca="false">IF(AND(ISNUMBER(T38),ISNUMBER(U38)),T38/U38,"")</f>
        <v>-2.09923664122137</v>
      </c>
      <c r="W38" s="7" t="n">
        <v>50</v>
      </c>
      <c r="X38" s="5" t="n">
        <v>-0.054</v>
      </c>
      <c r="Y38" s="5" t="n">
        <v>0.063</v>
      </c>
      <c r="Z38" s="5" t="n">
        <v>0.085</v>
      </c>
      <c r="AA38" s="5" t="n">
        <v>0.046</v>
      </c>
    </row>
    <row r="39" customFormat="false" ht="15" hidden="false" customHeight="false" outlineLevel="0" collapsed="false">
      <c r="A39" s="4" t="s">
        <v>77</v>
      </c>
      <c r="B39" s="7" t="s">
        <v>332</v>
      </c>
      <c r="C39" s="7" t="n">
        <v>116</v>
      </c>
      <c r="D39" s="7" t="n">
        <v>94</v>
      </c>
      <c r="E39" s="5" t="s">
        <v>27</v>
      </c>
      <c r="F39" s="5" t="s">
        <v>27</v>
      </c>
      <c r="G39" s="6"/>
      <c r="H39" s="5" t="n">
        <v>-0.21</v>
      </c>
      <c r="I39" s="5" t="n">
        <v>0.087</v>
      </c>
      <c r="J39" s="6" t="n">
        <f aca="false">IF(AND(ISNUMBER(H39),ISNUMBER(I39)),H39/I39,"")</f>
        <v>-2.41379310344828</v>
      </c>
      <c r="K39" s="5" t="n">
        <v>-0.236</v>
      </c>
      <c r="L39" s="5" t="n">
        <v>0.094</v>
      </c>
      <c r="M39" s="6" t="n">
        <f aca="false">IF(AND(ISNUMBER(K39),ISNUMBER(L39)),K39/L39,"")</f>
        <v>-2.51063829787234</v>
      </c>
      <c r="N39" s="5" t="n">
        <v>-0.188</v>
      </c>
      <c r="O39" s="5" t="n">
        <v>0.111</v>
      </c>
      <c r="P39" s="6" t="n">
        <f aca="false">IF(AND(ISNUMBER(N39),ISNUMBER(O39)),N39/O39,"")</f>
        <v>-1.69369369369369</v>
      </c>
      <c r="Q39" s="5" t="n">
        <v>-0.201</v>
      </c>
      <c r="R39" s="5" t="n">
        <v>0.106</v>
      </c>
      <c r="S39" s="6" t="n">
        <f aca="false">IF(AND(ISNUMBER(Q39),ISNUMBER(R39)),Q39/R39,"")</f>
        <v>-1.89622641509434</v>
      </c>
      <c r="T39" s="5" t="n">
        <v>-0.284</v>
      </c>
      <c r="U39" s="5" t="n">
        <v>0.137</v>
      </c>
      <c r="V39" s="6" t="n">
        <f aca="false">IF(AND(ISNUMBER(T39),ISNUMBER(U39)),T39/U39,"")</f>
        <v>-2.07299270072993</v>
      </c>
      <c r="W39" s="7" t="n">
        <v>50</v>
      </c>
      <c r="X39" s="5" t="n">
        <v>-0.249</v>
      </c>
      <c r="Y39" s="5" t="n">
        <v>0.075</v>
      </c>
      <c r="Z39" s="5" t="n">
        <v>-0.351</v>
      </c>
      <c r="AA39" s="5" t="n">
        <v>0.052</v>
      </c>
    </row>
    <row r="40" customFormat="false" ht="15" hidden="false" customHeight="false" outlineLevel="0" collapsed="false">
      <c r="A40" s="4" t="s">
        <v>79</v>
      </c>
      <c r="B40" s="7" t="s">
        <v>332</v>
      </c>
      <c r="C40" s="7" t="n">
        <v>116</v>
      </c>
      <c r="D40" s="7" t="n">
        <v>94</v>
      </c>
      <c r="E40" s="5" t="s">
        <v>27</v>
      </c>
      <c r="F40" s="5" t="s">
        <v>27</v>
      </c>
      <c r="G40" s="6"/>
      <c r="H40" s="5" t="n">
        <v>-0.261</v>
      </c>
      <c r="I40" s="5" t="n">
        <v>0.074</v>
      </c>
      <c r="J40" s="6" t="n">
        <f aca="false">IF(AND(ISNUMBER(H40),ISNUMBER(I40)),H40/I40,"")</f>
        <v>-3.52702702702703</v>
      </c>
      <c r="K40" s="5" t="n">
        <v>-0.264</v>
      </c>
      <c r="L40" s="5" t="n">
        <v>0.074</v>
      </c>
      <c r="M40" s="6" t="n">
        <f aca="false">IF(AND(ISNUMBER(K40),ISNUMBER(L40)),K40/L40,"")</f>
        <v>-3.56756756756757</v>
      </c>
      <c r="N40" s="5" t="n">
        <v>-0.218</v>
      </c>
      <c r="O40" s="5" t="n">
        <v>0.09</v>
      </c>
      <c r="P40" s="6" t="n">
        <f aca="false">IF(AND(ISNUMBER(N40),ISNUMBER(O40)),N40/O40,"")</f>
        <v>-2.42222222222222</v>
      </c>
      <c r="Q40" s="5" t="n">
        <v>-0.261</v>
      </c>
      <c r="R40" s="5" t="n">
        <v>0.081</v>
      </c>
      <c r="S40" s="6" t="n">
        <f aca="false">IF(AND(ISNUMBER(Q40),ISNUMBER(R40)),Q40/R40,"")</f>
        <v>-3.22222222222222</v>
      </c>
      <c r="T40" s="5" t="n">
        <v>-0.278</v>
      </c>
      <c r="U40" s="5" t="n">
        <v>0.125</v>
      </c>
      <c r="V40" s="6" t="n">
        <f aca="false">IF(AND(ISNUMBER(T40),ISNUMBER(U40)),T40/U40,"")</f>
        <v>-2.224</v>
      </c>
      <c r="W40" s="7" t="n">
        <v>50</v>
      </c>
      <c r="X40" s="5" t="n">
        <v>-0.245</v>
      </c>
      <c r="Y40" s="5" t="n">
        <v>0.067</v>
      </c>
      <c r="Z40" s="5" t="n">
        <v>-0.087</v>
      </c>
      <c r="AA40" s="5" t="n">
        <v>0.051</v>
      </c>
    </row>
    <row r="41" customFormat="false" ht="15" hidden="false" customHeight="false" outlineLevel="0" collapsed="false">
      <c r="A41" s="4" t="s">
        <v>81</v>
      </c>
      <c r="B41" s="7" t="s">
        <v>332</v>
      </c>
      <c r="C41" s="7" t="n">
        <v>116</v>
      </c>
      <c r="D41" s="7" t="n">
        <v>94</v>
      </c>
      <c r="E41" s="5" t="s">
        <v>27</v>
      </c>
      <c r="F41" s="5" t="s">
        <v>27</v>
      </c>
      <c r="G41" s="6"/>
      <c r="H41" s="5" t="n">
        <v>0.005</v>
      </c>
      <c r="I41" s="5" t="n">
        <v>0.082</v>
      </c>
      <c r="J41" s="6" t="n">
        <f aca="false">IF(AND(ISNUMBER(H41),ISNUMBER(I41)),H41/I41,"")</f>
        <v>0.0609756097560976</v>
      </c>
      <c r="K41" s="5" t="n">
        <v>-0.021</v>
      </c>
      <c r="L41" s="5" t="n">
        <v>0.083</v>
      </c>
      <c r="M41" s="6" t="n">
        <f aca="false">IF(AND(ISNUMBER(K41),ISNUMBER(L41)),K41/L41,"")</f>
        <v>-0.253012048192771</v>
      </c>
      <c r="N41" s="5" t="n">
        <v>0.027</v>
      </c>
      <c r="O41" s="5" t="n">
        <v>0.102</v>
      </c>
      <c r="P41" s="6" t="n">
        <f aca="false">IF(AND(ISNUMBER(N41),ISNUMBER(O41)),N41/O41,"")</f>
        <v>0.264705882352941</v>
      </c>
      <c r="Q41" s="5" t="n">
        <v>0</v>
      </c>
      <c r="R41" s="5" t="n">
        <v>0.092</v>
      </c>
      <c r="S41" s="6" t="n">
        <f aca="false">IF(AND(ISNUMBER(Q41),ISNUMBER(R41)),Q41/R41,"")</f>
        <v>-0</v>
      </c>
      <c r="T41" s="5" t="n">
        <v>-0.096</v>
      </c>
      <c r="U41" s="5" t="n">
        <v>0.135</v>
      </c>
      <c r="V41" s="6" t="n">
        <f aca="false">IF(AND(ISNUMBER(T41),ISNUMBER(U41)),T41/U41,"")</f>
        <v>-0.711111111111111</v>
      </c>
      <c r="W41" s="7" t="n">
        <v>50</v>
      </c>
      <c r="X41" s="5" t="n">
        <v>-0.029</v>
      </c>
      <c r="Y41" s="5" t="n">
        <v>0.069</v>
      </c>
      <c r="Z41" s="5" t="n">
        <v>-0.013</v>
      </c>
      <c r="AA41" s="5" t="n">
        <v>0.048</v>
      </c>
    </row>
    <row r="42" customFormat="false" ht="23.85" hidden="false" customHeight="false" outlineLevel="0" collapsed="false">
      <c r="A42" s="4" t="s">
        <v>35</v>
      </c>
      <c r="B42" s="7" t="s">
        <v>332</v>
      </c>
      <c r="C42" s="7" t="n">
        <v>116</v>
      </c>
      <c r="D42" s="7" t="n">
        <v>94</v>
      </c>
      <c r="E42" s="5" t="s">
        <v>27</v>
      </c>
      <c r="F42" s="5" t="s">
        <v>27</v>
      </c>
      <c r="G42" s="6"/>
      <c r="H42" s="5" t="n">
        <v>-0.008</v>
      </c>
      <c r="I42" s="5" t="n">
        <v>0.088</v>
      </c>
      <c r="J42" s="6" t="n">
        <f aca="false">IF(AND(ISNUMBER(H42),ISNUMBER(I42)),H42/I42,"")</f>
        <v>-0.0909090909090909</v>
      </c>
      <c r="K42" s="5" t="n">
        <v>0.075</v>
      </c>
      <c r="L42" s="5" t="n">
        <v>0.101</v>
      </c>
      <c r="M42" s="6" t="n">
        <f aca="false">IF(AND(ISNUMBER(K42),ISNUMBER(L42)),K42/L42,"")</f>
        <v>0.742574257425743</v>
      </c>
      <c r="N42" s="5" t="n">
        <v>0.085</v>
      </c>
      <c r="O42" s="5" t="n">
        <v>0.123</v>
      </c>
      <c r="P42" s="6" t="n">
        <f aca="false">IF(AND(ISNUMBER(N42),ISNUMBER(O42)),N42/O42,"")</f>
        <v>0.691056910569106</v>
      </c>
      <c r="Q42" s="5" t="n">
        <v>0.099</v>
      </c>
      <c r="R42" s="5" t="n">
        <v>0.105</v>
      </c>
      <c r="S42" s="6" t="n">
        <f aca="false">IF(AND(ISNUMBER(Q42),ISNUMBER(R42)),Q42/R42,"")</f>
        <v>0.942857142857143</v>
      </c>
      <c r="T42" s="5" t="n">
        <v>0.034</v>
      </c>
      <c r="U42" s="5" t="n">
        <v>0.154</v>
      </c>
      <c r="V42" s="6" t="n">
        <f aca="false">IF(AND(ISNUMBER(T42),ISNUMBER(U42)),T42/U42,"")</f>
        <v>0.220779220779221</v>
      </c>
      <c r="W42" s="7" t="n">
        <v>50</v>
      </c>
      <c r="X42" s="5" t="n">
        <v>-0.015</v>
      </c>
      <c r="Y42" s="5" t="n">
        <v>0.073</v>
      </c>
      <c r="Z42" s="5" t="n">
        <v>-0.082</v>
      </c>
      <c r="AA42" s="5" t="n">
        <v>0.053</v>
      </c>
    </row>
    <row r="43" customFormat="false" ht="15" hidden="false" customHeight="false" outlineLevel="0" collapsed="false">
      <c r="A43" s="4" t="s">
        <v>84</v>
      </c>
      <c r="B43" s="7" t="s">
        <v>332</v>
      </c>
      <c r="C43" s="7" t="n">
        <v>116</v>
      </c>
      <c r="D43" s="7" t="n">
        <v>94</v>
      </c>
      <c r="E43" s="5" t="s">
        <v>27</v>
      </c>
      <c r="F43" s="5" t="s">
        <v>27</v>
      </c>
      <c r="G43" s="6"/>
      <c r="H43" s="5" t="n">
        <v>-0.161</v>
      </c>
      <c r="I43" s="5" t="n">
        <v>0.087</v>
      </c>
      <c r="J43" s="6" t="n">
        <f aca="false">IF(AND(ISNUMBER(H43),ISNUMBER(I43)),H43/I43,"")</f>
        <v>-1.85057471264368</v>
      </c>
      <c r="K43" s="5" t="n">
        <v>-0.15</v>
      </c>
      <c r="L43" s="5" t="n">
        <v>0.093</v>
      </c>
      <c r="M43" s="6" t="n">
        <f aca="false">IF(AND(ISNUMBER(K43),ISNUMBER(L43)),K43/L43,"")</f>
        <v>-1.61290322580645</v>
      </c>
      <c r="N43" s="5" t="n">
        <v>-0.104</v>
      </c>
      <c r="O43" s="5" t="n">
        <v>0.112</v>
      </c>
      <c r="P43" s="6" t="n">
        <f aca="false">IF(AND(ISNUMBER(N43),ISNUMBER(O43)),N43/O43,"")</f>
        <v>-0.928571428571429</v>
      </c>
      <c r="Q43" s="5" t="n">
        <v>-0.172</v>
      </c>
      <c r="R43" s="5" t="n">
        <v>0.101</v>
      </c>
      <c r="S43" s="6" t="n">
        <f aca="false">IF(AND(ISNUMBER(Q43),ISNUMBER(R43)),Q43/R43,"")</f>
        <v>-1.7029702970297</v>
      </c>
      <c r="T43" s="5" t="n">
        <v>-0.223</v>
      </c>
      <c r="U43" s="5" t="n">
        <v>0.15</v>
      </c>
      <c r="V43" s="6" t="n">
        <f aca="false">IF(AND(ISNUMBER(T43),ISNUMBER(U43)),T43/U43,"")</f>
        <v>-1.48666666666667</v>
      </c>
      <c r="W43" s="7" t="n">
        <v>50</v>
      </c>
      <c r="X43" s="5" t="n">
        <v>-0.191</v>
      </c>
      <c r="Y43" s="5" t="n">
        <v>0.076</v>
      </c>
      <c r="Z43" s="5" t="n">
        <v>-0.118</v>
      </c>
      <c r="AA43" s="5" t="n">
        <v>0.055</v>
      </c>
    </row>
    <row r="44" customFormat="false" ht="15" hidden="false" customHeight="false" outlineLevel="0" collapsed="false">
      <c r="A44" s="4" t="s">
        <v>86</v>
      </c>
      <c r="B44" s="7" t="s">
        <v>332</v>
      </c>
      <c r="C44" s="7" t="n">
        <v>116</v>
      </c>
      <c r="D44" s="7" t="n">
        <v>94</v>
      </c>
      <c r="E44" s="5" t="s">
        <v>27</v>
      </c>
      <c r="F44" s="5" t="s">
        <v>27</v>
      </c>
      <c r="G44" s="6"/>
      <c r="H44" s="5" t="n">
        <v>-0.105</v>
      </c>
      <c r="I44" s="5" t="n">
        <v>0.076</v>
      </c>
      <c r="J44" s="6" t="n">
        <f aca="false">IF(AND(ISNUMBER(H44),ISNUMBER(I44)),H44/I44,"")</f>
        <v>-1.38157894736842</v>
      </c>
      <c r="K44" s="5" t="n">
        <v>-0.072</v>
      </c>
      <c r="L44" s="5" t="n">
        <v>0.094</v>
      </c>
      <c r="M44" s="6" t="n">
        <f aca="false">IF(AND(ISNUMBER(K44),ISNUMBER(L44)),K44/L44,"")</f>
        <v>-0.765957446808511</v>
      </c>
      <c r="N44" s="5" t="n">
        <v>-0.017</v>
      </c>
      <c r="O44" s="5" t="n">
        <v>0.102</v>
      </c>
      <c r="P44" s="6" t="n">
        <f aca="false">IF(AND(ISNUMBER(N44),ISNUMBER(O44)),N44/O44,"")</f>
        <v>-0.166666666666667</v>
      </c>
      <c r="Q44" s="5" t="n">
        <v>-0.031</v>
      </c>
      <c r="R44" s="5" t="n">
        <v>0.098</v>
      </c>
      <c r="S44" s="6" t="n">
        <f aca="false">IF(AND(ISNUMBER(Q44),ISNUMBER(R44)),Q44/R44,"")</f>
        <v>-0.316326530612245</v>
      </c>
      <c r="T44" s="5" t="n">
        <v>-0.084</v>
      </c>
      <c r="U44" s="5" t="n">
        <v>0.126</v>
      </c>
      <c r="V44" s="6" t="n">
        <f aca="false">IF(AND(ISNUMBER(T44),ISNUMBER(U44)),T44/U44,"")</f>
        <v>-0.666666666666667</v>
      </c>
      <c r="W44" s="7" t="n">
        <v>50</v>
      </c>
      <c r="X44" s="5" t="n">
        <v>-0.165</v>
      </c>
      <c r="Y44" s="5" t="n">
        <v>0.065</v>
      </c>
      <c r="Z44" s="5" t="n">
        <v>-0.101</v>
      </c>
      <c r="AA44" s="5" t="n">
        <v>0.046</v>
      </c>
    </row>
    <row r="45" customFormat="false" ht="23.85" hidden="false" customHeight="false" outlineLevel="0" collapsed="false">
      <c r="A45" s="4" t="s">
        <v>88</v>
      </c>
      <c r="B45" s="7" t="s">
        <v>332</v>
      </c>
      <c r="C45" s="7" t="n">
        <v>116</v>
      </c>
      <c r="D45" s="7" t="n">
        <v>94</v>
      </c>
      <c r="E45" s="5" t="s">
        <v>27</v>
      </c>
      <c r="F45" s="5" t="s">
        <v>27</v>
      </c>
      <c r="G45" s="6"/>
      <c r="H45" s="5" t="n">
        <v>-0.157</v>
      </c>
      <c r="I45" s="5" t="n">
        <v>0.067</v>
      </c>
      <c r="J45" s="6" t="n">
        <f aca="false">IF(AND(ISNUMBER(H45),ISNUMBER(I45)),H45/I45,"")</f>
        <v>-2.34328358208955</v>
      </c>
      <c r="K45" s="5" t="n">
        <v>-0.063</v>
      </c>
      <c r="L45" s="5" t="n">
        <v>0.088</v>
      </c>
      <c r="M45" s="6" t="n">
        <f aca="false">IF(AND(ISNUMBER(K45),ISNUMBER(L45)),K45/L45,"")</f>
        <v>-0.715909090909091</v>
      </c>
      <c r="N45" s="5" t="n">
        <v>-0.097</v>
      </c>
      <c r="O45" s="5" t="n">
        <v>0.098</v>
      </c>
      <c r="P45" s="6" t="n">
        <f aca="false">IF(AND(ISNUMBER(N45),ISNUMBER(O45)),N45/O45,"")</f>
        <v>-0.989795918367347</v>
      </c>
      <c r="Q45" s="5" t="n">
        <v>-0.064</v>
      </c>
      <c r="R45" s="5" t="n">
        <v>0.086</v>
      </c>
      <c r="S45" s="6" t="n">
        <f aca="false">IF(AND(ISNUMBER(Q45),ISNUMBER(R45)),Q45/R45,"")</f>
        <v>-0.744186046511628</v>
      </c>
      <c r="T45" s="5" t="n">
        <v>-0.288</v>
      </c>
      <c r="U45" s="5" t="n">
        <v>0.11</v>
      </c>
      <c r="V45" s="6" t="n">
        <f aca="false">IF(AND(ISNUMBER(T45),ISNUMBER(U45)),T45/U45,"")</f>
        <v>-2.61818181818182</v>
      </c>
      <c r="W45" s="7" t="n">
        <v>50</v>
      </c>
      <c r="X45" s="5" t="n">
        <v>-0.16</v>
      </c>
      <c r="Y45" s="5" t="n">
        <v>0.057</v>
      </c>
      <c r="Z45" s="5" t="n">
        <v>-0.069</v>
      </c>
      <c r="AA45" s="5" t="n">
        <v>0.039</v>
      </c>
    </row>
    <row r="47" customFormat="false" ht="15" hidden="false" customHeight="false" outlineLevel="0" collapsed="false">
      <c r="A47" s="4" t="s">
        <v>61</v>
      </c>
      <c r="B47" s="7" t="s">
        <v>333</v>
      </c>
      <c r="C47" s="7" t="n">
        <v>132</v>
      </c>
      <c r="D47" s="7" t="n">
        <v>104</v>
      </c>
      <c r="E47" s="5" t="n">
        <v>-0.157</v>
      </c>
      <c r="F47" s="5" t="n">
        <v>0.053</v>
      </c>
      <c r="G47" s="6" t="n">
        <f aca="false">IF(AND(ISNUMBER(E47),ISNUMBER(F47)),E47/F47,"")</f>
        <v>-2.9622641509434</v>
      </c>
      <c r="H47" s="5" t="n">
        <v>-0.253</v>
      </c>
      <c r="I47" s="5" t="n">
        <v>0.059</v>
      </c>
      <c r="J47" s="6" t="n">
        <f aca="false">IF(AND(ISNUMBER(H47),ISNUMBER(I47)),H47/I47,"")</f>
        <v>-4.28813559322034</v>
      </c>
      <c r="K47" s="5" t="n">
        <v>-0.175</v>
      </c>
      <c r="L47" s="5" t="n">
        <v>0.057</v>
      </c>
      <c r="M47" s="6" t="n">
        <f aca="false">IF(AND(ISNUMBER(K47),ISNUMBER(L47)),K47/L47,"")</f>
        <v>-3.07017543859649</v>
      </c>
      <c r="N47" s="5" t="n">
        <v>-0.233</v>
      </c>
      <c r="O47" s="5" t="n">
        <v>0.055</v>
      </c>
      <c r="P47" s="6" t="n">
        <f aca="false">IF(AND(ISNUMBER(N47),ISNUMBER(O47)),N47/O47,"")</f>
        <v>-4.23636363636364</v>
      </c>
      <c r="Q47" s="5" t="n">
        <v>-0.166</v>
      </c>
      <c r="R47" s="5" t="n">
        <v>0.059</v>
      </c>
      <c r="S47" s="6" t="n">
        <f aca="false">IF(AND(ISNUMBER(Q47),ISNUMBER(R47)),Q47/R47,"")</f>
        <v>-2.8135593220339</v>
      </c>
      <c r="T47" s="5" t="n">
        <v>-0.228</v>
      </c>
      <c r="U47" s="5" t="n">
        <v>0.082</v>
      </c>
      <c r="V47" s="6" t="n">
        <f aca="false">IF(AND(ISNUMBER(T47),ISNUMBER(U47)),T47/U47,"")</f>
        <v>-2.78048780487805</v>
      </c>
      <c r="W47" s="7" t="n">
        <v>64</v>
      </c>
      <c r="X47" s="5" t="n">
        <v>-0.218</v>
      </c>
      <c r="Y47" s="5" t="n">
        <v>0.054</v>
      </c>
      <c r="Z47" s="5" t="n">
        <v>-0.137</v>
      </c>
      <c r="AA47" s="5" t="n">
        <v>0.041</v>
      </c>
    </row>
    <row r="48" customFormat="false" ht="15" hidden="false" customHeight="false" outlineLevel="0" collapsed="false">
      <c r="A48" s="4" t="s">
        <v>63</v>
      </c>
      <c r="B48" s="7" t="s">
        <v>333</v>
      </c>
      <c r="C48" s="7" t="n">
        <v>132</v>
      </c>
      <c r="D48" s="7" t="n">
        <v>104</v>
      </c>
      <c r="E48" s="5" t="s">
        <v>27</v>
      </c>
      <c r="F48" s="5" t="s">
        <v>27</v>
      </c>
      <c r="G48" s="6"/>
      <c r="H48" s="5" t="n">
        <v>-0.004</v>
      </c>
      <c r="I48" s="5" t="n">
        <v>0.045</v>
      </c>
      <c r="J48" s="6" t="n">
        <f aca="false">IF(AND(ISNUMBER(H48),ISNUMBER(I48)),H48/I48,"")</f>
        <v>-0.0888888888888889</v>
      </c>
      <c r="K48" s="5" t="n">
        <v>-0.054</v>
      </c>
      <c r="L48" s="5" t="n">
        <v>0.058</v>
      </c>
      <c r="M48" s="6" t="n">
        <f aca="false">IF(AND(ISNUMBER(K48),ISNUMBER(L48)),K48/L48,"")</f>
        <v>-0.931034482758621</v>
      </c>
      <c r="N48" s="5" t="n">
        <v>-0.02</v>
      </c>
      <c r="O48" s="5" t="n">
        <v>0.052</v>
      </c>
      <c r="P48" s="6" t="n">
        <f aca="false">IF(AND(ISNUMBER(N48),ISNUMBER(O48)),N48/O48,"")</f>
        <v>-0.384615384615385</v>
      </c>
      <c r="Q48" s="5" t="n">
        <v>-0.035</v>
      </c>
      <c r="R48" s="5" t="n">
        <v>0.052</v>
      </c>
      <c r="S48" s="6" t="n">
        <f aca="false">IF(AND(ISNUMBER(Q48),ISNUMBER(R48)),Q48/R48,"")</f>
        <v>-0.673076923076923</v>
      </c>
      <c r="T48" s="5" t="n">
        <v>-0.032</v>
      </c>
      <c r="U48" s="5" t="n">
        <v>0.074</v>
      </c>
      <c r="V48" s="6" t="n">
        <f aca="false">IF(AND(ISNUMBER(T48),ISNUMBER(U48)),T48/U48,"")</f>
        <v>-0.432432432432432</v>
      </c>
      <c r="W48" s="7" t="n">
        <v>64</v>
      </c>
      <c r="X48" s="5" t="n">
        <v>-0.024</v>
      </c>
      <c r="Y48" s="5" t="n">
        <v>0.039</v>
      </c>
      <c r="Z48" s="5" t="n">
        <v>-0.021</v>
      </c>
      <c r="AA48" s="5" t="n">
        <v>0.026</v>
      </c>
    </row>
    <row r="49" customFormat="false" ht="15" hidden="false" customHeight="false" outlineLevel="0" collapsed="false">
      <c r="A49" s="4" t="s">
        <v>65</v>
      </c>
      <c r="B49" s="7" t="s">
        <v>333</v>
      </c>
      <c r="C49" s="7" t="n">
        <v>132</v>
      </c>
      <c r="D49" s="7" t="n">
        <v>104</v>
      </c>
      <c r="E49" s="5" t="s">
        <v>27</v>
      </c>
      <c r="F49" s="5" t="s">
        <v>27</v>
      </c>
      <c r="G49" s="6"/>
      <c r="H49" s="5" t="n">
        <v>-0.065</v>
      </c>
      <c r="I49" s="5" t="n">
        <v>0.063</v>
      </c>
      <c r="J49" s="6" t="n">
        <f aca="false">IF(AND(ISNUMBER(H49),ISNUMBER(I49)),H49/I49,"")</f>
        <v>-1.03174603174603</v>
      </c>
      <c r="K49" s="5" t="n">
        <v>-0.084</v>
      </c>
      <c r="L49" s="5" t="n">
        <v>0.083</v>
      </c>
      <c r="M49" s="6" t="n">
        <f aca="false">IF(AND(ISNUMBER(K49),ISNUMBER(L49)),K49/L49,"")</f>
        <v>-1.01204819277108</v>
      </c>
      <c r="N49" s="5" t="n">
        <v>-0.084</v>
      </c>
      <c r="O49" s="5" t="n">
        <v>0.094</v>
      </c>
      <c r="P49" s="6" t="n">
        <f aca="false">IF(AND(ISNUMBER(N49),ISNUMBER(O49)),N49/O49,"")</f>
        <v>-0.893617021276596</v>
      </c>
      <c r="Q49" s="5" t="n">
        <v>-0.091</v>
      </c>
      <c r="R49" s="5" t="n">
        <v>0.076</v>
      </c>
      <c r="S49" s="6" t="n">
        <f aca="false">IF(AND(ISNUMBER(Q49),ISNUMBER(R49)),Q49/R49,"")</f>
        <v>-1.19736842105263</v>
      </c>
      <c r="T49" s="5" t="n">
        <v>-0.051</v>
      </c>
      <c r="U49" s="5" t="n">
        <v>0.117</v>
      </c>
      <c r="V49" s="6" t="n">
        <f aca="false">IF(AND(ISNUMBER(T49),ISNUMBER(U49)),T49/U49,"")</f>
        <v>-0.435897435897436</v>
      </c>
      <c r="W49" s="7" t="n">
        <v>64</v>
      </c>
      <c r="X49" s="5" t="n">
        <v>-0.092</v>
      </c>
      <c r="Y49" s="5" t="n">
        <v>0.057</v>
      </c>
      <c r="Z49" s="5" t="n">
        <v>-0.063</v>
      </c>
      <c r="AA49" s="5" t="n">
        <v>0.042</v>
      </c>
    </row>
    <row r="50" customFormat="false" ht="15" hidden="false" customHeight="false" outlineLevel="0" collapsed="false">
      <c r="A50" s="4" t="s">
        <v>67</v>
      </c>
      <c r="B50" s="7" t="s">
        <v>333</v>
      </c>
      <c r="C50" s="7" t="n">
        <v>132</v>
      </c>
      <c r="D50" s="7" t="n">
        <v>103</v>
      </c>
      <c r="E50" s="5" t="n">
        <v>-0.676</v>
      </c>
      <c r="F50" s="5" t="n">
        <v>0.363</v>
      </c>
      <c r="G50" s="6" t="n">
        <f aca="false">IF(AND(ISNUMBER(E50),ISNUMBER(F50)),E50/F50,"")</f>
        <v>-1.86225895316804</v>
      </c>
      <c r="H50" s="5" t="n">
        <v>-0.889</v>
      </c>
      <c r="I50" s="5" t="n">
        <v>0.521</v>
      </c>
      <c r="J50" s="6" t="n">
        <f aca="false">IF(AND(ISNUMBER(H50),ISNUMBER(I50)),H50/I50,"")</f>
        <v>-1.7063339731286</v>
      </c>
      <c r="K50" s="5" t="n">
        <v>-0.305</v>
      </c>
      <c r="L50" s="5" t="n">
        <v>0.568</v>
      </c>
      <c r="M50" s="6" t="n">
        <f aca="false">IF(AND(ISNUMBER(K50),ISNUMBER(L50)),K50/L50,"")</f>
        <v>-0.536971830985916</v>
      </c>
      <c r="N50" s="5" t="n">
        <v>-0.031</v>
      </c>
      <c r="O50" s="5" t="n">
        <v>0.706</v>
      </c>
      <c r="P50" s="6" t="n">
        <f aca="false">IF(AND(ISNUMBER(N50),ISNUMBER(O50)),N50/O50,"")</f>
        <v>-0.0439093484419264</v>
      </c>
      <c r="Q50" s="5" t="n">
        <v>-0.372</v>
      </c>
      <c r="R50" s="5" t="n">
        <v>0.551</v>
      </c>
      <c r="S50" s="6" t="n">
        <f aca="false">IF(AND(ISNUMBER(Q50),ISNUMBER(R50)),Q50/R50,"")</f>
        <v>-0.67513611615245</v>
      </c>
      <c r="T50" s="5" t="n">
        <v>-1.277</v>
      </c>
      <c r="U50" s="5" t="n">
        <v>0.775</v>
      </c>
      <c r="V50" s="6" t="n">
        <f aca="false">IF(AND(ISNUMBER(T50),ISNUMBER(U50)),T50/U50,"")</f>
        <v>-1.64774193548387</v>
      </c>
      <c r="W50" s="7" t="n">
        <v>64</v>
      </c>
      <c r="X50" s="5" t="n">
        <v>-0.89</v>
      </c>
      <c r="Y50" s="5" t="n">
        <v>0.415</v>
      </c>
      <c r="Z50" s="5" t="n">
        <v>-0.426</v>
      </c>
      <c r="AA50" s="5" t="n">
        <v>0.272</v>
      </c>
    </row>
    <row r="51" customFormat="false" ht="15" hidden="false" customHeight="false" outlineLevel="0" collapsed="false">
      <c r="A51" s="4" t="s">
        <v>33</v>
      </c>
      <c r="B51" s="7" t="s">
        <v>333</v>
      </c>
      <c r="C51" s="7" t="n">
        <v>132</v>
      </c>
      <c r="D51" s="7" t="n">
        <v>103</v>
      </c>
      <c r="E51" s="5" t="s">
        <v>27</v>
      </c>
      <c r="F51" s="5" t="s">
        <v>27</v>
      </c>
      <c r="G51" s="6"/>
      <c r="H51" s="5" t="n">
        <v>0.099</v>
      </c>
      <c r="I51" s="5" t="n">
        <v>0.076</v>
      </c>
      <c r="J51" s="6" t="n">
        <f aca="false">IF(AND(ISNUMBER(H51),ISNUMBER(I51)),H51/I51,"")</f>
        <v>1.30263157894737</v>
      </c>
      <c r="K51" s="5" t="n">
        <v>0.201</v>
      </c>
      <c r="L51" s="5" t="n">
        <v>0.09</v>
      </c>
      <c r="M51" s="6" t="n">
        <f aca="false">IF(AND(ISNUMBER(K51),ISNUMBER(L51)),K51/L51,"")</f>
        <v>2.23333333333333</v>
      </c>
      <c r="N51" s="5" t="n">
        <v>0.204</v>
      </c>
      <c r="O51" s="5" t="n">
        <v>0.1</v>
      </c>
      <c r="P51" s="6" t="n">
        <f aca="false">IF(AND(ISNUMBER(N51),ISNUMBER(O51)),N51/O51,"")</f>
        <v>2.04</v>
      </c>
      <c r="Q51" s="5" t="n">
        <v>0.225</v>
      </c>
      <c r="R51" s="5" t="n">
        <v>0.086</v>
      </c>
      <c r="S51" s="6" t="n">
        <f aca="false">IF(AND(ISNUMBER(Q51),ISNUMBER(R51)),Q51/R51,"")</f>
        <v>2.61627906976744</v>
      </c>
      <c r="T51" s="5" t="n">
        <v>0.119</v>
      </c>
      <c r="U51" s="5" t="n">
        <v>0.126</v>
      </c>
      <c r="V51" s="6" t="n">
        <f aca="false">IF(AND(ISNUMBER(T51),ISNUMBER(U51)),T51/U51,"")</f>
        <v>0.944444444444444</v>
      </c>
      <c r="W51" s="7" t="n">
        <v>64</v>
      </c>
      <c r="X51" s="5" t="n">
        <v>0.139</v>
      </c>
      <c r="Y51" s="5" t="n">
        <v>0.066</v>
      </c>
      <c r="Z51" s="5" t="n">
        <v>0.167</v>
      </c>
      <c r="AA51" s="5" t="n">
        <v>0.046</v>
      </c>
    </row>
    <row r="52" customFormat="false" ht="15" hidden="false" customHeight="false" outlineLevel="0" collapsed="false">
      <c r="A52" s="4" t="s">
        <v>71</v>
      </c>
      <c r="B52" s="7" t="s">
        <v>333</v>
      </c>
      <c r="C52" s="7" t="n">
        <v>132</v>
      </c>
      <c r="D52" s="7" t="n">
        <v>103</v>
      </c>
      <c r="E52" s="5" t="s">
        <v>27</v>
      </c>
      <c r="F52" s="5" t="s">
        <v>27</v>
      </c>
      <c r="G52" s="6"/>
      <c r="H52" s="5" t="n">
        <v>0.154</v>
      </c>
      <c r="I52" s="5" t="n">
        <v>0.076</v>
      </c>
      <c r="J52" s="6" t="n">
        <f aca="false">IF(AND(ISNUMBER(H52),ISNUMBER(I52)),H52/I52,"")</f>
        <v>2.02631578947368</v>
      </c>
      <c r="K52" s="5" t="n">
        <v>0.239</v>
      </c>
      <c r="L52" s="5" t="n">
        <v>0.089</v>
      </c>
      <c r="M52" s="6" t="n">
        <f aca="false">IF(AND(ISNUMBER(K52),ISNUMBER(L52)),K52/L52,"")</f>
        <v>2.68539325842697</v>
      </c>
      <c r="N52" s="5" t="n">
        <v>0.224</v>
      </c>
      <c r="O52" s="5" t="n">
        <v>0.108</v>
      </c>
      <c r="P52" s="6" t="n">
        <f aca="false">IF(AND(ISNUMBER(N52),ISNUMBER(O52)),N52/O52,"")</f>
        <v>2.07407407407407</v>
      </c>
      <c r="Q52" s="5" t="n">
        <v>0.252</v>
      </c>
      <c r="R52" s="5" t="n">
        <v>0.093</v>
      </c>
      <c r="S52" s="6" t="n">
        <f aca="false">IF(AND(ISNUMBER(Q52),ISNUMBER(R52)),Q52/R52,"")</f>
        <v>2.70967741935484</v>
      </c>
      <c r="T52" s="5" t="n">
        <v>0.163</v>
      </c>
      <c r="U52" s="5" t="n">
        <v>0.131</v>
      </c>
      <c r="V52" s="6" t="n">
        <f aca="false">IF(AND(ISNUMBER(T52),ISNUMBER(U52)),T52/U52,"")</f>
        <v>1.24427480916031</v>
      </c>
      <c r="W52" s="7" t="n">
        <v>64</v>
      </c>
      <c r="X52" s="5" t="n">
        <v>0.18</v>
      </c>
      <c r="Y52" s="5" t="n">
        <v>0.067</v>
      </c>
      <c r="Z52" s="5" t="n">
        <v>0.21</v>
      </c>
      <c r="AA52" s="5" t="n">
        <v>0.048</v>
      </c>
    </row>
    <row r="53" customFormat="false" ht="15" hidden="false" customHeight="false" outlineLevel="0" collapsed="false">
      <c r="A53" s="4" t="s">
        <v>73</v>
      </c>
      <c r="B53" s="7" t="s">
        <v>333</v>
      </c>
      <c r="C53" s="7" t="n">
        <v>132</v>
      </c>
      <c r="D53" s="7" t="n">
        <v>103</v>
      </c>
      <c r="E53" s="5" t="s">
        <v>27</v>
      </c>
      <c r="F53" s="5" t="s">
        <v>27</v>
      </c>
      <c r="G53" s="6"/>
      <c r="H53" s="5" t="n">
        <v>-0.129</v>
      </c>
      <c r="I53" s="5" t="n">
        <v>0.061</v>
      </c>
      <c r="J53" s="6" t="n">
        <f aca="false">IF(AND(ISNUMBER(H53),ISNUMBER(I53)),H53/I53,"")</f>
        <v>-2.11475409836066</v>
      </c>
      <c r="K53" s="5" t="n">
        <v>-0.111</v>
      </c>
      <c r="L53" s="5" t="n">
        <v>0.08</v>
      </c>
      <c r="M53" s="6" t="n">
        <f aca="false">IF(AND(ISNUMBER(K53),ISNUMBER(L53)),K53/L53,"")</f>
        <v>-1.3875</v>
      </c>
      <c r="N53" s="5" t="n">
        <v>-0.065</v>
      </c>
      <c r="O53" s="5" t="n">
        <v>0.088</v>
      </c>
      <c r="P53" s="6" t="n">
        <f aca="false">IF(AND(ISNUMBER(N53),ISNUMBER(O53)),N53/O53,"")</f>
        <v>-0.738636363636364</v>
      </c>
      <c r="Q53" s="5" t="n">
        <v>-0.131</v>
      </c>
      <c r="R53" s="5" t="n">
        <v>0.08</v>
      </c>
      <c r="S53" s="6" t="n">
        <f aca="false">IF(AND(ISNUMBER(Q53),ISNUMBER(R53)),Q53/R53,"")</f>
        <v>-1.6375</v>
      </c>
      <c r="T53" s="5" t="n">
        <v>-0.147</v>
      </c>
      <c r="U53" s="5" t="n">
        <v>0.105</v>
      </c>
      <c r="V53" s="6" t="n">
        <f aca="false">IF(AND(ISNUMBER(T53),ISNUMBER(U53)),T53/U53,"")</f>
        <v>-1.4</v>
      </c>
      <c r="W53" s="7" t="n">
        <v>64</v>
      </c>
      <c r="X53" s="5" t="n">
        <v>-0.148</v>
      </c>
      <c r="Y53" s="5" t="n">
        <v>0.053</v>
      </c>
      <c r="Z53" s="5" t="n">
        <v>-0.066</v>
      </c>
      <c r="AA53" s="5" t="n">
        <v>0.039</v>
      </c>
    </row>
    <row r="54" customFormat="false" ht="15" hidden="false" customHeight="false" outlineLevel="0" collapsed="false">
      <c r="A54" s="4" t="s">
        <v>75</v>
      </c>
      <c r="B54" s="7" t="s">
        <v>333</v>
      </c>
      <c r="C54" s="7" t="n">
        <v>132</v>
      </c>
      <c r="D54" s="7" t="n">
        <v>103</v>
      </c>
      <c r="E54" s="5" t="s">
        <v>27</v>
      </c>
      <c r="F54" s="5" t="s">
        <v>27</v>
      </c>
      <c r="G54" s="6"/>
      <c r="H54" s="5" t="n">
        <v>0.013</v>
      </c>
      <c r="I54" s="5" t="n">
        <v>0.075</v>
      </c>
      <c r="J54" s="6" t="n">
        <f aca="false">IF(AND(ISNUMBER(H54),ISNUMBER(I54)),H54/I54,"")</f>
        <v>0.173333333333333</v>
      </c>
      <c r="K54" s="5" t="n">
        <v>0.056</v>
      </c>
      <c r="L54" s="5" t="n">
        <v>0.083</v>
      </c>
      <c r="M54" s="6" t="n">
        <f aca="false">IF(AND(ISNUMBER(K54),ISNUMBER(L54)),K54/L54,"")</f>
        <v>0.674698795180723</v>
      </c>
      <c r="N54" s="5" t="n">
        <v>0.062</v>
      </c>
      <c r="O54" s="5" t="n">
        <v>0.093</v>
      </c>
      <c r="P54" s="6" t="n">
        <f aca="false">IF(AND(ISNUMBER(N54),ISNUMBER(O54)),N54/O54,"")</f>
        <v>0.666666666666667</v>
      </c>
      <c r="Q54" s="5" t="n">
        <v>0.059</v>
      </c>
      <c r="R54" s="5" t="n">
        <v>0.082</v>
      </c>
      <c r="S54" s="6" t="n">
        <f aca="false">IF(AND(ISNUMBER(Q54),ISNUMBER(R54)),Q54/R54,"")</f>
        <v>0.719512195121951</v>
      </c>
      <c r="T54" s="5" t="n">
        <v>-0.198</v>
      </c>
      <c r="U54" s="5" t="n">
        <v>0.131</v>
      </c>
      <c r="V54" s="6" t="n">
        <f aca="false">IF(AND(ISNUMBER(T54),ISNUMBER(U54)),T54/U54,"")</f>
        <v>-1.51145038167939</v>
      </c>
      <c r="W54" s="7" t="n">
        <v>64</v>
      </c>
      <c r="X54" s="5" t="n">
        <v>-0.01</v>
      </c>
      <c r="Y54" s="5" t="n">
        <v>0.061</v>
      </c>
      <c r="Z54" s="5" t="n">
        <v>0.085</v>
      </c>
      <c r="AA54" s="5" t="n">
        <v>0.046</v>
      </c>
    </row>
    <row r="55" customFormat="false" ht="15" hidden="false" customHeight="false" outlineLevel="0" collapsed="false">
      <c r="A55" s="4" t="s">
        <v>77</v>
      </c>
      <c r="B55" s="7" t="s">
        <v>333</v>
      </c>
      <c r="C55" s="7" t="n">
        <v>132</v>
      </c>
      <c r="D55" s="7" t="n">
        <v>103</v>
      </c>
      <c r="E55" s="5" t="s">
        <v>27</v>
      </c>
      <c r="F55" s="5" t="s">
        <v>27</v>
      </c>
      <c r="G55" s="6"/>
      <c r="H55" s="5" t="n">
        <v>-0.23</v>
      </c>
      <c r="I55" s="5" t="n">
        <v>0.085</v>
      </c>
      <c r="J55" s="6" t="n">
        <f aca="false">IF(AND(ISNUMBER(H55),ISNUMBER(I55)),H55/I55,"")</f>
        <v>-2.70588235294118</v>
      </c>
      <c r="K55" s="5" t="n">
        <v>-0.242</v>
      </c>
      <c r="L55" s="5" t="n">
        <v>0.092</v>
      </c>
      <c r="M55" s="6" t="n">
        <f aca="false">IF(AND(ISNUMBER(K55),ISNUMBER(L55)),K55/L55,"")</f>
        <v>-2.6304347826087</v>
      </c>
      <c r="N55" s="5" t="n">
        <v>-0.213</v>
      </c>
      <c r="O55" s="5" t="n">
        <v>0.106</v>
      </c>
      <c r="P55" s="6" t="n">
        <f aca="false">IF(AND(ISNUMBER(N55),ISNUMBER(O55)),N55/O55,"")</f>
        <v>-2.00943396226415</v>
      </c>
      <c r="Q55" s="5" t="n">
        <v>-0.267</v>
      </c>
      <c r="R55" s="5" t="n">
        <v>0.089</v>
      </c>
      <c r="S55" s="6" t="n">
        <f aca="false">IF(AND(ISNUMBER(Q55),ISNUMBER(R55)),Q55/R55,"")</f>
        <v>-3</v>
      </c>
      <c r="T55" s="5" t="n">
        <v>-0.284</v>
      </c>
      <c r="U55" s="5" t="n">
        <v>0.132</v>
      </c>
      <c r="V55" s="6" t="n">
        <f aca="false">IF(AND(ISNUMBER(T55),ISNUMBER(U55)),T55/U55,"")</f>
        <v>-2.15151515151515</v>
      </c>
      <c r="W55" s="7" t="n">
        <v>64</v>
      </c>
      <c r="X55" s="5" t="n">
        <v>-0.248</v>
      </c>
      <c r="Y55" s="5" t="n">
        <v>0.074</v>
      </c>
      <c r="Z55" s="5" t="n">
        <v>-0.351</v>
      </c>
      <c r="AA55" s="5" t="n">
        <v>0.052</v>
      </c>
    </row>
    <row r="56" customFormat="false" ht="15" hidden="false" customHeight="false" outlineLevel="0" collapsed="false">
      <c r="A56" s="4" t="s">
        <v>79</v>
      </c>
      <c r="B56" s="7" t="s">
        <v>333</v>
      </c>
      <c r="C56" s="7" t="n">
        <v>132</v>
      </c>
      <c r="D56" s="7" t="n">
        <v>103</v>
      </c>
      <c r="E56" s="5" t="s">
        <v>27</v>
      </c>
      <c r="F56" s="5" t="s">
        <v>27</v>
      </c>
      <c r="G56" s="6"/>
      <c r="H56" s="5" t="n">
        <v>-0.294</v>
      </c>
      <c r="I56" s="5" t="n">
        <v>0.073</v>
      </c>
      <c r="J56" s="6" t="n">
        <f aca="false">IF(AND(ISNUMBER(H56),ISNUMBER(I56)),H56/I56,"")</f>
        <v>-4.02739726027397</v>
      </c>
      <c r="K56" s="5" t="n">
        <v>-0.254</v>
      </c>
      <c r="L56" s="5" t="n">
        <v>0.074</v>
      </c>
      <c r="M56" s="6" t="n">
        <f aca="false">IF(AND(ISNUMBER(K56),ISNUMBER(L56)),K56/L56,"")</f>
        <v>-3.43243243243243</v>
      </c>
      <c r="N56" s="5" t="n">
        <v>-0.193</v>
      </c>
      <c r="O56" s="5" t="n">
        <v>0.088</v>
      </c>
      <c r="P56" s="6" t="n">
        <f aca="false">IF(AND(ISNUMBER(N56),ISNUMBER(O56)),N56/O56,"")</f>
        <v>-2.19318181818182</v>
      </c>
      <c r="Q56" s="5" t="n">
        <v>-0.253</v>
      </c>
      <c r="R56" s="5" t="n">
        <v>0.072</v>
      </c>
      <c r="S56" s="6" t="n">
        <f aca="false">IF(AND(ISNUMBER(Q56),ISNUMBER(R56)),Q56/R56,"")</f>
        <v>-3.51388888888889</v>
      </c>
      <c r="T56" s="5" t="n">
        <v>-0.318</v>
      </c>
      <c r="U56" s="5" t="n">
        <v>0.12</v>
      </c>
      <c r="V56" s="6" t="n">
        <f aca="false">IF(AND(ISNUMBER(T56),ISNUMBER(U56)),T56/U56,"")</f>
        <v>-2.65</v>
      </c>
      <c r="W56" s="7" t="n">
        <v>64</v>
      </c>
      <c r="X56" s="5" t="n">
        <v>-0.261</v>
      </c>
      <c r="Y56" s="5" t="n">
        <v>0.067</v>
      </c>
      <c r="Z56" s="5" t="n">
        <v>-0.087</v>
      </c>
      <c r="AA56" s="5" t="n">
        <v>0.051</v>
      </c>
    </row>
    <row r="57" customFormat="false" ht="15" hidden="false" customHeight="false" outlineLevel="0" collapsed="false">
      <c r="A57" s="4" t="s">
        <v>81</v>
      </c>
      <c r="B57" s="7" t="s">
        <v>333</v>
      </c>
      <c r="C57" s="7" t="n">
        <v>132</v>
      </c>
      <c r="D57" s="7" t="n">
        <v>103</v>
      </c>
      <c r="E57" s="5" t="s">
        <v>27</v>
      </c>
      <c r="F57" s="5" t="s">
        <v>27</v>
      </c>
      <c r="G57" s="6"/>
      <c r="H57" s="5" t="n">
        <v>0.017</v>
      </c>
      <c r="I57" s="5" t="n">
        <v>0.08</v>
      </c>
      <c r="J57" s="6" t="n">
        <f aca="false">IF(AND(ISNUMBER(H57),ISNUMBER(I57)),H57/I57,"")</f>
        <v>0.2125</v>
      </c>
      <c r="K57" s="5" t="n">
        <v>0.033</v>
      </c>
      <c r="L57" s="5" t="n">
        <v>0.084</v>
      </c>
      <c r="M57" s="6" t="n">
        <f aca="false">IF(AND(ISNUMBER(K57),ISNUMBER(L57)),K57/L57,"")</f>
        <v>0.392857142857143</v>
      </c>
      <c r="N57" s="5" t="n">
        <v>0.085</v>
      </c>
      <c r="O57" s="5" t="n">
        <v>0.098</v>
      </c>
      <c r="P57" s="6" t="n">
        <f aca="false">IF(AND(ISNUMBER(N57),ISNUMBER(O57)),N57/O57,"")</f>
        <v>0.86734693877551</v>
      </c>
      <c r="Q57" s="5" t="n">
        <v>0.041</v>
      </c>
      <c r="R57" s="5" t="n">
        <v>0.084</v>
      </c>
      <c r="S57" s="6" t="n">
        <f aca="false">IF(AND(ISNUMBER(Q57),ISNUMBER(R57)),Q57/R57,"")</f>
        <v>0.488095238095238</v>
      </c>
      <c r="T57" s="5" t="n">
        <v>-0.023</v>
      </c>
      <c r="U57" s="5" t="n">
        <v>0.134</v>
      </c>
      <c r="V57" s="6" t="n">
        <f aca="false">IF(AND(ISNUMBER(T57),ISNUMBER(U57)),T57/U57,"")</f>
        <v>-0.171641791044776</v>
      </c>
      <c r="W57" s="7" t="n">
        <v>64</v>
      </c>
      <c r="X57" s="5" t="n">
        <v>-0.02</v>
      </c>
      <c r="Y57" s="5" t="n">
        <v>0.067</v>
      </c>
      <c r="Z57" s="5" t="n">
        <v>-0.013</v>
      </c>
      <c r="AA57" s="5" t="n">
        <v>0.048</v>
      </c>
    </row>
    <row r="58" customFormat="false" ht="23.85" hidden="false" customHeight="false" outlineLevel="0" collapsed="false">
      <c r="A58" s="4" t="s">
        <v>35</v>
      </c>
      <c r="B58" s="7" t="s">
        <v>333</v>
      </c>
      <c r="C58" s="7" t="n">
        <v>132</v>
      </c>
      <c r="D58" s="7" t="n">
        <v>103</v>
      </c>
      <c r="E58" s="5" t="s">
        <v>27</v>
      </c>
      <c r="F58" s="5" t="s">
        <v>27</v>
      </c>
      <c r="G58" s="6"/>
      <c r="H58" s="5" t="n">
        <v>-0.02</v>
      </c>
      <c r="I58" s="5" t="n">
        <v>0.089</v>
      </c>
      <c r="J58" s="6" t="n">
        <f aca="false">IF(AND(ISNUMBER(H58),ISNUMBER(I58)),H58/I58,"")</f>
        <v>-0.224719101123596</v>
      </c>
      <c r="K58" s="5" t="n">
        <v>0.086</v>
      </c>
      <c r="L58" s="5" t="n">
        <v>0.102</v>
      </c>
      <c r="M58" s="6" t="n">
        <f aca="false">IF(AND(ISNUMBER(K58),ISNUMBER(L58)),K58/L58,"")</f>
        <v>0.843137254901961</v>
      </c>
      <c r="N58" s="5" t="n">
        <v>0.077</v>
      </c>
      <c r="O58" s="5" t="n">
        <v>0.125</v>
      </c>
      <c r="P58" s="6" t="n">
        <f aca="false">IF(AND(ISNUMBER(N58),ISNUMBER(O58)),N58/O58,"")</f>
        <v>0.616</v>
      </c>
      <c r="Q58" s="5" t="n">
        <v>0.066</v>
      </c>
      <c r="R58" s="5" t="n">
        <v>0.104</v>
      </c>
      <c r="S58" s="6" t="n">
        <f aca="false">IF(AND(ISNUMBER(Q58),ISNUMBER(R58)),Q58/R58,"")</f>
        <v>0.634615384615385</v>
      </c>
      <c r="T58" s="5" t="n">
        <v>0.002</v>
      </c>
      <c r="U58" s="5" t="n">
        <v>0.152</v>
      </c>
      <c r="V58" s="6" t="n">
        <f aca="false">IF(AND(ISNUMBER(T58),ISNUMBER(U58)),T58/U58,"")</f>
        <v>0.0131578947368421</v>
      </c>
      <c r="W58" s="7" t="n">
        <v>64</v>
      </c>
      <c r="X58" s="5" t="n">
        <v>-0.012</v>
      </c>
      <c r="Y58" s="5" t="n">
        <v>0.073</v>
      </c>
      <c r="Z58" s="5" t="n">
        <v>-0.082</v>
      </c>
      <c r="AA58" s="5" t="n">
        <v>0.053</v>
      </c>
    </row>
    <row r="59" customFormat="false" ht="15" hidden="false" customHeight="false" outlineLevel="0" collapsed="false">
      <c r="A59" s="4" t="s">
        <v>84</v>
      </c>
      <c r="B59" s="7" t="s">
        <v>333</v>
      </c>
      <c r="C59" s="7" t="n">
        <v>132</v>
      </c>
      <c r="D59" s="7" t="n">
        <v>103</v>
      </c>
      <c r="E59" s="5" t="s">
        <v>27</v>
      </c>
      <c r="F59" s="5" t="s">
        <v>27</v>
      </c>
      <c r="G59" s="6"/>
      <c r="H59" s="5" t="n">
        <v>-0.195</v>
      </c>
      <c r="I59" s="5" t="n">
        <v>0.081</v>
      </c>
      <c r="J59" s="6" t="n">
        <f aca="false">IF(AND(ISNUMBER(H59),ISNUMBER(I59)),H59/I59,"")</f>
        <v>-2.40740740740741</v>
      </c>
      <c r="K59" s="5" t="n">
        <v>-0.163</v>
      </c>
      <c r="L59" s="5" t="n">
        <v>0.092</v>
      </c>
      <c r="M59" s="6" t="n">
        <f aca="false">IF(AND(ISNUMBER(K59),ISNUMBER(L59)),K59/L59,"")</f>
        <v>-1.77173913043478</v>
      </c>
      <c r="N59" s="5" t="n">
        <v>-0.09</v>
      </c>
      <c r="O59" s="5" t="n">
        <v>0.107</v>
      </c>
      <c r="P59" s="6" t="n">
        <f aca="false">IF(AND(ISNUMBER(N59),ISNUMBER(O59)),N59/O59,"")</f>
        <v>-0.841121495327103</v>
      </c>
      <c r="Q59" s="5" t="n">
        <v>-0.193</v>
      </c>
      <c r="R59" s="5" t="n">
        <v>0.086</v>
      </c>
      <c r="S59" s="6" t="n">
        <f aca="false">IF(AND(ISNUMBER(Q59),ISNUMBER(R59)),Q59/R59,"")</f>
        <v>-2.24418604651163</v>
      </c>
      <c r="T59" s="5" t="n">
        <v>-0.251</v>
      </c>
      <c r="U59" s="5" t="n">
        <v>0.14</v>
      </c>
      <c r="V59" s="6" t="n">
        <f aca="false">IF(AND(ISNUMBER(T59),ISNUMBER(U59)),T59/U59,"")</f>
        <v>-1.79285714285714</v>
      </c>
      <c r="W59" s="7" t="n">
        <v>64</v>
      </c>
      <c r="X59" s="5" t="n">
        <v>-0.193</v>
      </c>
      <c r="Y59" s="5" t="n">
        <v>0.073</v>
      </c>
      <c r="Z59" s="5" t="n">
        <v>-0.118</v>
      </c>
      <c r="AA59" s="5" t="n">
        <v>0.055</v>
      </c>
    </row>
    <row r="60" customFormat="false" ht="15" hidden="false" customHeight="false" outlineLevel="0" collapsed="false">
      <c r="A60" s="4" t="s">
        <v>86</v>
      </c>
      <c r="B60" s="7" t="s">
        <v>333</v>
      </c>
      <c r="C60" s="7" t="n">
        <v>132</v>
      </c>
      <c r="D60" s="7" t="n">
        <v>103</v>
      </c>
      <c r="E60" s="5" t="s">
        <v>27</v>
      </c>
      <c r="F60" s="5" t="s">
        <v>27</v>
      </c>
      <c r="G60" s="6"/>
      <c r="H60" s="5" t="n">
        <v>-0.151</v>
      </c>
      <c r="I60" s="5" t="n">
        <v>0.072</v>
      </c>
      <c r="J60" s="6" t="n">
        <f aca="false">IF(AND(ISNUMBER(H60),ISNUMBER(I60)),H60/I60,"")</f>
        <v>-2.09722222222222</v>
      </c>
      <c r="K60" s="5" t="n">
        <v>-0.115</v>
      </c>
      <c r="L60" s="5" t="n">
        <v>0.087</v>
      </c>
      <c r="M60" s="6" t="n">
        <f aca="false">IF(AND(ISNUMBER(K60),ISNUMBER(L60)),K60/L60,"")</f>
        <v>-1.32183908045977</v>
      </c>
      <c r="N60" s="5" t="n">
        <v>-0.045</v>
      </c>
      <c r="O60" s="5" t="n">
        <v>0.101</v>
      </c>
      <c r="P60" s="6" t="n">
        <f aca="false">IF(AND(ISNUMBER(N60),ISNUMBER(O60)),N60/O60,"")</f>
        <v>-0.445544554455446</v>
      </c>
      <c r="Q60" s="5" t="n">
        <v>-0.129</v>
      </c>
      <c r="R60" s="5" t="n">
        <v>0.085</v>
      </c>
      <c r="S60" s="6" t="n">
        <f aca="false">IF(AND(ISNUMBER(Q60),ISNUMBER(R60)),Q60/R60,"")</f>
        <v>-1.51764705882353</v>
      </c>
      <c r="T60" s="5" t="n">
        <v>-0.139</v>
      </c>
      <c r="U60" s="5" t="n">
        <v>0.121</v>
      </c>
      <c r="V60" s="6" t="n">
        <f aca="false">IF(AND(ISNUMBER(T60),ISNUMBER(U60)),T60/U60,"")</f>
        <v>-1.14876033057851</v>
      </c>
      <c r="W60" s="7" t="n">
        <v>64</v>
      </c>
      <c r="X60" s="5" t="n">
        <v>-0.165</v>
      </c>
      <c r="Y60" s="5" t="n">
        <v>0.062</v>
      </c>
      <c r="Z60" s="5" t="n">
        <v>-0.101</v>
      </c>
      <c r="AA60" s="5" t="n">
        <v>0.046</v>
      </c>
    </row>
    <row r="61" customFormat="false" ht="23.85" hidden="false" customHeight="false" outlineLevel="0" collapsed="false">
      <c r="A61" s="4" t="s">
        <v>88</v>
      </c>
      <c r="B61" s="7" t="s">
        <v>333</v>
      </c>
      <c r="C61" s="7" t="n">
        <v>132</v>
      </c>
      <c r="D61" s="7" t="n">
        <v>103</v>
      </c>
      <c r="E61" s="5" t="s">
        <v>27</v>
      </c>
      <c r="F61" s="5" t="s">
        <v>27</v>
      </c>
      <c r="G61" s="6"/>
      <c r="H61" s="5" t="n">
        <v>-0.152</v>
      </c>
      <c r="I61" s="5" t="n">
        <v>0.065</v>
      </c>
      <c r="J61" s="6" t="n">
        <f aca="false">IF(AND(ISNUMBER(H61),ISNUMBER(I61)),H61/I61,"")</f>
        <v>-2.33846153846154</v>
      </c>
      <c r="K61" s="5" t="n">
        <v>-0.035</v>
      </c>
      <c r="L61" s="5" t="n">
        <v>0.077</v>
      </c>
      <c r="M61" s="6" t="n">
        <f aca="false">IF(AND(ISNUMBER(K61),ISNUMBER(L61)),K61/L61,"")</f>
        <v>-0.454545454545455</v>
      </c>
      <c r="N61" s="5" t="n">
        <v>-0.077</v>
      </c>
      <c r="O61" s="5" t="n">
        <v>0.088</v>
      </c>
      <c r="P61" s="6" t="n">
        <f aca="false">IF(AND(ISNUMBER(N61),ISNUMBER(O61)),N61/O61,"")</f>
        <v>-0.875</v>
      </c>
      <c r="Q61" s="5" t="n">
        <v>-0.042</v>
      </c>
      <c r="R61" s="5" t="n">
        <v>0.074</v>
      </c>
      <c r="S61" s="6" t="n">
        <f aca="false">IF(AND(ISNUMBER(Q61),ISNUMBER(R61)),Q61/R61,"")</f>
        <v>-0.567567567567568</v>
      </c>
      <c r="T61" s="5" t="n">
        <v>-0.201</v>
      </c>
      <c r="U61" s="5" t="n">
        <v>0.118</v>
      </c>
      <c r="V61" s="6" t="n">
        <f aca="false">IF(AND(ISNUMBER(T61),ISNUMBER(U61)),T61/U61,"")</f>
        <v>-1.70338983050847</v>
      </c>
      <c r="W61" s="7" t="n">
        <v>64</v>
      </c>
      <c r="X61" s="5" t="n">
        <v>-0.152</v>
      </c>
      <c r="Y61" s="5" t="n">
        <v>0.055</v>
      </c>
      <c r="Z61" s="5" t="n">
        <v>-0.069</v>
      </c>
      <c r="AA61" s="5" t="n">
        <v>0.039</v>
      </c>
    </row>
  </sheetData>
  <mergeCells coun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3" min="3" style="0" width="11"/>
    <col collapsed="false" customWidth="true" hidden="false" outlineLevel="0" max="4" min="4" style="0" width="10"/>
    <col collapsed="false" customWidth="true" hidden="false" outlineLevel="0" max="5" min="5" style="0" width="9"/>
    <col collapsed="false" customWidth="true" hidden="false" outlineLevel="0" max="6" min="6" style="0" width="11"/>
    <col collapsed="false" customWidth="true" hidden="false" outlineLevel="0" max="7" min="7" style="0" width="9"/>
    <col collapsed="false" customWidth="true" hidden="false" outlineLevel="0" max="8" min="8" style="0" width="12"/>
    <col collapsed="false" customWidth="true" hidden="false" outlineLevel="0" max="9" min="9" style="0" width="9"/>
    <col collapsed="false" customWidth="true" hidden="false" outlineLevel="0" max="10" min="10" style="0" width="10"/>
    <col collapsed="false" customWidth="true" hidden="false" outlineLevel="0" max="13" min="11" style="0" width="11"/>
    <col collapsed="false" customWidth="true" hidden="false" outlineLevel="0" max="14" min="14" style="0" width="12"/>
    <col collapsed="false" customWidth="true" hidden="false" outlineLevel="0" max="16" min="15" style="0" width="11"/>
    <col collapsed="false" customWidth="true" hidden="false" outlineLevel="0" max="17" min="17" style="0" width="12"/>
  </cols>
  <sheetData>
    <row r="1" customFormat="false" ht="15" hidden="false" customHeight="false" outlineLevel="0" collapsed="false">
      <c r="A1" s="1" t="s">
        <v>334</v>
      </c>
    </row>
    <row r="2" customFormat="false" ht="70.5" hidden="false" customHeight="true" outlineLevel="0" collapsed="false">
      <c r="A2" s="2" t="s">
        <v>335</v>
      </c>
      <c r="B2" s="2"/>
      <c r="C2" s="2"/>
      <c r="D2" s="2"/>
      <c r="E2" s="2"/>
      <c r="F2" s="2"/>
      <c r="G2" s="2"/>
      <c r="H2" s="2"/>
      <c r="I2" s="2"/>
      <c r="J2" s="2"/>
      <c r="K2" s="2"/>
      <c r="L2" s="2"/>
      <c r="M2" s="2"/>
      <c r="N2" s="2"/>
      <c r="O2" s="2"/>
      <c r="P2" s="2"/>
      <c r="Q2" s="2"/>
    </row>
    <row r="4" customFormat="false" ht="69.75" hidden="false" customHeight="true" outlineLevel="0" collapsed="false">
      <c r="A4" s="3" t="s">
        <v>3</v>
      </c>
      <c r="B4" s="3" t="s">
        <v>318</v>
      </c>
      <c r="C4" s="3" t="s">
        <v>8</v>
      </c>
      <c r="D4" s="3" t="s">
        <v>336</v>
      </c>
      <c r="E4" s="3" t="s">
        <v>337</v>
      </c>
      <c r="F4" s="3" t="s">
        <v>338</v>
      </c>
      <c r="G4" s="3" t="s">
        <v>339</v>
      </c>
      <c r="H4" s="3" t="s">
        <v>340</v>
      </c>
      <c r="I4" s="3" t="s">
        <v>341</v>
      </c>
      <c r="J4" s="3" t="s">
        <v>342</v>
      </c>
      <c r="K4" s="3" t="s">
        <v>343</v>
      </c>
      <c r="L4" s="3" t="s">
        <v>344</v>
      </c>
      <c r="M4" s="3" t="s">
        <v>5</v>
      </c>
      <c r="N4" s="3" t="s">
        <v>345</v>
      </c>
      <c r="O4" s="3" t="s">
        <v>346</v>
      </c>
      <c r="P4" s="3" t="s">
        <v>347</v>
      </c>
      <c r="Q4" s="3" t="s">
        <v>348</v>
      </c>
    </row>
    <row r="5" customFormat="false" ht="15" hidden="false" customHeight="false" outlineLevel="0" collapsed="false">
      <c r="A5" s="4" t="s">
        <v>18</v>
      </c>
      <c r="B5" s="7" t="s">
        <v>50</v>
      </c>
      <c r="C5" s="5" t="n">
        <v>0.297</v>
      </c>
      <c r="D5" s="5" t="n">
        <v>0.084</v>
      </c>
      <c r="E5" s="5" t="n">
        <v>0</v>
      </c>
      <c r="F5" s="5" t="n">
        <v>0.082</v>
      </c>
      <c r="G5" s="5" t="n">
        <v>0</v>
      </c>
      <c r="H5" s="5" t="n">
        <v>0.084</v>
      </c>
      <c r="I5" s="5" t="n">
        <v>0</v>
      </c>
      <c r="J5" s="5" t="n">
        <v>0.008</v>
      </c>
      <c r="K5" s="5" t="n">
        <v>0.001</v>
      </c>
      <c r="L5" s="5" t="n">
        <v>0.008</v>
      </c>
      <c r="M5" s="5" t="n">
        <v>0.239</v>
      </c>
      <c r="N5" s="5" t="n">
        <v>0.11</v>
      </c>
      <c r="O5" s="5" t="n">
        <v>0.03</v>
      </c>
      <c r="P5" s="5" t="n">
        <v>0.006</v>
      </c>
      <c r="Q5" s="5" t="n">
        <v>0.012</v>
      </c>
    </row>
    <row r="6" customFormat="false" ht="15" hidden="false" customHeight="false" outlineLevel="0" collapsed="false">
      <c r="A6" s="4" t="s">
        <v>22</v>
      </c>
      <c r="B6" s="7" t="s">
        <v>50</v>
      </c>
      <c r="C6" s="5" t="n">
        <v>0.086</v>
      </c>
      <c r="D6" s="5" t="n">
        <v>0.085</v>
      </c>
      <c r="E6" s="5" t="n">
        <v>0.312</v>
      </c>
      <c r="F6" s="5" t="n">
        <v>0.082</v>
      </c>
      <c r="G6" s="5" t="n">
        <v>0.298</v>
      </c>
      <c r="H6" s="5" t="n">
        <v>0.081</v>
      </c>
      <c r="I6" s="5" t="n">
        <v>0.29</v>
      </c>
      <c r="J6" s="5" t="n">
        <v>0.43</v>
      </c>
      <c r="K6" s="5" t="n">
        <v>0.281</v>
      </c>
      <c r="L6" s="5" t="n">
        <v>0.72</v>
      </c>
      <c r="M6" s="5" t="n">
        <v>0.168</v>
      </c>
      <c r="N6" s="5" t="n">
        <v>0.111</v>
      </c>
      <c r="O6" s="5" t="n">
        <v>0.131</v>
      </c>
      <c r="P6" s="5" t="n">
        <v>0.092</v>
      </c>
      <c r="Q6" s="5" t="n">
        <v>0.871</v>
      </c>
    </row>
    <row r="7" customFormat="false" ht="15" hidden="false" customHeight="false" outlineLevel="0" collapsed="false">
      <c r="A7" s="4" t="s">
        <v>24</v>
      </c>
      <c r="B7" s="7" t="s">
        <v>50</v>
      </c>
      <c r="C7" s="5" t="n">
        <v>0.12</v>
      </c>
      <c r="D7" s="5" t="n">
        <v>0.078</v>
      </c>
      <c r="E7" s="5" t="n">
        <v>0.123</v>
      </c>
      <c r="F7" s="5" t="n">
        <v>0.078</v>
      </c>
      <c r="G7" s="5" t="n">
        <v>0.122</v>
      </c>
      <c r="H7" s="5" t="n">
        <v>0.077</v>
      </c>
      <c r="I7" s="5" t="n">
        <v>0.117</v>
      </c>
      <c r="J7" s="5" t="n">
        <v>0.149</v>
      </c>
      <c r="K7" s="5" t="n">
        <v>0.089</v>
      </c>
      <c r="L7" s="5" t="n">
        <v>0.495</v>
      </c>
      <c r="M7" s="5" t="n">
        <v>0.219</v>
      </c>
      <c r="N7" s="5" t="n">
        <v>0.097</v>
      </c>
      <c r="O7" s="5" t="n">
        <v>0.023</v>
      </c>
      <c r="P7" s="5" t="n">
        <v>0.012</v>
      </c>
      <c r="Q7" s="5" t="n">
        <v>0.713</v>
      </c>
    </row>
    <row r="8" customFormat="false" ht="15" hidden="false" customHeight="false" outlineLevel="0" collapsed="false">
      <c r="A8" s="4" t="s">
        <v>26</v>
      </c>
      <c r="B8" s="7" t="s">
        <v>50</v>
      </c>
      <c r="C8" s="5" t="n">
        <v>0.396</v>
      </c>
      <c r="D8" s="5" t="n">
        <v>0.062</v>
      </c>
      <c r="E8" s="5" t="n">
        <v>0</v>
      </c>
      <c r="F8" s="5" t="n">
        <v>0.062</v>
      </c>
      <c r="G8" s="5" t="n">
        <v>0</v>
      </c>
      <c r="H8" s="5" t="n">
        <v>0.062</v>
      </c>
      <c r="I8" s="5" t="n">
        <v>0</v>
      </c>
      <c r="J8" s="5" t="n">
        <v>0.002</v>
      </c>
      <c r="K8" s="5" t="n">
        <v>0</v>
      </c>
      <c r="L8" s="5" t="n">
        <v>0</v>
      </c>
      <c r="M8" s="5" t="n">
        <v>0.298</v>
      </c>
      <c r="N8" s="5" t="n">
        <v>0.09</v>
      </c>
      <c r="O8" s="5" t="n">
        <v>0.001</v>
      </c>
      <c r="P8" s="5" t="n">
        <v>0</v>
      </c>
      <c r="Q8" s="5" t="n">
        <v>0</v>
      </c>
    </row>
    <row r="9" customFormat="false" ht="15" hidden="false" customHeight="false" outlineLevel="0" collapsed="false">
      <c r="A9" s="4" t="s">
        <v>29</v>
      </c>
      <c r="B9" s="7" t="s">
        <v>50</v>
      </c>
      <c r="C9" s="5" t="n">
        <v>0.472</v>
      </c>
      <c r="D9" s="5" t="n">
        <v>0.072</v>
      </c>
      <c r="E9" s="5" t="n">
        <v>0</v>
      </c>
      <c r="F9" s="5" t="n">
        <v>0.072</v>
      </c>
      <c r="G9" s="5" t="n">
        <v>0</v>
      </c>
      <c r="H9" s="5" t="n">
        <v>0.07</v>
      </c>
      <c r="I9" s="5" t="n">
        <v>0</v>
      </c>
      <c r="J9" s="5" t="n">
        <v>0.001</v>
      </c>
      <c r="K9" s="5" t="n">
        <v>0</v>
      </c>
      <c r="L9" s="5" t="n">
        <v>0</v>
      </c>
      <c r="M9" s="5" t="n">
        <v>0.437</v>
      </c>
      <c r="N9" s="5" t="n">
        <v>0.089</v>
      </c>
      <c r="O9" s="5" t="n">
        <v>0</v>
      </c>
      <c r="P9" s="5" t="n">
        <v>0</v>
      </c>
      <c r="Q9" s="5" t="n">
        <v>0</v>
      </c>
    </row>
    <row r="10" customFormat="false" ht="23.85" hidden="false" customHeight="false" outlineLevel="0" collapsed="false">
      <c r="A10" s="4" t="s">
        <v>31</v>
      </c>
      <c r="B10" s="7" t="s">
        <v>50</v>
      </c>
      <c r="C10" s="5" t="n">
        <v>0.08</v>
      </c>
      <c r="D10" s="5" t="n">
        <v>0.073</v>
      </c>
      <c r="E10" s="5" t="n">
        <v>0.271</v>
      </c>
      <c r="F10" s="5" t="n">
        <v>0.072</v>
      </c>
      <c r="G10" s="5" t="n">
        <v>0.267</v>
      </c>
      <c r="H10" s="5" t="n">
        <v>0.072</v>
      </c>
      <c r="I10" s="5" t="n">
        <v>0.269</v>
      </c>
      <c r="J10" s="5" t="n">
        <v>0.268</v>
      </c>
      <c r="K10" s="5" t="n">
        <v>0.226</v>
      </c>
      <c r="L10" s="5" t="n">
        <v>0.72</v>
      </c>
      <c r="M10" s="5" t="n">
        <v>0.077</v>
      </c>
      <c r="N10" s="5" t="n">
        <v>0.092</v>
      </c>
      <c r="O10" s="5" t="n">
        <v>0.405</v>
      </c>
      <c r="P10" s="5" t="n">
        <v>0.223</v>
      </c>
      <c r="Q10" s="5" t="n">
        <v>0.871</v>
      </c>
    </row>
    <row r="11" customFormat="false" ht="15" hidden="false" customHeight="false" outlineLevel="0" collapsed="false">
      <c r="A11" s="4" t="s">
        <v>33</v>
      </c>
      <c r="B11" s="7" t="s">
        <v>50</v>
      </c>
      <c r="C11" s="5" t="n">
        <v>0.074</v>
      </c>
      <c r="D11" s="5" t="n">
        <v>0.077</v>
      </c>
      <c r="E11" s="5" t="n">
        <v>0.34</v>
      </c>
      <c r="F11" s="5" t="n">
        <v>0.071</v>
      </c>
      <c r="G11" s="5" t="n">
        <v>0.3</v>
      </c>
      <c r="H11" s="5" t="n">
        <v>0.071</v>
      </c>
      <c r="I11" s="5" t="n">
        <v>0.3</v>
      </c>
      <c r="J11" s="5" t="n">
        <v>0.551</v>
      </c>
      <c r="K11" s="5" t="n">
        <v>0.321</v>
      </c>
      <c r="L11" s="5" t="n">
        <v>0.72</v>
      </c>
      <c r="M11" s="5" t="n">
        <v>0.145</v>
      </c>
      <c r="N11" s="5" t="n">
        <v>0.101</v>
      </c>
      <c r="O11" s="5" t="n">
        <v>0.149</v>
      </c>
      <c r="P11" s="5" t="n">
        <v>0.094</v>
      </c>
      <c r="Q11" s="5" t="n">
        <v>0.871</v>
      </c>
    </row>
    <row r="12" customFormat="false" ht="23.85" hidden="false" customHeight="false" outlineLevel="0" collapsed="false">
      <c r="A12" s="4" t="s">
        <v>35</v>
      </c>
      <c r="B12" s="7" t="s">
        <v>50</v>
      </c>
      <c r="C12" s="5" t="n">
        <v>-0.008</v>
      </c>
      <c r="D12" s="5" t="n">
        <v>0.082</v>
      </c>
      <c r="E12" s="5" t="n">
        <v>0.927</v>
      </c>
      <c r="F12" s="5" t="n">
        <v>0.079</v>
      </c>
      <c r="G12" s="5" t="n">
        <v>0.924</v>
      </c>
      <c r="H12" s="5" t="n">
        <v>0.08</v>
      </c>
      <c r="I12" s="5" t="n">
        <v>0.925</v>
      </c>
      <c r="J12" s="5" t="n">
        <v>0.944</v>
      </c>
      <c r="K12" s="5" t="n">
        <v>0.932</v>
      </c>
      <c r="L12" s="5" t="n">
        <v>0.912</v>
      </c>
      <c r="M12" s="5" t="n">
        <v>0.085</v>
      </c>
      <c r="N12" s="5" t="n">
        <v>0.102</v>
      </c>
      <c r="O12" s="5" t="n">
        <v>0.408</v>
      </c>
      <c r="P12" s="5" t="n">
        <v>0.372</v>
      </c>
      <c r="Q12" s="5" t="n">
        <v>1</v>
      </c>
    </row>
    <row r="13" customFormat="false" ht="15" hidden="false" customHeight="false" outlineLevel="0" collapsed="false">
      <c r="A13" s="4" t="s">
        <v>38</v>
      </c>
      <c r="B13" s="7" t="s">
        <v>50</v>
      </c>
      <c r="C13" s="5" t="n">
        <v>0.711</v>
      </c>
      <c r="D13" s="5" t="n">
        <v>0.146</v>
      </c>
      <c r="E13" s="5" t="n">
        <v>0</v>
      </c>
      <c r="F13" s="5" t="n">
        <v>0.147</v>
      </c>
      <c r="G13" s="5" t="n">
        <v>0</v>
      </c>
      <c r="H13" s="5" t="n">
        <v>0.145</v>
      </c>
      <c r="I13" s="5" t="n">
        <v>0</v>
      </c>
      <c r="J13" s="5" t="n">
        <v>0.003</v>
      </c>
      <c r="K13" s="5" t="n">
        <v>0</v>
      </c>
      <c r="L13" s="5" t="n">
        <v>0</v>
      </c>
      <c r="M13" s="5" t="n">
        <v>0.627</v>
      </c>
      <c r="N13" s="5" t="n">
        <v>0.239</v>
      </c>
      <c r="O13" s="5" t="n">
        <v>0.009</v>
      </c>
      <c r="P13" s="5" t="n">
        <v>0</v>
      </c>
      <c r="Q13" s="5" t="n">
        <v>0</v>
      </c>
    </row>
    <row r="14" customFormat="false" ht="15" hidden="false" customHeight="false" outlineLevel="0" collapsed="false">
      <c r="A14" s="4" t="s">
        <v>41</v>
      </c>
      <c r="B14" s="7" t="s">
        <v>50</v>
      </c>
      <c r="C14" s="5" t="n">
        <v>-3.139</v>
      </c>
      <c r="D14" s="5" t="n">
        <v>0.48</v>
      </c>
      <c r="E14" s="5" t="n">
        <v>0</v>
      </c>
      <c r="F14" s="5" t="n">
        <v>0.461</v>
      </c>
      <c r="G14" s="5" t="n">
        <v>0</v>
      </c>
      <c r="H14" s="5" t="n">
        <v>0.448</v>
      </c>
      <c r="I14" s="5" t="n">
        <v>0</v>
      </c>
      <c r="J14" s="5" t="n">
        <v>0.002</v>
      </c>
      <c r="K14" s="5" t="n">
        <v>0</v>
      </c>
      <c r="L14" s="5" t="n">
        <v>0</v>
      </c>
      <c r="M14" s="5" t="n">
        <v>-3.189</v>
      </c>
      <c r="N14" s="5" t="n">
        <v>0.444</v>
      </c>
      <c r="O14" s="5" t="n">
        <v>0</v>
      </c>
      <c r="P14" s="5" t="n">
        <v>0</v>
      </c>
      <c r="Q14" s="5" t="n">
        <v>0</v>
      </c>
    </row>
    <row r="15" customFormat="false" ht="15" hidden="false" customHeight="false" outlineLevel="0" collapsed="false">
      <c r="A15" s="4" t="s">
        <v>44</v>
      </c>
      <c r="B15" s="7" t="s">
        <v>50</v>
      </c>
      <c r="C15" s="5" t="n">
        <v>-1.082</v>
      </c>
      <c r="D15" s="5" t="n">
        <v>0.485</v>
      </c>
      <c r="E15" s="5" t="n">
        <v>0.026</v>
      </c>
      <c r="F15" s="5" t="n">
        <v>0.481</v>
      </c>
      <c r="G15" s="5" t="n">
        <v>0.024</v>
      </c>
      <c r="H15" s="5" t="n">
        <v>0.479</v>
      </c>
      <c r="I15" s="5" t="n">
        <v>0.024</v>
      </c>
      <c r="J15" s="5" t="n">
        <v>0.021</v>
      </c>
      <c r="K15" s="5" t="n">
        <v>0.015</v>
      </c>
      <c r="L15" s="5" t="n">
        <v>0.151</v>
      </c>
      <c r="M15" s="5" t="n">
        <v>-1.719</v>
      </c>
      <c r="N15" s="5" t="n">
        <v>0.541</v>
      </c>
      <c r="O15" s="5" t="n">
        <v>0.001</v>
      </c>
      <c r="P15" s="5" t="n">
        <v>0.002</v>
      </c>
      <c r="Q15" s="5" t="n">
        <v>0.271</v>
      </c>
    </row>
    <row r="16" customFormat="false" ht="15" hidden="false" customHeight="false" outlineLevel="0" collapsed="false">
      <c r="A16" s="4" t="s">
        <v>46</v>
      </c>
      <c r="B16" s="7" t="s">
        <v>50</v>
      </c>
      <c r="C16" s="5" t="n">
        <v>-0.506</v>
      </c>
      <c r="D16" s="5" t="n">
        <v>0.448</v>
      </c>
      <c r="E16" s="5" t="n">
        <v>0.259</v>
      </c>
      <c r="F16" s="5" t="n">
        <v>0.447</v>
      </c>
      <c r="G16" s="5" t="n">
        <v>0.258</v>
      </c>
      <c r="H16" s="5" t="n">
        <v>0.43</v>
      </c>
      <c r="I16" s="5" t="n">
        <v>0.239</v>
      </c>
      <c r="J16" s="5" t="n">
        <v>0.248</v>
      </c>
      <c r="K16" s="5" t="n">
        <v>0.243</v>
      </c>
      <c r="L16" s="5" t="n">
        <v>0.72</v>
      </c>
      <c r="M16" s="5" t="n">
        <v>-0.901</v>
      </c>
      <c r="N16" s="5" t="n">
        <v>0.589</v>
      </c>
      <c r="O16" s="5" t="n">
        <v>0.126</v>
      </c>
      <c r="P16" s="5" t="n">
        <v>0.113</v>
      </c>
      <c r="Q16" s="5" t="n">
        <v>0.871</v>
      </c>
    </row>
    <row r="18" customFormat="false" ht="15" hidden="false" customHeight="false" outlineLevel="0" collapsed="false">
      <c r="A18" s="4" t="s">
        <v>18</v>
      </c>
      <c r="B18" s="7" t="s">
        <v>51</v>
      </c>
      <c r="C18" s="5" t="n">
        <v>0.267</v>
      </c>
      <c r="D18" s="5" t="n">
        <v>0.081</v>
      </c>
      <c r="E18" s="5" t="n">
        <v>0.001</v>
      </c>
      <c r="F18" s="5" t="n">
        <v>0.08</v>
      </c>
      <c r="G18" s="5" t="n">
        <v>0.001</v>
      </c>
      <c r="H18" s="5" t="n">
        <v>0.077</v>
      </c>
      <c r="I18" s="5" t="n">
        <v>0.001</v>
      </c>
      <c r="J18" s="5" t="n">
        <v>0.01</v>
      </c>
      <c r="K18" s="5" t="n">
        <v>0.001</v>
      </c>
      <c r="L18" s="5" t="n">
        <v>0.011</v>
      </c>
      <c r="M18" s="5" t="n">
        <v>0.175</v>
      </c>
      <c r="N18" s="5" t="n">
        <v>0.097</v>
      </c>
      <c r="O18" s="5" t="n">
        <v>0.071</v>
      </c>
      <c r="P18" s="5" t="n">
        <v>0.067</v>
      </c>
      <c r="Q18" s="5"/>
    </row>
    <row r="19" customFormat="false" ht="15" hidden="false" customHeight="false" outlineLevel="0" collapsed="false">
      <c r="A19" s="4" t="s">
        <v>22</v>
      </c>
      <c r="B19" s="7" t="s">
        <v>51</v>
      </c>
      <c r="C19" s="5" t="n">
        <v>0.105</v>
      </c>
      <c r="D19" s="5" t="n">
        <v>0.086</v>
      </c>
      <c r="E19" s="5" t="n">
        <v>0.224</v>
      </c>
      <c r="F19" s="5" t="n">
        <v>0.086</v>
      </c>
      <c r="G19" s="5" t="n">
        <v>0.221</v>
      </c>
      <c r="H19" s="5" t="n">
        <v>0.086</v>
      </c>
      <c r="I19" s="5" t="n">
        <v>0.22</v>
      </c>
      <c r="J19" s="5" t="n">
        <v>0.271</v>
      </c>
      <c r="K19" s="5" t="n">
        <v>0.197</v>
      </c>
      <c r="L19" s="5" t="n">
        <v>0.604</v>
      </c>
      <c r="M19" s="5" t="n">
        <v>0.175</v>
      </c>
      <c r="N19" s="5" t="n">
        <v>0.104</v>
      </c>
      <c r="O19" s="5" t="n">
        <v>0.094</v>
      </c>
      <c r="P19" s="5" t="n">
        <v>0.079</v>
      </c>
      <c r="Q19" s="5"/>
    </row>
    <row r="20" customFormat="false" ht="15" hidden="false" customHeight="false" outlineLevel="0" collapsed="false">
      <c r="A20" s="4" t="s">
        <v>24</v>
      </c>
      <c r="B20" s="7" t="s">
        <v>51</v>
      </c>
      <c r="C20" s="5" t="n">
        <v>0.098</v>
      </c>
      <c r="D20" s="5" t="n">
        <v>0.076</v>
      </c>
      <c r="E20" s="5" t="n">
        <v>0.195</v>
      </c>
      <c r="F20" s="5" t="n">
        <v>0.076</v>
      </c>
      <c r="G20" s="5" t="n">
        <v>0.196</v>
      </c>
      <c r="H20" s="5" t="n">
        <v>0.071</v>
      </c>
      <c r="I20" s="5" t="n">
        <v>0.168</v>
      </c>
      <c r="J20" s="5" t="n">
        <v>0.239</v>
      </c>
      <c r="K20" s="5" t="n">
        <v>0.139</v>
      </c>
      <c r="L20" s="5" t="n">
        <v>0.604</v>
      </c>
      <c r="M20" s="5" t="n">
        <v>0.196</v>
      </c>
      <c r="N20" s="5" t="n">
        <v>0.087</v>
      </c>
      <c r="O20" s="5" t="n">
        <v>0.024</v>
      </c>
      <c r="P20" s="5" t="n">
        <v>0.025</v>
      </c>
      <c r="Q20" s="5"/>
    </row>
    <row r="21" customFormat="false" ht="15" hidden="false" customHeight="false" outlineLevel="0" collapsed="false">
      <c r="A21" s="4" t="s">
        <v>26</v>
      </c>
      <c r="B21" s="7" t="s">
        <v>51</v>
      </c>
      <c r="C21" s="5" t="n">
        <v>0.371</v>
      </c>
      <c r="D21" s="5" t="n">
        <v>0.06</v>
      </c>
      <c r="E21" s="5" t="n">
        <v>0</v>
      </c>
      <c r="F21" s="5" t="n">
        <v>0.06</v>
      </c>
      <c r="G21" s="5" t="n">
        <v>0</v>
      </c>
      <c r="H21" s="5" t="n">
        <v>0.059</v>
      </c>
      <c r="I21" s="5" t="n">
        <v>0</v>
      </c>
      <c r="J21" s="5" t="n">
        <v>0</v>
      </c>
      <c r="K21" s="5" t="n">
        <v>0</v>
      </c>
      <c r="L21" s="5" t="n">
        <v>0</v>
      </c>
      <c r="M21" s="5" t="n">
        <v>0.27</v>
      </c>
      <c r="N21" s="5" t="n">
        <v>0.083</v>
      </c>
      <c r="O21" s="5" t="n">
        <v>0.001</v>
      </c>
      <c r="P21" s="5" t="n">
        <v>0</v>
      </c>
      <c r="Q21" s="5"/>
    </row>
    <row r="22" customFormat="false" ht="15" hidden="false" customHeight="false" outlineLevel="0" collapsed="false">
      <c r="A22" s="4" t="s">
        <v>29</v>
      </c>
      <c r="B22" s="7" t="s">
        <v>51</v>
      </c>
      <c r="C22" s="5" t="n">
        <v>0.488</v>
      </c>
      <c r="D22" s="5" t="n">
        <v>0.069</v>
      </c>
      <c r="E22" s="5" t="n">
        <v>0</v>
      </c>
      <c r="F22" s="5" t="n">
        <v>0.069</v>
      </c>
      <c r="G22" s="5" t="n">
        <v>0</v>
      </c>
      <c r="H22" s="5" t="n">
        <v>0.067</v>
      </c>
      <c r="I22" s="5" t="n">
        <v>0</v>
      </c>
      <c r="J22" s="5" t="n">
        <v>0.001</v>
      </c>
      <c r="K22" s="5" t="n">
        <v>0</v>
      </c>
      <c r="L22" s="5" t="n">
        <v>0</v>
      </c>
      <c r="M22" s="5" t="n">
        <v>0.419</v>
      </c>
      <c r="N22" s="5" t="n">
        <v>0.088</v>
      </c>
      <c r="O22" s="5" t="n">
        <v>0</v>
      </c>
      <c r="P22" s="5" t="n">
        <v>0</v>
      </c>
      <c r="Q22" s="5"/>
    </row>
    <row r="23" customFormat="false" ht="23.85" hidden="false" customHeight="false" outlineLevel="0" collapsed="false">
      <c r="A23" s="4" t="s">
        <v>31</v>
      </c>
      <c r="B23" s="7" t="s">
        <v>51</v>
      </c>
      <c r="C23" s="5" t="n">
        <v>0.136</v>
      </c>
      <c r="D23" s="5" t="n">
        <v>0.069</v>
      </c>
      <c r="E23" s="5" t="n">
        <v>0.049</v>
      </c>
      <c r="F23" s="5" t="n">
        <v>0.07</v>
      </c>
      <c r="G23" s="5" t="n">
        <v>0.05</v>
      </c>
      <c r="H23" s="5" t="n">
        <v>0.07</v>
      </c>
      <c r="I23" s="5" t="n">
        <v>0.051</v>
      </c>
      <c r="J23" s="5" t="n">
        <v>0.042</v>
      </c>
      <c r="K23" s="5" t="n">
        <v>0.038</v>
      </c>
      <c r="L23" s="5" t="n">
        <v>0.243</v>
      </c>
      <c r="M23" s="5" t="n">
        <v>0.167</v>
      </c>
      <c r="N23" s="5" t="n">
        <v>0.094</v>
      </c>
      <c r="O23" s="5" t="n">
        <v>0.076</v>
      </c>
      <c r="P23" s="5" t="n">
        <v>0.016</v>
      </c>
      <c r="Q23" s="5"/>
    </row>
    <row r="24" customFormat="false" ht="15" hidden="false" customHeight="false" outlineLevel="0" collapsed="false">
      <c r="A24" s="4" t="s">
        <v>33</v>
      </c>
      <c r="B24" s="7" t="s">
        <v>51</v>
      </c>
      <c r="C24" s="5" t="n">
        <v>0.099</v>
      </c>
      <c r="D24" s="5" t="n">
        <v>0.076</v>
      </c>
      <c r="E24" s="5" t="n">
        <v>0.195</v>
      </c>
      <c r="F24" s="5" t="n">
        <v>0.072</v>
      </c>
      <c r="G24" s="5" t="n">
        <v>0.167</v>
      </c>
      <c r="H24" s="5" t="n">
        <v>0.07</v>
      </c>
      <c r="I24" s="5" t="n">
        <v>0.16</v>
      </c>
      <c r="J24" s="5" t="n">
        <v>0.452</v>
      </c>
      <c r="K24" s="5" t="n">
        <v>0.148</v>
      </c>
      <c r="L24" s="5" t="n">
        <v>0.604</v>
      </c>
      <c r="M24" s="5" t="n">
        <v>0.204</v>
      </c>
      <c r="N24" s="5" t="n">
        <v>0.095</v>
      </c>
      <c r="O24" s="5" t="n">
        <v>0.031</v>
      </c>
      <c r="P24" s="5" t="n">
        <v>0.006</v>
      </c>
      <c r="Q24" s="5"/>
    </row>
    <row r="25" customFormat="false" ht="23.85" hidden="false" customHeight="false" outlineLevel="0" collapsed="false">
      <c r="A25" s="4" t="s">
        <v>35</v>
      </c>
      <c r="B25" s="7" t="s">
        <v>51</v>
      </c>
      <c r="C25" s="5" t="n">
        <v>-0.02</v>
      </c>
      <c r="D25" s="5" t="n">
        <v>0.081</v>
      </c>
      <c r="E25" s="5" t="n">
        <v>0.803</v>
      </c>
      <c r="F25" s="5" t="n">
        <v>0.079</v>
      </c>
      <c r="G25" s="5" t="n">
        <v>0.8</v>
      </c>
      <c r="H25" s="5" t="n">
        <v>0.079</v>
      </c>
      <c r="I25" s="5" t="n">
        <v>0.798</v>
      </c>
      <c r="J25" s="5" t="n">
        <v>0.845</v>
      </c>
      <c r="K25" s="5" t="n">
        <v>0.79</v>
      </c>
      <c r="L25" s="5" t="n">
        <v>0.799</v>
      </c>
      <c r="M25" s="5" t="n">
        <v>0.077</v>
      </c>
      <c r="N25" s="5" t="n">
        <v>0.1</v>
      </c>
      <c r="O25" s="5" t="n">
        <v>0.441</v>
      </c>
      <c r="P25" s="5" t="n">
        <v>0.368</v>
      </c>
      <c r="Q25" s="5"/>
    </row>
    <row r="26" customFormat="false" ht="15" hidden="false" customHeight="false" outlineLevel="0" collapsed="false">
      <c r="A26" s="4" t="s">
        <v>38</v>
      </c>
      <c r="B26" s="7" t="s">
        <v>51</v>
      </c>
      <c r="C26" s="5" t="n">
        <v>0.813</v>
      </c>
      <c r="D26" s="5" t="n">
        <v>0.162</v>
      </c>
      <c r="E26" s="5" t="n">
        <v>0</v>
      </c>
      <c r="F26" s="5" t="n">
        <v>0.162</v>
      </c>
      <c r="G26" s="5" t="n">
        <v>0</v>
      </c>
      <c r="H26" s="5" t="n">
        <v>0.156</v>
      </c>
      <c r="I26" s="5" t="n">
        <v>0</v>
      </c>
      <c r="J26" s="5" t="n">
        <v>0</v>
      </c>
      <c r="K26" s="5" t="n">
        <v>0</v>
      </c>
      <c r="L26" s="5" t="n">
        <v>0</v>
      </c>
      <c r="M26" s="5" t="n">
        <v>0.811</v>
      </c>
      <c r="N26" s="5" t="n">
        <v>0.23</v>
      </c>
      <c r="O26" s="5" t="n">
        <v>0</v>
      </c>
      <c r="P26" s="5" t="n">
        <v>0</v>
      </c>
      <c r="Q26" s="5"/>
    </row>
    <row r="27" customFormat="false" ht="15" hidden="false" customHeight="false" outlineLevel="0" collapsed="false">
      <c r="A27" s="4" t="s">
        <v>41</v>
      </c>
      <c r="B27" s="7" t="s">
        <v>51</v>
      </c>
      <c r="C27" s="5" t="n">
        <v>-2.841</v>
      </c>
      <c r="D27" s="5" t="n">
        <v>0.456</v>
      </c>
      <c r="E27" s="5" t="n">
        <v>0</v>
      </c>
      <c r="F27" s="5" t="n">
        <v>0.447</v>
      </c>
      <c r="G27" s="5" t="n">
        <v>0</v>
      </c>
      <c r="H27" s="5" t="n">
        <v>0.436</v>
      </c>
      <c r="I27" s="5" t="n">
        <v>0</v>
      </c>
      <c r="J27" s="5" t="n">
        <v>0.002</v>
      </c>
      <c r="K27" s="5" t="n">
        <v>0</v>
      </c>
      <c r="L27" s="5" t="n">
        <v>0</v>
      </c>
      <c r="M27" s="5" t="n">
        <v>-2.952</v>
      </c>
      <c r="N27" s="5" t="n">
        <v>0.408</v>
      </c>
      <c r="O27" s="5" t="n">
        <v>0</v>
      </c>
      <c r="P27" s="5" t="n">
        <v>0</v>
      </c>
      <c r="Q27" s="5"/>
    </row>
    <row r="28" customFormat="false" ht="15" hidden="false" customHeight="false" outlineLevel="0" collapsed="false">
      <c r="A28" s="4" t="s">
        <v>44</v>
      </c>
      <c r="B28" s="7" t="s">
        <v>51</v>
      </c>
      <c r="C28" s="5" t="n">
        <v>-1.168</v>
      </c>
      <c r="D28" s="5" t="n">
        <v>0.475</v>
      </c>
      <c r="E28" s="5" t="n">
        <v>0.014</v>
      </c>
      <c r="F28" s="5" t="n">
        <v>0.473</v>
      </c>
      <c r="G28" s="5" t="n">
        <v>0.014</v>
      </c>
      <c r="H28" s="5" t="n">
        <v>0.463</v>
      </c>
      <c r="I28" s="5" t="n">
        <v>0.012</v>
      </c>
      <c r="J28" s="5" t="n">
        <v>0.006</v>
      </c>
      <c r="K28" s="5" t="n">
        <v>0.009</v>
      </c>
      <c r="L28" s="5" t="n">
        <v>0.089</v>
      </c>
      <c r="M28" s="5" t="n">
        <v>-1.908</v>
      </c>
      <c r="N28" s="5" t="n">
        <v>0.509</v>
      </c>
      <c r="O28" s="5" t="n">
        <v>0</v>
      </c>
      <c r="P28" s="5" t="n">
        <v>0</v>
      </c>
      <c r="Q28" s="5"/>
    </row>
    <row r="29" customFormat="false" ht="15" hidden="false" customHeight="false" outlineLevel="0" collapsed="false">
      <c r="A29" s="4" t="s">
        <v>46</v>
      </c>
      <c r="B29" s="7" t="s">
        <v>51</v>
      </c>
      <c r="C29" s="5" t="n">
        <v>-0.315</v>
      </c>
      <c r="D29" s="5" t="n">
        <v>0.447</v>
      </c>
      <c r="E29" s="5" t="n">
        <v>0.481</v>
      </c>
      <c r="F29" s="5" t="n">
        <v>0.45</v>
      </c>
      <c r="G29" s="5" t="n">
        <v>0.485</v>
      </c>
      <c r="H29" s="5" t="n">
        <v>0.428</v>
      </c>
      <c r="I29" s="5" t="n">
        <v>0.463</v>
      </c>
      <c r="J29" s="5" t="n">
        <v>0.347</v>
      </c>
      <c r="K29" s="5" t="n">
        <v>0.455</v>
      </c>
      <c r="L29" s="5" t="n">
        <v>0.731</v>
      </c>
      <c r="M29" s="5" t="n">
        <v>-0.619</v>
      </c>
      <c r="N29" s="5" t="n">
        <v>0.586</v>
      </c>
      <c r="O29" s="5" t="n">
        <v>0.29</v>
      </c>
      <c r="P29" s="5" t="n">
        <v>0.252</v>
      </c>
      <c r="Q29" s="5"/>
    </row>
    <row r="31" customFormat="false" ht="15" hidden="false" customHeight="false" outlineLevel="0" collapsed="false">
      <c r="A31" s="4" t="s">
        <v>61</v>
      </c>
      <c r="B31" s="7" t="s">
        <v>332</v>
      </c>
      <c r="C31" s="5" t="n">
        <v>-0.253</v>
      </c>
      <c r="D31" s="5" t="n">
        <v>0.059</v>
      </c>
      <c r="E31" s="5" t="n">
        <v>0</v>
      </c>
      <c r="F31" s="5" t="n">
        <v>0.057</v>
      </c>
      <c r="G31" s="5" t="n">
        <v>0</v>
      </c>
      <c r="H31" s="5" t="n">
        <v>0.055</v>
      </c>
      <c r="I31" s="5" t="n">
        <v>0</v>
      </c>
      <c r="J31" s="5" t="n">
        <v>0.001</v>
      </c>
      <c r="K31" s="5" t="n">
        <v>0</v>
      </c>
      <c r="L31" s="5" t="n">
        <v>0.001</v>
      </c>
      <c r="M31" s="5" t="n">
        <v>-0.211</v>
      </c>
      <c r="N31" s="5" t="n">
        <v>0.049</v>
      </c>
      <c r="O31" s="5" t="n">
        <v>0</v>
      </c>
      <c r="P31" s="5" t="n">
        <v>0.006</v>
      </c>
      <c r="Q31" s="5" t="n">
        <v>0.001</v>
      </c>
    </row>
    <row r="32" customFormat="false" ht="15" hidden="false" customHeight="false" outlineLevel="0" collapsed="false">
      <c r="A32" s="4" t="s">
        <v>63</v>
      </c>
      <c r="B32" s="7" t="s">
        <v>332</v>
      </c>
      <c r="C32" s="5" t="n">
        <v>-0.007</v>
      </c>
      <c r="D32" s="5" t="n">
        <v>0.045</v>
      </c>
      <c r="E32" s="5" t="n">
        <v>0.877</v>
      </c>
      <c r="F32" s="5" t="n">
        <v>0.045</v>
      </c>
      <c r="G32" s="5" t="n">
        <v>0.878</v>
      </c>
      <c r="H32" s="5" t="n">
        <v>0.044</v>
      </c>
      <c r="I32" s="5" t="n">
        <v>0.875</v>
      </c>
      <c r="J32" s="5" t="n">
        <v>0.868</v>
      </c>
      <c r="K32" s="5" t="n">
        <v>0.876</v>
      </c>
      <c r="L32" s="5" t="n">
        <v>1</v>
      </c>
      <c r="M32" s="5" t="n">
        <v>-0.003</v>
      </c>
      <c r="N32" s="5" t="n">
        <v>0.051</v>
      </c>
      <c r="O32" s="5" t="n">
        <v>0.956</v>
      </c>
      <c r="P32" s="5" t="n">
        <v>0.942</v>
      </c>
      <c r="Q32" s="5" t="n">
        <v>1</v>
      </c>
    </row>
    <row r="33" customFormat="false" ht="15" hidden="false" customHeight="false" outlineLevel="0" collapsed="false">
      <c r="A33" s="4" t="s">
        <v>65</v>
      </c>
      <c r="B33" s="7" t="s">
        <v>332</v>
      </c>
      <c r="C33" s="5" t="n">
        <v>-0.084</v>
      </c>
      <c r="D33" s="5" t="n">
        <v>0.067</v>
      </c>
      <c r="E33" s="5" t="n">
        <v>0.211</v>
      </c>
      <c r="F33" s="5" t="n">
        <v>0.067</v>
      </c>
      <c r="G33" s="5" t="n">
        <v>0.21</v>
      </c>
      <c r="H33" s="5" t="n">
        <v>0.065</v>
      </c>
      <c r="I33" s="5" t="n">
        <v>0.197</v>
      </c>
      <c r="J33" s="5" t="n">
        <v>0.362</v>
      </c>
      <c r="K33" s="5" t="n">
        <v>0.202</v>
      </c>
      <c r="L33" s="5" t="n">
        <v>0.697</v>
      </c>
      <c r="M33" s="5" t="n">
        <v>-0.146</v>
      </c>
      <c r="N33" s="5" t="n">
        <v>0.088</v>
      </c>
      <c r="O33" s="5" t="n">
        <v>0.099</v>
      </c>
      <c r="P33" s="5" t="n">
        <v>0.058</v>
      </c>
      <c r="Q33" s="5" t="n">
        <v>0.841</v>
      </c>
    </row>
    <row r="34" customFormat="false" ht="15" hidden="false" customHeight="false" outlineLevel="0" collapsed="false">
      <c r="A34" s="4" t="s">
        <v>67</v>
      </c>
      <c r="B34" s="7" t="s">
        <v>332</v>
      </c>
      <c r="C34" s="5" t="n">
        <v>-0.834</v>
      </c>
      <c r="D34" s="5" t="n">
        <v>0.502</v>
      </c>
      <c r="E34" s="5" t="n">
        <v>0.097</v>
      </c>
      <c r="F34" s="5" t="n">
        <v>0.476</v>
      </c>
      <c r="G34" s="5" t="n">
        <v>0.08</v>
      </c>
      <c r="H34" s="5" t="n">
        <v>0.479</v>
      </c>
      <c r="I34" s="5" t="n">
        <v>0.082</v>
      </c>
      <c r="J34" s="5" t="n">
        <v>0.282</v>
      </c>
      <c r="K34" s="5" t="n">
        <v>0.063</v>
      </c>
      <c r="L34" s="5" t="n">
        <v>0.488</v>
      </c>
      <c r="M34" s="5" t="n">
        <v>-0.265</v>
      </c>
      <c r="N34" s="5" t="n">
        <v>0.646</v>
      </c>
      <c r="O34" s="5" t="n">
        <v>0.681</v>
      </c>
      <c r="P34" s="5" t="n">
        <v>0.623</v>
      </c>
      <c r="Q34" s="5" t="n">
        <v>0.635</v>
      </c>
    </row>
    <row r="35" customFormat="false" ht="15" hidden="false" customHeight="false" outlineLevel="0" collapsed="false">
      <c r="A35" s="4" t="s">
        <v>33</v>
      </c>
      <c r="B35" s="7" t="s">
        <v>332</v>
      </c>
      <c r="C35" s="5" t="n">
        <v>0.074</v>
      </c>
      <c r="D35" s="5" t="n">
        <v>0.077</v>
      </c>
      <c r="E35" s="5" t="n">
        <v>0.34</v>
      </c>
      <c r="F35" s="5" t="n">
        <v>0.071</v>
      </c>
      <c r="G35" s="5" t="n">
        <v>0.3</v>
      </c>
      <c r="H35" s="5" t="n">
        <v>0.071</v>
      </c>
      <c r="I35" s="5" t="n">
        <v>0.3</v>
      </c>
      <c r="J35" s="5" t="n">
        <v>0.564</v>
      </c>
      <c r="K35" s="5" t="n">
        <v>0.325</v>
      </c>
      <c r="L35" s="5" t="n">
        <v>0.852</v>
      </c>
      <c r="M35" s="5" t="n">
        <v>0.145</v>
      </c>
      <c r="N35" s="5" t="n">
        <v>0.101</v>
      </c>
      <c r="O35" s="5" t="n">
        <v>0.149</v>
      </c>
      <c r="P35" s="5" t="n">
        <v>0.094</v>
      </c>
      <c r="Q35" s="5" t="n">
        <v>0.871</v>
      </c>
    </row>
    <row r="36" customFormat="false" ht="15" hidden="false" customHeight="false" outlineLevel="0" collapsed="false">
      <c r="A36" s="4" t="s">
        <v>71</v>
      </c>
      <c r="B36" s="7" t="s">
        <v>332</v>
      </c>
      <c r="C36" s="5" t="n">
        <v>0.138</v>
      </c>
      <c r="D36" s="5" t="n">
        <v>0.076</v>
      </c>
      <c r="E36" s="5" t="n">
        <v>0.068</v>
      </c>
      <c r="F36" s="5" t="n">
        <v>0.073</v>
      </c>
      <c r="G36" s="5" t="n">
        <v>0.058</v>
      </c>
      <c r="H36" s="5" t="n">
        <v>0.073</v>
      </c>
      <c r="I36" s="5" t="n">
        <v>0.059</v>
      </c>
      <c r="J36" s="5" t="n">
        <v>0.212</v>
      </c>
      <c r="K36" s="5" t="n">
        <v>0.051</v>
      </c>
      <c r="L36" s="5" t="n">
        <v>0.379</v>
      </c>
      <c r="M36" s="5" t="n">
        <v>0.172</v>
      </c>
      <c r="N36" s="5" t="n">
        <v>0.106</v>
      </c>
      <c r="O36" s="5" t="n">
        <v>0.102</v>
      </c>
      <c r="P36" s="5" t="n">
        <v>0.046</v>
      </c>
      <c r="Q36" s="5" t="n">
        <v>0.515</v>
      </c>
    </row>
    <row r="37" customFormat="false" ht="15" hidden="false" customHeight="false" outlineLevel="0" collapsed="false">
      <c r="A37" s="4" t="s">
        <v>73</v>
      </c>
      <c r="B37" s="7" t="s">
        <v>332</v>
      </c>
      <c r="C37" s="5" t="n">
        <v>-0.141</v>
      </c>
      <c r="D37" s="5" t="n">
        <v>0.057</v>
      </c>
      <c r="E37" s="5" t="n">
        <v>0.014</v>
      </c>
      <c r="F37" s="5" t="n">
        <v>0.056</v>
      </c>
      <c r="G37" s="5" t="n">
        <v>0.012</v>
      </c>
      <c r="H37" s="5" t="n">
        <v>0.055</v>
      </c>
      <c r="I37" s="5" t="n">
        <v>0.01</v>
      </c>
      <c r="J37" s="5" t="n">
        <v>0.133</v>
      </c>
      <c r="K37" s="5" t="n">
        <v>0.027</v>
      </c>
      <c r="L37" s="5" t="n">
        <v>0.135</v>
      </c>
      <c r="M37" s="5" t="n">
        <v>-0.088</v>
      </c>
      <c r="N37" s="5" t="n">
        <v>0.081</v>
      </c>
      <c r="O37" s="5" t="n">
        <v>0.275</v>
      </c>
      <c r="P37" s="5" t="n">
        <v>0.27</v>
      </c>
      <c r="Q37" s="5" t="n">
        <v>0.181</v>
      </c>
    </row>
    <row r="38" customFormat="false" ht="15" hidden="false" customHeight="false" outlineLevel="0" collapsed="false">
      <c r="A38" s="4" t="s">
        <v>75</v>
      </c>
      <c r="B38" s="7" t="s">
        <v>332</v>
      </c>
      <c r="C38" s="5" t="n">
        <v>-0.01</v>
      </c>
      <c r="D38" s="5" t="n">
        <v>0.074</v>
      </c>
      <c r="E38" s="5" t="n">
        <v>0.89</v>
      </c>
      <c r="F38" s="5" t="n">
        <v>0.074</v>
      </c>
      <c r="G38" s="5" t="n">
        <v>0.891</v>
      </c>
      <c r="H38" s="5" t="n">
        <v>0.073</v>
      </c>
      <c r="I38" s="5" t="n">
        <v>0.889</v>
      </c>
      <c r="J38" s="5" t="n">
        <v>0.879</v>
      </c>
      <c r="K38" s="5" t="n">
        <v>0.875</v>
      </c>
      <c r="L38" s="5" t="n">
        <v>1</v>
      </c>
      <c r="M38" s="5" t="n">
        <v>0.016</v>
      </c>
      <c r="N38" s="5" t="n">
        <v>0.087</v>
      </c>
      <c r="O38" s="5" t="n">
        <v>0.857</v>
      </c>
      <c r="P38" s="5" t="n">
        <v>0.848</v>
      </c>
      <c r="Q38" s="5" t="n">
        <v>1</v>
      </c>
    </row>
    <row r="39" customFormat="false" ht="15" hidden="false" customHeight="false" outlineLevel="0" collapsed="false">
      <c r="A39" s="4" t="s">
        <v>77</v>
      </c>
      <c r="B39" s="7" t="s">
        <v>332</v>
      </c>
      <c r="C39" s="5" t="n">
        <v>-0.21</v>
      </c>
      <c r="D39" s="5" t="n">
        <v>0.084</v>
      </c>
      <c r="E39" s="5" t="n">
        <v>0.013</v>
      </c>
      <c r="F39" s="5" t="n">
        <v>0.083</v>
      </c>
      <c r="G39" s="5" t="n">
        <v>0.012</v>
      </c>
      <c r="H39" s="5" t="n">
        <v>0.081</v>
      </c>
      <c r="I39" s="5" t="n">
        <v>0.01</v>
      </c>
      <c r="J39" s="5" t="n">
        <v>0.041</v>
      </c>
      <c r="K39" s="5" t="n">
        <v>0.009</v>
      </c>
      <c r="L39" s="5" t="n">
        <v>0.135</v>
      </c>
      <c r="M39" s="5" t="n">
        <v>-0.188</v>
      </c>
      <c r="N39" s="5" t="n">
        <v>0.107</v>
      </c>
      <c r="O39" s="5" t="n">
        <v>0.08</v>
      </c>
      <c r="P39" s="5" t="n">
        <v>0.042</v>
      </c>
      <c r="Q39" s="5" t="n">
        <v>0.181</v>
      </c>
    </row>
    <row r="40" customFormat="false" ht="15" hidden="false" customHeight="false" outlineLevel="0" collapsed="false">
      <c r="A40" s="4" t="s">
        <v>79</v>
      </c>
      <c r="B40" s="7" t="s">
        <v>332</v>
      </c>
      <c r="C40" s="5" t="n">
        <v>-0.261</v>
      </c>
      <c r="D40" s="5" t="n">
        <v>0.078</v>
      </c>
      <c r="E40" s="5" t="n">
        <v>0.001</v>
      </c>
      <c r="F40" s="5" t="n">
        <v>0.076</v>
      </c>
      <c r="G40" s="5" t="n">
        <v>0.001</v>
      </c>
      <c r="H40" s="5" t="n">
        <v>0.074</v>
      </c>
      <c r="I40" s="5" t="n">
        <v>0</v>
      </c>
      <c r="J40" s="5" t="n">
        <v>0.016</v>
      </c>
      <c r="K40" s="5" t="n">
        <v>0</v>
      </c>
      <c r="L40" s="5" t="n">
        <v>0.012</v>
      </c>
      <c r="M40" s="5" t="n">
        <v>-0.218</v>
      </c>
      <c r="N40" s="5" t="n">
        <v>0.087</v>
      </c>
      <c r="O40" s="5" t="n">
        <v>0.012</v>
      </c>
      <c r="P40" s="5" t="n">
        <v>0.013</v>
      </c>
      <c r="Q40" s="5" t="n">
        <v>0.019</v>
      </c>
    </row>
    <row r="41" customFormat="false" ht="15" hidden="false" customHeight="false" outlineLevel="0" collapsed="false">
      <c r="A41" s="4" t="s">
        <v>81</v>
      </c>
      <c r="B41" s="7" t="s">
        <v>332</v>
      </c>
      <c r="C41" s="5" t="n">
        <v>0.005</v>
      </c>
      <c r="D41" s="5" t="n">
        <v>0.083</v>
      </c>
      <c r="E41" s="5" t="n">
        <v>0.951</v>
      </c>
      <c r="F41" s="5" t="n">
        <v>0.081</v>
      </c>
      <c r="G41" s="5" t="n">
        <v>0.95</v>
      </c>
      <c r="H41" s="5" t="n">
        <v>0.08</v>
      </c>
      <c r="I41" s="5" t="n">
        <v>0.949</v>
      </c>
      <c r="J41" s="5" t="n">
        <v>0.954</v>
      </c>
      <c r="K41" s="5" t="n">
        <v>0.94</v>
      </c>
      <c r="L41" s="5" t="n">
        <v>1</v>
      </c>
      <c r="M41" s="5" t="n">
        <v>0.027</v>
      </c>
      <c r="N41" s="5" t="n">
        <v>0.099</v>
      </c>
      <c r="O41" s="5" t="n">
        <v>0.782</v>
      </c>
      <c r="P41" s="5" t="n">
        <v>0.777</v>
      </c>
      <c r="Q41" s="5" t="n">
        <v>1</v>
      </c>
    </row>
    <row r="42" customFormat="false" ht="23.85" hidden="false" customHeight="false" outlineLevel="0" collapsed="false">
      <c r="A42" s="4" t="s">
        <v>35</v>
      </c>
      <c r="B42" s="7" t="s">
        <v>332</v>
      </c>
      <c r="C42" s="5" t="n">
        <v>-0.008</v>
      </c>
      <c r="D42" s="5" t="n">
        <v>0.082</v>
      </c>
      <c r="E42" s="5" t="n">
        <v>0.927</v>
      </c>
      <c r="F42" s="5" t="n">
        <v>0.079</v>
      </c>
      <c r="G42" s="5" t="n">
        <v>0.924</v>
      </c>
      <c r="H42" s="5" t="n">
        <v>0.08</v>
      </c>
      <c r="I42" s="5" t="n">
        <v>0.925</v>
      </c>
      <c r="J42" s="5" t="n">
        <v>0.935</v>
      </c>
      <c r="K42" s="5" t="n">
        <v>0.924</v>
      </c>
      <c r="L42" s="5" t="n">
        <v>1</v>
      </c>
      <c r="M42" s="5" t="n">
        <v>0.085</v>
      </c>
      <c r="N42" s="5" t="n">
        <v>0.102</v>
      </c>
      <c r="O42" s="5" t="n">
        <v>0.408</v>
      </c>
      <c r="P42" s="5" t="n">
        <v>0.375</v>
      </c>
      <c r="Q42" s="5" t="n">
        <v>1</v>
      </c>
    </row>
    <row r="43" customFormat="false" ht="15" hidden="false" customHeight="false" outlineLevel="0" collapsed="false">
      <c r="A43" s="4" t="s">
        <v>84</v>
      </c>
      <c r="B43" s="7" t="s">
        <v>332</v>
      </c>
      <c r="C43" s="5" t="n">
        <v>-0.161</v>
      </c>
      <c r="D43" s="5" t="n">
        <v>0.086</v>
      </c>
      <c r="E43" s="5" t="n">
        <v>0.061</v>
      </c>
      <c r="F43" s="5" t="n">
        <v>0.085</v>
      </c>
      <c r="G43" s="5" t="n">
        <v>0.057</v>
      </c>
      <c r="H43" s="5" t="n">
        <v>0.084</v>
      </c>
      <c r="I43" s="5" t="n">
        <v>0.054</v>
      </c>
      <c r="J43" s="5" t="n">
        <v>0.208</v>
      </c>
      <c r="K43" s="5" t="n">
        <v>0.035</v>
      </c>
      <c r="L43" s="5" t="n">
        <v>0.371</v>
      </c>
      <c r="M43" s="5" t="n">
        <v>-0.104</v>
      </c>
      <c r="N43" s="5" t="n">
        <v>0.105</v>
      </c>
      <c r="O43" s="5" t="n">
        <v>0.322</v>
      </c>
      <c r="P43" s="5" t="n">
        <v>0.271</v>
      </c>
      <c r="Q43" s="5" t="n">
        <v>0.499</v>
      </c>
    </row>
    <row r="44" customFormat="false" ht="15" hidden="false" customHeight="false" outlineLevel="0" collapsed="false">
      <c r="A44" s="4" t="s">
        <v>86</v>
      </c>
      <c r="B44" s="7" t="s">
        <v>332</v>
      </c>
      <c r="C44" s="5" t="n">
        <v>-0.105</v>
      </c>
      <c r="D44" s="5" t="n">
        <v>0.071</v>
      </c>
      <c r="E44" s="5" t="n">
        <v>0.141</v>
      </c>
      <c r="F44" s="5" t="n">
        <v>0.073</v>
      </c>
      <c r="G44" s="5" t="n">
        <v>0.149</v>
      </c>
      <c r="H44" s="5" t="n">
        <v>0.075</v>
      </c>
      <c r="I44" s="5" t="n">
        <v>0.164</v>
      </c>
      <c r="J44" s="5" t="n">
        <v>0.149</v>
      </c>
      <c r="K44" s="5" t="n">
        <v>0.141</v>
      </c>
      <c r="L44" s="5" t="n">
        <v>0.609</v>
      </c>
      <c r="M44" s="5" t="n">
        <v>-0.017</v>
      </c>
      <c r="N44" s="5" t="n">
        <v>0.085</v>
      </c>
      <c r="O44" s="5" t="n">
        <v>0.844</v>
      </c>
      <c r="P44" s="5" t="n">
        <v>0.837</v>
      </c>
      <c r="Q44" s="5" t="n">
        <v>0.747</v>
      </c>
    </row>
    <row r="45" customFormat="false" ht="23.85" hidden="false" customHeight="false" outlineLevel="0" collapsed="false">
      <c r="A45" s="4" t="s">
        <v>88</v>
      </c>
      <c r="B45" s="7" t="s">
        <v>332</v>
      </c>
      <c r="C45" s="5" t="n">
        <v>-0.157</v>
      </c>
      <c r="D45" s="5" t="n">
        <v>0.068</v>
      </c>
      <c r="E45" s="5" t="n">
        <v>0.021</v>
      </c>
      <c r="F45" s="5" t="n">
        <v>0.066</v>
      </c>
      <c r="G45" s="5" t="n">
        <v>0.017</v>
      </c>
      <c r="H45" s="5" t="n">
        <v>0.064</v>
      </c>
      <c r="I45" s="5" t="n">
        <v>0.015</v>
      </c>
      <c r="J45" s="5" t="n">
        <v>0.207</v>
      </c>
      <c r="K45" s="5" t="n">
        <v>0.009</v>
      </c>
      <c r="L45" s="5" t="n">
        <v>0.161</v>
      </c>
      <c r="M45" s="5" t="n">
        <v>-0.097</v>
      </c>
      <c r="N45" s="5" t="n">
        <v>0.08</v>
      </c>
      <c r="O45" s="5" t="n">
        <v>0.228</v>
      </c>
      <c r="P45" s="5" t="n">
        <v>0.219</v>
      </c>
      <c r="Q45" s="5" t="n">
        <v>0.237</v>
      </c>
    </row>
    <row r="47" customFormat="false" ht="15" hidden="false" customHeight="false" outlineLevel="0" collapsed="false">
      <c r="A47" s="4" t="s">
        <v>61</v>
      </c>
      <c r="B47" s="7" t="s">
        <v>333</v>
      </c>
      <c r="C47" s="5" t="n">
        <v>-0.253</v>
      </c>
      <c r="D47" s="5" t="n">
        <v>0.058</v>
      </c>
      <c r="E47" s="5" t="n">
        <v>0</v>
      </c>
      <c r="F47" s="5" t="n">
        <v>0.056</v>
      </c>
      <c r="G47" s="5" t="n">
        <v>0</v>
      </c>
      <c r="H47" s="5" t="n">
        <v>0.055</v>
      </c>
      <c r="I47" s="5" t="n">
        <v>0</v>
      </c>
      <c r="J47" s="5" t="n">
        <v>0</v>
      </c>
      <c r="K47" s="5" t="n">
        <v>0</v>
      </c>
      <c r="L47" s="5" t="n">
        <v>0</v>
      </c>
      <c r="M47" s="5" t="n">
        <v>-0.233</v>
      </c>
      <c r="N47" s="5" t="n">
        <v>0.049</v>
      </c>
      <c r="O47" s="5" t="n">
        <v>0</v>
      </c>
      <c r="P47" s="5" t="n">
        <v>0</v>
      </c>
      <c r="Q47" s="5"/>
    </row>
    <row r="48" customFormat="false" ht="15" hidden="false" customHeight="false" outlineLevel="0" collapsed="false">
      <c r="A48" s="4" t="s">
        <v>63</v>
      </c>
      <c r="B48" s="7" t="s">
        <v>333</v>
      </c>
      <c r="C48" s="5" t="n">
        <v>-0.004</v>
      </c>
      <c r="D48" s="5" t="n">
        <v>0.044</v>
      </c>
      <c r="E48" s="5" t="n">
        <v>0.919</v>
      </c>
      <c r="F48" s="5" t="n">
        <v>0.044</v>
      </c>
      <c r="G48" s="5" t="n">
        <v>0.919</v>
      </c>
      <c r="H48" s="5" t="n">
        <v>0.043</v>
      </c>
      <c r="I48" s="5" t="n">
        <v>0.917</v>
      </c>
      <c r="J48" s="5" t="n">
        <v>0.888</v>
      </c>
      <c r="K48" s="5" t="n">
        <v>0.9</v>
      </c>
      <c r="L48" s="5" t="n">
        <v>0.996</v>
      </c>
      <c r="M48" s="5" t="n">
        <v>-0.02</v>
      </c>
      <c r="N48" s="5" t="n">
        <v>0.05</v>
      </c>
      <c r="O48" s="5" t="n">
        <v>0.687</v>
      </c>
      <c r="P48" s="5" t="n">
        <v>0.656</v>
      </c>
      <c r="Q48" s="5"/>
    </row>
    <row r="49" customFormat="false" ht="15" hidden="false" customHeight="false" outlineLevel="0" collapsed="false">
      <c r="A49" s="4" t="s">
        <v>65</v>
      </c>
      <c r="B49" s="7" t="s">
        <v>333</v>
      </c>
      <c r="C49" s="5" t="n">
        <v>-0.065</v>
      </c>
      <c r="D49" s="5" t="n">
        <v>0.063</v>
      </c>
      <c r="E49" s="5" t="n">
        <v>0.304</v>
      </c>
      <c r="F49" s="5" t="n">
        <v>0.063</v>
      </c>
      <c r="G49" s="5" t="n">
        <v>0.303</v>
      </c>
      <c r="H49" s="5" t="n">
        <v>0.063</v>
      </c>
      <c r="I49" s="5" t="n">
        <v>0.302</v>
      </c>
      <c r="J49" s="5" t="n">
        <v>0.47</v>
      </c>
      <c r="K49" s="5" t="n">
        <v>0.292</v>
      </c>
      <c r="L49" s="5" t="n">
        <v>0.827</v>
      </c>
      <c r="M49" s="5" t="n">
        <v>-0.084</v>
      </c>
      <c r="N49" s="5" t="n">
        <v>0.09</v>
      </c>
      <c r="O49" s="5" t="n">
        <v>0.351</v>
      </c>
      <c r="P49" s="5" t="n">
        <v>0.248</v>
      </c>
      <c r="Q49" s="5"/>
    </row>
    <row r="50" customFormat="false" ht="15" hidden="false" customHeight="false" outlineLevel="0" collapsed="false">
      <c r="A50" s="4" t="s">
        <v>67</v>
      </c>
      <c r="B50" s="7" t="s">
        <v>333</v>
      </c>
      <c r="C50" s="5" t="n">
        <v>-0.889</v>
      </c>
      <c r="D50" s="5" t="n">
        <v>0.486</v>
      </c>
      <c r="E50" s="5" t="n">
        <v>0.067</v>
      </c>
      <c r="F50" s="5" t="n">
        <v>0.468</v>
      </c>
      <c r="G50" s="5" t="n">
        <v>0.058</v>
      </c>
      <c r="H50" s="5" t="n">
        <v>0.465</v>
      </c>
      <c r="I50" s="5" t="n">
        <v>0.056</v>
      </c>
      <c r="J50" s="5" t="n">
        <v>0.216</v>
      </c>
      <c r="K50" s="5" t="n">
        <v>0.035</v>
      </c>
      <c r="L50" s="5" t="n">
        <v>0.328</v>
      </c>
      <c r="M50" s="5" t="n">
        <v>-0.031</v>
      </c>
      <c r="N50" s="5" t="n">
        <v>0.587</v>
      </c>
      <c r="O50" s="5" t="n">
        <v>0.958</v>
      </c>
      <c r="P50" s="5" t="n">
        <v>0.94</v>
      </c>
      <c r="Q50" s="5"/>
    </row>
    <row r="51" customFormat="false" ht="15" hidden="false" customHeight="false" outlineLevel="0" collapsed="false">
      <c r="A51" s="4" t="s">
        <v>33</v>
      </c>
      <c r="B51" s="7" t="s">
        <v>333</v>
      </c>
      <c r="C51" s="5" t="n">
        <v>0.099</v>
      </c>
      <c r="D51" s="5" t="n">
        <v>0.076</v>
      </c>
      <c r="E51" s="5" t="n">
        <v>0.195</v>
      </c>
      <c r="F51" s="5" t="n">
        <v>0.072</v>
      </c>
      <c r="G51" s="5" t="n">
        <v>0.167</v>
      </c>
      <c r="H51" s="5" t="n">
        <v>0.07</v>
      </c>
      <c r="I51" s="5" t="n">
        <v>0.16</v>
      </c>
      <c r="J51" s="5" t="n">
        <v>0.413</v>
      </c>
      <c r="K51" s="5" t="n">
        <v>0.15</v>
      </c>
      <c r="L51" s="5" t="n">
        <v>0.67</v>
      </c>
      <c r="M51" s="5" t="n">
        <v>0.204</v>
      </c>
      <c r="N51" s="5" t="n">
        <v>0.095</v>
      </c>
      <c r="O51" s="5" t="n">
        <v>0.031</v>
      </c>
      <c r="P51" s="5" t="n">
        <v>0.005</v>
      </c>
      <c r="Q51" s="5"/>
    </row>
    <row r="52" customFormat="false" ht="15" hidden="false" customHeight="false" outlineLevel="0" collapsed="false">
      <c r="A52" s="4" t="s">
        <v>71</v>
      </c>
      <c r="B52" s="7" t="s">
        <v>333</v>
      </c>
      <c r="C52" s="5" t="n">
        <v>0.154</v>
      </c>
      <c r="D52" s="5" t="n">
        <v>0.075</v>
      </c>
      <c r="E52" s="5" t="n">
        <v>0.04</v>
      </c>
      <c r="F52" s="5" t="n">
        <v>0.073</v>
      </c>
      <c r="G52" s="5" t="n">
        <v>0.034</v>
      </c>
      <c r="H52" s="5" t="n">
        <v>0.071</v>
      </c>
      <c r="I52" s="5" t="n">
        <v>0.029</v>
      </c>
      <c r="J52" s="5" t="n">
        <v>0.176</v>
      </c>
      <c r="K52" s="5" t="n">
        <v>0.02</v>
      </c>
      <c r="L52" s="5" t="n">
        <v>0.224</v>
      </c>
      <c r="M52" s="5" t="n">
        <v>0.224</v>
      </c>
      <c r="N52" s="5" t="n">
        <v>0.097</v>
      </c>
      <c r="O52" s="5" t="n">
        <v>0.021</v>
      </c>
      <c r="P52" s="5" t="n">
        <v>0.004</v>
      </c>
      <c r="Q52" s="5"/>
    </row>
    <row r="53" customFormat="false" ht="15" hidden="false" customHeight="false" outlineLevel="0" collapsed="false">
      <c r="A53" s="4" t="s">
        <v>73</v>
      </c>
      <c r="B53" s="7" t="s">
        <v>333</v>
      </c>
      <c r="C53" s="5" t="n">
        <v>-0.129</v>
      </c>
      <c r="D53" s="5" t="n">
        <v>0.056</v>
      </c>
      <c r="E53" s="5" t="n">
        <v>0.022</v>
      </c>
      <c r="F53" s="5" t="n">
        <v>0.056</v>
      </c>
      <c r="G53" s="5" t="n">
        <v>0.021</v>
      </c>
      <c r="H53" s="5" t="n">
        <v>0.054</v>
      </c>
      <c r="I53" s="5" t="n">
        <v>0.016</v>
      </c>
      <c r="J53" s="5" t="n">
        <v>0.087</v>
      </c>
      <c r="K53" s="5" t="n">
        <v>0.029</v>
      </c>
      <c r="L53" s="5" t="n">
        <v>0.162</v>
      </c>
      <c r="M53" s="5" t="n">
        <v>-0.065</v>
      </c>
      <c r="N53" s="5" t="n">
        <v>0.073</v>
      </c>
      <c r="O53" s="5" t="n">
        <v>0.375</v>
      </c>
      <c r="P53" s="5" t="n">
        <v>0.309</v>
      </c>
      <c r="Q53" s="5"/>
    </row>
    <row r="54" customFormat="false" ht="15" hidden="false" customHeight="false" outlineLevel="0" collapsed="false">
      <c r="A54" s="4" t="s">
        <v>75</v>
      </c>
      <c r="B54" s="7" t="s">
        <v>333</v>
      </c>
      <c r="C54" s="5" t="n">
        <v>0.013</v>
      </c>
      <c r="D54" s="5" t="n">
        <v>0.069</v>
      </c>
      <c r="E54" s="5" t="n">
        <v>0.855</v>
      </c>
      <c r="F54" s="5" t="n">
        <v>0.069</v>
      </c>
      <c r="G54" s="5" t="n">
        <v>0.855</v>
      </c>
      <c r="H54" s="5" t="n">
        <v>0.064</v>
      </c>
      <c r="I54" s="5" t="n">
        <v>0.845</v>
      </c>
      <c r="J54" s="5" t="n">
        <v>0.856</v>
      </c>
      <c r="K54" s="5" t="n">
        <v>0.854</v>
      </c>
      <c r="L54" s="5" t="n">
        <v>0.996</v>
      </c>
      <c r="M54" s="5" t="n">
        <v>0.062</v>
      </c>
      <c r="N54" s="5" t="n">
        <v>0.076</v>
      </c>
      <c r="O54" s="5" t="n">
        <v>0.416</v>
      </c>
      <c r="P54" s="5" t="n">
        <v>0.423</v>
      </c>
      <c r="Q54" s="5"/>
    </row>
    <row r="55" customFormat="false" ht="15" hidden="false" customHeight="false" outlineLevel="0" collapsed="false">
      <c r="A55" s="4" t="s">
        <v>77</v>
      </c>
      <c r="B55" s="7" t="s">
        <v>333</v>
      </c>
      <c r="C55" s="5" t="n">
        <v>-0.23</v>
      </c>
      <c r="D55" s="5" t="n">
        <v>0.08</v>
      </c>
      <c r="E55" s="5" t="n">
        <v>0.004</v>
      </c>
      <c r="F55" s="5" t="n">
        <v>0.08</v>
      </c>
      <c r="G55" s="5" t="n">
        <v>0.004</v>
      </c>
      <c r="H55" s="5" t="n">
        <v>0.079</v>
      </c>
      <c r="I55" s="5" t="n">
        <v>0.004</v>
      </c>
      <c r="J55" s="5" t="n">
        <v>0.022</v>
      </c>
      <c r="K55" s="5" t="n">
        <v>0.002</v>
      </c>
      <c r="L55" s="5" t="n">
        <v>0.056</v>
      </c>
      <c r="M55" s="5" t="n">
        <v>-0.213</v>
      </c>
      <c r="N55" s="5" t="n">
        <v>0.098</v>
      </c>
      <c r="O55" s="5" t="n">
        <v>0.029</v>
      </c>
      <c r="P55" s="5" t="n">
        <v>0.009</v>
      </c>
      <c r="Q55" s="5"/>
    </row>
    <row r="56" customFormat="false" ht="15" hidden="false" customHeight="false" outlineLevel="0" collapsed="false">
      <c r="A56" s="4" t="s">
        <v>79</v>
      </c>
      <c r="B56" s="7" t="s">
        <v>333</v>
      </c>
      <c r="C56" s="5" t="n">
        <v>-0.294</v>
      </c>
      <c r="D56" s="5" t="n">
        <v>0.075</v>
      </c>
      <c r="E56" s="5" t="n">
        <v>0</v>
      </c>
      <c r="F56" s="5" t="n">
        <v>0.074</v>
      </c>
      <c r="G56" s="5" t="n">
        <v>0</v>
      </c>
      <c r="H56" s="5" t="n">
        <v>0.073</v>
      </c>
      <c r="I56" s="5" t="n">
        <v>0</v>
      </c>
      <c r="J56" s="5" t="n">
        <v>0.005</v>
      </c>
      <c r="K56" s="5" t="n">
        <v>0</v>
      </c>
      <c r="L56" s="5" t="n">
        <v>0.002</v>
      </c>
      <c r="M56" s="5" t="n">
        <v>-0.193</v>
      </c>
      <c r="N56" s="5" t="n">
        <v>0.083</v>
      </c>
      <c r="O56" s="5" t="n">
        <v>0.02</v>
      </c>
      <c r="P56" s="5" t="n">
        <v>0.012</v>
      </c>
      <c r="Q56" s="5"/>
    </row>
    <row r="57" customFormat="false" ht="15" hidden="false" customHeight="false" outlineLevel="0" collapsed="false">
      <c r="A57" s="4" t="s">
        <v>81</v>
      </c>
      <c r="B57" s="7" t="s">
        <v>333</v>
      </c>
      <c r="C57" s="5" t="n">
        <v>0.017</v>
      </c>
      <c r="D57" s="5" t="n">
        <v>0.077</v>
      </c>
      <c r="E57" s="5" t="n">
        <v>0.823</v>
      </c>
      <c r="F57" s="5" t="n">
        <v>0.076</v>
      </c>
      <c r="G57" s="5" t="n">
        <v>0.821</v>
      </c>
      <c r="H57" s="5" t="n">
        <v>0.076</v>
      </c>
      <c r="I57" s="5" t="n">
        <v>0.82</v>
      </c>
      <c r="J57" s="5" t="n">
        <v>0.839</v>
      </c>
      <c r="K57" s="5" t="n">
        <v>0.812</v>
      </c>
      <c r="L57" s="5" t="n">
        <v>0.996</v>
      </c>
      <c r="M57" s="5" t="n">
        <v>0.085</v>
      </c>
      <c r="N57" s="5" t="n">
        <v>0.088</v>
      </c>
      <c r="O57" s="5" t="n">
        <v>0.336</v>
      </c>
      <c r="P57" s="5" t="n">
        <v>0.331</v>
      </c>
      <c r="Q57" s="5"/>
    </row>
    <row r="58" customFormat="false" ht="23.85" hidden="false" customHeight="false" outlineLevel="0" collapsed="false">
      <c r="A58" s="4" t="s">
        <v>35</v>
      </c>
      <c r="B58" s="7" t="s">
        <v>333</v>
      </c>
      <c r="C58" s="5" t="n">
        <v>-0.02</v>
      </c>
      <c r="D58" s="5" t="n">
        <v>0.081</v>
      </c>
      <c r="E58" s="5" t="n">
        <v>0.803</v>
      </c>
      <c r="F58" s="5" t="n">
        <v>0.079</v>
      </c>
      <c r="G58" s="5" t="n">
        <v>0.8</v>
      </c>
      <c r="H58" s="5" t="n">
        <v>0.079</v>
      </c>
      <c r="I58" s="5" t="n">
        <v>0.798</v>
      </c>
      <c r="J58" s="5" t="n">
        <v>0.831</v>
      </c>
      <c r="K58" s="5" t="n">
        <v>0.787</v>
      </c>
      <c r="L58" s="5" t="n">
        <v>0.996</v>
      </c>
      <c r="M58" s="5" t="n">
        <v>0.077</v>
      </c>
      <c r="N58" s="5" t="n">
        <v>0.1</v>
      </c>
      <c r="O58" s="5" t="n">
        <v>0.441</v>
      </c>
      <c r="P58" s="5" t="n">
        <v>0.353</v>
      </c>
      <c r="Q58" s="5"/>
    </row>
    <row r="59" customFormat="false" ht="15" hidden="false" customHeight="false" outlineLevel="0" collapsed="false">
      <c r="A59" s="4" t="s">
        <v>84</v>
      </c>
      <c r="B59" s="7" t="s">
        <v>333</v>
      </c>
      <c r="C59" s="5" t="n">
        <v>-0.195</v>
      </c>
      <c r="D59" s="5" t="n">
        <v>0.082</v>
      </c>
      <c r="E59" s="5" t="n">
        <v>0.017</v>
      </c>
      <c r="F59" s="5" t="n">
        <v>0.081</v>
      </c>
      <c r="G59" s="5" t="n">
        <v>0.016</v>
      </c>
      <c r="H59" s="5" t="n">
        <v>0.079</v>
      </c>
      <c r="I59" s="5" t="n">
        <v>0.013</v>
      </c>
      <c r="J59" s="5" t="n">
        <v>0.104</v>
      </c>
      <c r="K59" s="5" t="n">
        <v>0.009</v>
      </c>
      <c r="L59" s="5" t="n">
        <v>0.155</v>
      </c>
      <c r="M59" s="5" t="n">
        <v>-0.09</v>
      </c>
      <c r="N59" s="5" t="n">
        <v>0.094</v>
      </c>
      <c r="O59" s="5" t="n">
        <v>0.337</v>
      </c>
      <c r="P59" s="5" t="n">
        <v>0.283</v>
      </c>
      <c r="Q59" s="5"/>
    </row>
    <row r="60" customFormat="false" ht="15" hidden="false" customHeight="false" outlineLevel="0" collapsed="false">
      <c r="A60" s="4" t="s">
        <v>86</v>
      </c>
      <c r="B60" s="7" t="s">
        <v>333</v>
      </c>
      <c r="C60" s="5" t="n">
        <v>-0.151</v>
      </c>
      <c r="D60" s="5" t="n">
        <v>0.068</v>
      </c>
      <c r="E60" s="5" t="n">
        <v>0.027</v>
      </c>
      <c r="F60" s="5" t="n">
        <v>0.069</v>
      </c>
      <c r="G60" s="5" t="n">
        <v>0.03</v>
      </c>
      <c r="H60" s="5" t="n">
        <v>0.069</v>
      </c>
      <c r="I60" s="5" t="n">
        <v>0.028</v>
      </c>
      <c r="J60" s="5" t="n">
        <v>0.07</v>
      </c>
      <c r="K60" s="5" t="n">
        <v>0.031</v>
      </c>
      <c r="L60" s="5" t="n">
        <v>0.178</v>
      </c>
      <c r="M60" s="5" t="n">
        <v>-0.045</v>
      </c>
      <c r="N60" s="5" t="n">
        <v>0.085</v>
      </c>
      <c r="O60" s="5" t="n">
        <v>0.597</v>
      </c>
      <c r="P60" s="5" t="n">
        <v>0.607</v>
      </c>
      <c r="Q60" s="5"/>
    </row>
    <row r="61" customFormat="false" ht="23.85" hidden="false" customHeight="false" outlineLevel="0" collapsed="false">
      <c r="A61" s="4" t="s">
        <v>88</v>
      </c>
      <c r="B61" s="7" t="s">
        <v>333</v>
      </c>
      <c r="C61" s="5" t="n">
        <v>-0.152</v>
      </c>
      <c r="D61" s="5" t="n">
        <v>0.064</v>
      </c>
      <c r="E61" s="5" t="n">
        <v>0.018</v>
      </c>
      <c r="F61" s="5" t="n">
        <v>0.063</v>
      </c>
      <c r="G61" s="5" t="n">
        <v>0.015</v>
      </c>
      <c r="H61" s="5" t="n">
        <v>0.062</v>
      </c>
      <c r="I61" s="5" t="n">
        <v>0.013</v>
      </c>
      <c r="J61" s="5" t="n">
        <v>0.172</v>
      </c>
      <c r="K61" s="5" t="n">
        <v>0.013</v>
      </c>
      <c r="L61" s="5" t="n">
        <v>0.155</v>
      </c>
      <c r="M61" s="5" t="n">
        <v>-0.077</v>
      </c>
      <c r="N61" s="5" t="n">
        <v>0.074</v>
      </c>
      <c r="O61" s="5" t="n">
        <v>0.298</v>
      </c>
      <c r="P61" s="5" t="n">
        <v>0.253</v>
      </c>
      <c r="Q61" s="5"/>
    </row>
  </sheetData>
  <mergeCells count="1">
    <mergeCell ref="A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3" min="3" style="0" width="11"/>
    <col collapsed="false" customWidth="true" hidden="false" outlineLevel="0" max="6" min="4" style="0" width="10"/>
    <col collapsed="false" customWidth="true" hidden="false" outlineLevel="0" max="7" min="7" style="0" width="9"/>
    <col collapsed="false" customWidth="true" hidden="false" outlineLevel="0" max="8" min="8" style="0" width="11"/>
    <col collapsed="false" customWidth="true" hidden="false" outlineLevel="0" max="10" min="9" style="0" width="10"/>
    <col collapsed="false" customWidth="true" hidden="false" outlineLevel="0" max="11" min="11" style="0" width="11"/>
    <col collapsed="false" customWidth="true" hidden="false" outlineLevel="0" max="12" min="12" style="0" width="10"/>
    <col collapsed="false" customWidth="true" hidden="false" outlineLevel="0" max="15" min="13" style="0" width="11"/>
    <col collapsed="false" customWidth="true" hidden="false" outlineLevel="0" max="16" min="16" style="0" width="9"/>
    <col collapsed="false" customWidth="true" hidden="false" outlineLevel="0" max="19" min="17" style="0" width="11"/>
    <col collapsed="false" customWidth="true" hidden="false" outlineLevel="0" max="20" min="20" style="0" width="9"/>
    <col collapsed="false" customWidth="true" hidden="false" outlineLevel="0" max="23" min="21" style="0" width="11"/>
    <col collapsed="false" customWidth="true" hidden="false" outlineLevel="0" max="24" min="24" style="0" width="9"/>
  </cols>
  <sheetData>
    <row r="1" customFormat="false" ht="15" hidden="false" customHeight="false" outlineLevel="0" collapsed="false">
      <c r="A1" s="1" t="s">
        <v>349</v>
      </c>
    </row>
    <row r="2" customFormat="false" ht="84" hidden="false" customHeight="true" outlineLevel="0" collapsed="false">
      <c r="A2" s="2" t="s">
        <v>350</v>
      </c>
      <c r="B2" s="2"/>
      <c r="C2" s="2"/>
      <c r="D2" s="2"/>
      <c r="E2" s="2"/>
      <c r="F2" s="2"/>
      <c r="G2" s="2"/>
      <c r="H2" s="2"/>
      <c r="I2" s="2"/>
      <c r="J2" s="2"/>
      <c r="K2" s="2"/>
      <c r="L2" s="2"/>
      <c r="M2" s="2"/>
      <c r="N2" s="2"/>
      <c r="O2" s="2"/>
      <c r="P2" s="2"/>
      <c r="Q2" s="2"/>
      <c r="R2" s="2"/>
      <c r="S2" s="2"/>
      <c r="T2" s="2"/>
      <c r="U2" s="2"/>
      <c r="V2" s="2"/>
    </row>
    <row r="4" customFormat="false" ht="69.75" hidden="false" customHeight="true" outlineLevel="0" collapsed="false">
      <c r="A4" s="3" t="s">
        <v>3</v>
      </c>
      <c r="B4" s="3" t="s">
        <v>318</v>
      </c>
      <c r="C4" s="3" t="s">
        <v>8</v>
      </c>
      <c r="D4" s="3" t="s">
        <v>351</v>
      </c>
      <c r="E4" s="3" t="s">
        <v>352</v>
      </c>
      <c r="F4" s="3" t="s">
        <v>353</v>
      </c>
      <c r="G4" s="3" t="s">
        <v>354</v>
      </c>
      <c r="H4" s="3" t="s">
        <v>355</v>
      </c>
      <c r="I4" s="3" t="s">
        <v>356</v>
      </c>
      <c r="J4" s="3" t="s">
        <v>357</v>
      </c>
      <c r="K4" s="3" t="s">
        <v>358</v>
      </c>
      <c r="L4" s="3" t="s">
        <v>359</v>
      </c>
      <c r="M4" s="3" t="s">
        <v>360</v>
      </c>
      <c r="N4" s="3" t="s">
        <v>361</v>
      </c>
      <c r="O4" s="3" t="s">
        <v>362</v>
      </c>
      <c r="P4" s="3" t="s">
        <v>363</v>
      </c>
      <c r="Q4" s="3" t="s">
        <v>364</v>
      </c>
      <c r="R4" s="3" t="s">
        <v>365</v>
      </c>
      <c r="S4" s="3" t="s">
        <v>366</v>
      </c>
      <c r="T4" s="3" t="s">
        <v>367</v>
      </c>
      <c r="U4" s="3" t="s">
        <v>368</v>
      </c>
      <c r="V4" s="3" t="s">
        <v>369</v>
      </c>
      <c r="W4" s="3" t="s">
        <v>370</v>
      </c>
      <c r="X4" s="3" t="s">
        <v>371</v>
      </c>
    </row>
    <row r="5" customFormat="false" ht="15" hidden="false" customHeight="false" outlineLevel="0" collapsed="false">
      <c r="A5" s="4" t="s">
        <v>18</v>
      </c>
      <c r="B5" s="7" t="s">
        <v>50</v>
      </c>
      <c r="C5" s="5" t="n">
        <v>0.297</v>
      </c>
      <c r="D5" s="5" t="n">
        <v>0.081</v>
      </c>
      <c r="E5" s="5" t="n">
        <v>0.104</v>
      </c>
      <c r="F5" s="5" t="n">
        <v>0.176</v>
      </c>
      <c r="G5" s="5" t="n">
        <v>0.229</v>
      </c>
      <c r="H5" s="5" t="n">
        <v>0.252</v>
      </c>
      <c r="I5" s="5" t="n">
        <v>1.67</v>
      </c>
      <c r="J5" s="5" t="n">
        <v>0.233</v>
      </c>
      <c r="K5" s="5" t="n">
        <v>0.117</v>
      </c>
      <c r="L5" s="5" t="n">
        <v>0.066</v>
      </c>
      <c r="M5" s="5" t="n">
        <v>0.156</v>
      </c>
      <c r="N5" s="5" t="n">
        <v>0.011</v>
      </c>
      <c r="O5" s="5" t="n">
        <v>0.247</v>
      </c>
      <c r="P5" s="5" t="n">
        <v>2.83</v>
      </c>
      <c r="Q5" s="5" t="n">
        <v>0.06</v>
      </c>
      <c r="R5" s="5" t="n">
        <v>0.04</v>
      </c>
      <c r="S5" s="5" t="n">
        <v>0.24</v>
      </c>
      <c r="T5" s="5" t="n">
        <v>2.95</v>
      </c>
      <c r="U5" s="5" t="n">
        <v>0.031</v>
      </c>
      <c r="V5" s="5" t="n">
        <v>0.002</v>
      </c>
      <c r="W5" s="5" t="n">
        <v>0.288</v>
      </c>
      <c r="X5" s="5" t="n">
        <v>3.51</v>
      </c>
    </row>
    <row r="6" customFormat="false" ht="15" hidden="false" customHeight="false" outlineLevel="0" collapsed="false">
      <c r="A6" s="4" t="s">
        <v>22</v>
      </c>
      <c r="B6" s="7" t="s">
        <v>50</v>
      </c>
      <c r="C6" s="5" t="n">
        <v>0.086</v>
      </c>
      <c r="D6" s="5" t="n">
        <v>0.088</v>
      </c>
      <c r="E6" s="5" t="n">
        <v>0.009</v>
      </c>
      <c r="F6" s="5" t="n">
        <v>0.091</v>
      </c>
      <c r="G6" s="5" t="n">
        <v>0.119</v>
      </c>
      <c r="H6" s="5" t="n">
        <v>0.08</v>
      </c>
      <c r="I6" s="5" t="n">
        <v>3.91</v>
      </c>
      <c r="J6" s="5" t="n">
        <v>0.071</v>
      </c>
      <c r="K6" s="5" t="n">
        <v>0</v>
      </c>
      <c r="L6" s="5" t="n">
        <v>0.005</v>
      </c>
      <c r="M6" s="5" t="n">
        <v>0.132</v>
      </c>
      <c r="N6" s="5" t="n">
        <v>0.002</v>
      </c>
      <c r="O6" s="5" t="n">
        <v>0.063</v>
      </c>
      <c r="P6" s="5" t="n">
        <v>0.67</v>
      </c>
      <c r="Q6" s="5" t="n">
        <v>0.031</v>
      </c>
      <c r="R6" s="5" t="n">
        <v>0</v>
      </c>
      <c r="S6" s="5" t="n">
        <v>0.085</v>
      </c>
      <c r="T6" s="5" t="n">
        <v>0.94</v>
      </c>
      <c r="U6" s="5" t="n">
        <v>0.031</v>
      </c>
      <c r="V6" s="5" t="n">
        <v>0</v>
      </c>
      <c r="W6" s="5" t="n">
        <v>0.084</v>
      </c>
      <c r="X6" s="5" t="n">
        <v>0.93</v>
      </c>
    </row>
    <row r="7" customFormat="false" ht="15" hidden="false" customHeight="false" outlineLevel="0" collapsed="false">
      <c r="A7" s="4" t="s">
        <v>24</v>
      </c>
      <c r="B7" s="7" t="s">
        <v>50</v>
      </c>
      <c r="C7" s="5" t="n">
        <v>0.12</v>
      </c>
      <c r="D7" s="5" t="n">
        <v>0.078</v>
      </c>
      <c r="E7" s="5" t="n">
        <v>0.01</v>
      </c>
      <c r="F7" s="5" t="n">
        <v>0.117</v>
      </c>
      <c r="G7" s="5" t="n">
        <v>0.152</v>
      </c>
      <c r="H7" s="5" t="n">
        <v>0.136</v>
      </c>
      <c r="I7" s="5" t="n">
        <v>15.42</v>
      </c>
      <c r="J7" s="5" t="n">
        <v>0.104</v>
      </c>
      <c r="K7" s="5" t="n">
        <v>0</v>
      </c>
      <c r="L7" s="5" t="n">
        <v>0.012</v>
      </c>
      <c r="M7" s="5" t="n">
        <v>0.147</v>
      </c>
      <c r="N7" s="5" t="n">
        <v>0.009</v>
      </c>
      <c r="O7" s="5" t="n">
        <v>0.076</v>
      </c>
      <c r="P7" s="5" t="n">
        <v>0.9</v>
      </c>
      <c r="Q7" s="5" t="n">
        <v>0.062</v>
      </c>
      <c r="R7" s="5" t="n">
        <v>0.023</v>
      </c>
      <c r="S7" s="5" t="n">
        <v>0.078</v>
      </c>
      <c r="T7" s="5" t="n">
        <v>0.97</v>
      </c>
      <c r="U7" s="5" t="n">
        <v>0.026</v>
      </c>
      <c r="V7" s="5" t="n">
        <v>0.001</v>
      </c>
      <c r="W7" s="5" t="n">
        <v>0.114</v>
      </c>
      <c r="X7" s="5" t="n">
        <v>1.44</v>
      </c>
    </row>
    <row r="8" customFormat="false" ht="15" hidden="false" customHeight="false" outlineLevel="0" collapsed="false">
      <c r="A8" s="4" t="s">
        <v>26</v>
      </c>
      <c r="B8" s="7" t="s">
        <v>50</v>
      </c>
      <c r="C8" s="5" t="n">
        <v>0.396</v>
      </c>
      <c r="D8" s="5" t="n">
        <v>0.065</v>
      </c>
      <c r="E8" s="5" t="s">
        <v>27</v>
      </c>
      <c r="F8" s="5" t="s">
        <v>27</v>
      </c>
      <c r="G8" s="5" t="s">
        <v>27</v>
      </c>
      <c r="H8" s="5" t="s">
        <v>27</v>
      </c>
      <c r="I8" s="5" t="s">
        <v>27</v>
      </c>
      <c r="J8" s="5" t="n">
        <v>0.351</v>
      </c>
      <c r="K8" s="5" t="n">
        <v>0.256</v>
      </c>
      <c r="L8" s="5" t="n">
        <v>0.16</v>
      </c>
      <c r="M8" s="5" t="n">
        <v>0.147</v>
      </c>
      <c r="N8" s="5" t="n">
        <v>0.011</v>
      </c>
      <c r="O8" s="5" t="n">
        <v>0.357</v>
      </c>
      <c r="P8" s="5" t="n">
        <v>5.11</v>
      </c>
      <c r="Q8" s="5" t="n">
        <v>0.062</v>
      </c>
      <c r="R8" s="5" t="n">
        <v>0.009</v>
      </c>
      <c r="S8" s="5" t="n">
        <v>0.374</v>
      </c>
      <c r="T8" s="5" t="n">
        <v>5.61</v>
      </c>
      <c r="U8" s="5" t="n">
        <v>0.026</v>
      </c>
      <c r="V8" s="5" t="n">
        <v>0.001</v>
      </c>
      <c r="W8" s="5" t="n">
        <v>0.391</v>
      </c>
      <c r="X8" s="5" t="n">
        <v>5.96</v>
      </c>
    </row>
    <row r="9" customFormat="false" ht="15" hidden="false" customHeight="false" outlineLevel="0" collapsed="false">
      <c r="A9" s="4" t="s">
        <v>29</v>
      </c>
      <c r="B9" s="7" t="s">
        <v>50</v>
      </c>
      <c r="C9" s="5" t="n">
        <v>0.472</v>
      </c>
      <c r="D9" s="5" t="n">
        <v>0.072</v>
      </c>
      <c r="E9" s="5" t="n">
        <v>0.257</v>
      </c>
      <c r="F9" s="5" t="n">
        <v>0.323</v>
      </c>
      <c r="G9" s="5" t="n">
        <v>0.42</v>
      </c>
      <c r="H9" s="5" t="n">
        <v>0.272</v>
      </c>
      <c r="I9" s="5" t="n">
        <v>1.18</v>
      </c>
      <c r="J9" s="5" t="n">
        <v>0.371</v>
      </c>
      <c r="K9" s="5" t="n">
        <v>0.279</v>
      </c>
      <c r="L9" s="5" t="n">
        <v>0.18</v>
      </c>
      <c r="M9" s="5" t="n">
        <v>0.147</v>
      </c>
      <c r="N9" s="5" t="n">
        <v>0</v>
      </c>
      <c r="O9" s="5" t="n">
        <v>0.468</v>
      </c>
      <c r="P9" s="5" t="n">
        <v>6</v>
      </c>
      <c r="Q9" s="5" t="n">
        <v>0.062</v>
      </c>
      <c r="R9" s="5" t="n">
        <v>0.005</v>
      </c>
      <c r="S9" s="5" t="n">
        <v>0.453</v>
      </c>
      <c r="T9" s="5" t="n">
        <v>6.12</v>
      </c>
      <c r="U9" s="5" t="n">
        <v>0.026</v>
      </c>
      <c r="V9" s="5" t="n">
        <v>0</v>
      </c>
      <c r="W9" s="5" t="n">
        <v>0.471</v>
      </c>
      <c r="X9" s="5" t="n">
        <v>6.47</v>
      </c>
    </row>
    <row r="10" customFormat="false" ht="23.85" hidden="false" customHeight="false" outlineLevel="0" collapsed="false">
      <c r="A10" s="4" t="s">
        <v>31</v>
      </c>
      <c r="B10" s="7" t="s">
        <v>50</v>
      </c>
      <c r="C10" s="5" t="n">
        <v>0.08</v>
      </c>
      <c r="D10" s="5" t="n">
        <v>0.07</v>
      </c>
      <c r="E10" s="5" t="n">
        <v>0.028</v>
      </c>
      <c r="F10" s="5" t="n">
        <v>0.12</v>
      </c>
      <c r="G10" s="5" t="n">
        <v>0.156</v>
      </c>
      <c r="H10" s="5" t="n">
        <v>0.04</v>
      </c>
      <c r="I10" s="5" t="n">
        <v>1.65</v>
      </c>
      <c r="J10" s="5" t="n">
        <v>0.079</v>
      </c>
      <c r="K10" s="5" t="n">
        <v>0</v>
      </c>
      <c r="L10" s="5" t="n">
        <v>0.007</v>
      </c>
      <c r="M10" s="5" t="n">
        <v>0.144</v>
      </c>
      <c r="N10" s="5" t="n">
        <v>0.023</v>
      </c>
      <c r="O10" s="5" t="n">
        <v>0.02</v>
      </c>
      <c r="P10" s="5" t="n">
        <v>0.27</v>
      </c>
      <c r="Q10" s="5" t="n">
        <v>0.073</v>
      </c>
      <c r="R10" s="5" t="n">
        <v>0.012</v>
      </c>
      <c r="S10" s="5" t="n">
        <v>0.05</v>
      </c>
      <c r="T10" s="5" t="n">
        <v>0.69</v>
      </c>
      <c r="U10" s="5" t="n">
        <v>0.024</v>
      </c>
      <c r="V10" s="5" t="n">
        <v>0.021</v>
      </c>
      <c r="W10" s="5" t="n">
        <v>0.058</v>
      </c>
      <c r="X10" s="5" t="n">
        <v>0.82</v>
      </c>
    </row>
    <row r="11" customFormat="false" ht="15" hidden="false" customHeight="false" outlineLevel="0" collapsed="false">
      <c r="A11" s="4" t="s">
        <v>33</v>
      </c>
      <c r="B11" s="7" t="s">
        <v>50</v>
      </c>
      <c r="C11" s="5" t="n">
        <v>0.074</v>
      </c>
      <c r="D11" s="5" t="n">
        <v>0.077</v>
      </c>
      <c r="E11" s="5" t="s">
        <v>27</v>
      </c>
      <c r="F11" s="5" t="s">
        <v>27</v>
      </c>
      <c r="G11" s="5" t="s">
        <v>27</v>
      </c>
      <c r="H11" s="5" t="s">
        <v>27</v>
      </c>
      <c r="I11" s="5" t="s">
        <v>27</v>
      </c>
      <c r="J11" s="5" t="n">
        <v>0.066</v>
      </c>
      <c r="K11" s="5" t="n">
        <v>0</v>
      </c>
      <c r="L11" s="5" t="n">
        <v>0.005</v>
      </c>
      <c r="M11" s="5" t="n">
        <v>0.147</v>
      </c>
      <c r="N11" s="5" t="n">
        <v>0.029</v>
      </c>
      <c r="O11" s="5" t="n">
        <v>-0.002</v>
      </c>
      <c r="P11" s="5" t="n">
        <v>-0.02</v>
      </c>
      <c r="Q11" s="5" t="n">
        <v>0.06</v>
      </c>
      <c r="R11" s="5" t="n">
        <v>0.009</v>
      </c>
      <c r="S11" s="5" t="n">
        <v>0.048</v>
      </c>
      <c r="T11" s="5" t="n">
        <v>0.6</v>
      </c>
      <c r="U11" s="5" t="n">
        <v>0.021</v>
      </c>
      <c r="V11" s="5" t="n">
        <v>0.001</v>
      </c>
      <c r="W11" s="5" t="n">
        <v>0.068</v>
      </c>
      <c r="X11" s="5" t="n">
        <v>0.87</v>
      </c>
    </row>
    <row r="12" customFormat="false" ht="23.85" hidden="false" customHeight="false" outlineLevel="0" collapsed="false">
      <c r="A12" s="4" t="s">
        <v>35</v>
      </c>
      <c r="B12" s="7" t="s">
        <v>50</v>
      </c>
      <c r="C12" s="5" t="n">
        <v>-0.008</v>
      </c>
      <c r="D12" s="5" t="n">
        <v>0.084</v>
      </c>
      <c r="E12" s="5" t="s">
        <v>27</v>
      </c>
      <c r="F12" s="5" t="s">
        <v>27</v>
      </c>
      <c r="G12" s="5" t="s">
        <v>27</v>
      </c>
      <c r="H12" s="5" t="s">
        <v>27</v>
      </c>
      <c r="I12" s="5" t="s">
        <v>27</v>
      </c>
      <c r="J12" s="5" t="n">
        <v>0.006</v>
      </c>
      <c r="K12" s="5" t="n">
        <v>0</v>
      </c>
      <c r="L12" s="5" t="n">
        <v>0</v>
      </c>
      <c r="M12" s="5" t="n">
        <v>0.147</v>
      </c>
      <c r="N12" s="5" t="n">
        <v>0.002</v>
      </c>
      <c r="O12" s="5" t="n">
        <v>0.012</v>
      </c>
      <c r="P12" s="5" t="n">
        <v>0.14</v>
      </c>
      <c r="Q12" s="5" t="n">
        <v>0.06</v>
      </c>
      <c r="R12" s="5" t="n">
        <v>0.001</v>
      </c>
      <c r="S12" s="5" t="n">
        <v>0.003</v>
      </c>
      <c r="T12" s="5" t="n">
        <v>0.03</v>
      </c>
      <c r="U12" s="5" t="n">
        <v>0.021</v>
      </c>
      <c r="V12" s="5" t="n">
        <v>0.016</v>
      </c>
      <c r="W12" s="5" t="n">
        <v>0.015</v>
      </c>
      <c r="X12" s="5" t="n">
        <v>0.17</v>
      </c>
    </row>
    <row r="13" customFormat="false" ht="15" hidden="false" customHeight="false" outlineLevel="0" collapsed="false">
      <c r="A13" s="4" t="s">
        <v>38</v>
      </c>
      <c r="B13" s="7" t="s">
        <v>50</v>
      </c>
      <c r="C13" s="5" t="n">
        <v>0.711</v>
      </c>
      <c r="D13" s="5" t="n">
        <v>0.131</v>
      </c>
      <c r="E13" s="5" t="n">
        <v>0.17</v>
      </c>
      <c r="F13" s="5" t="n">
        <v>0.327</v>
      </c>
      <c r="G13" s="5" t="n">
        <v>0.425</v>
      </c>
      <c r="H13" s="5" t="n">
        <v>0.704</v>
      </c>
      <c r="I13" s="5" t="n">
        <v>1.98</v>
      </c>
      <c r="J13" s="5" t="n">
        <v>0.332</v>
      </c>
      <c r="K13" s="5" t="n">
        <v>0.228</v>
      </c>
      <c r="L13" s="5" t="n">
        <v>0.141</v>
      </c>
      <c r="M13" s="5" t="n">
        <v>0.124</v>
      </c>
      <c r="N13" s="5" t="n">
        <v>0.011</v>
      </c>
      <c r="O13" s="5" t="n">
        <v>0.641</v>
      </c>
      <c r="P13" s="5" t="n">
        <v>4.59</v>
      </c>
      <c r="Q13" s="5" t="n">
        <v>0.034</v>
      </c>
      <c r="R13" s="5" t="n">
        <v>0.038</v>
      </c>
      <c r="S13" s="5" t="n">
        <v>0.647</v>
      </c>
      <c r="T13" s="5" t="n">
        <v>4.94</v>
      </c>
      <c r="U13" s="5" t="n">
        <v>0.027</v>
      </c>
      <c r="V13" s="5" t="n">
        <v>0</v>
      </c>
      <c r="W13" s="5" t="n">
        <v>0.705</v>
      </c>
      <c r="X13" s="5" t="n">
        <v>5.3</v>
      </c>
    </row>
    <row r="14" customFormat="false" ht="15" hidden="false" customHeight="false" outlineLevel="0" collapsed="false">
      <c r="A14" s="4" t="s">
        <v>41</v>
      </c>
      <c r="B14" s="7" t="s">
        <v>50</v>
      </c>
      <c r="C14" s="5" t="n">
        <v>-3.139</v>
      </c>
      <c r="D14" s="5" t="n">
        <v>0.466</v>
      </c>
      <c r="E14" s="5" t="n">
        <v>0.262</v>
      </c>
      <c r="F14" s="5" t="n">
        <v>0.282</v>
      </c>
      <c r="G14" s="5" t="n">
        <v>0.367</v>
      </c>
      <c r="H14" s="5" t="n">
        <v>5.428</v>
      </c>
      <c r="I14" s="5" t="n">
        <v>0.88</v>
      </c>
      <c r="J14" s="5" t="n">
        <v>0.379</v>
      </c>
      <c r="K14" s="5" t="n">
        <v>0.287</v>
      </c>
      <c r="L14" s="5" t="n">
        <v>0.187</v>
      </c>
      <c r="M14" s="5" t="n">
        <v>0.147</v>
      </c>
      <c r="N14" s="5" t="n">
        <v>0.001</v>
      </c>
      <c r="O14" s="5" t="n">
        <v>-3.062</v>
      </c>
      <c r="P14" s="5" t="n">
        <v>-6.06</v>
      </c>
      <c r="Q14" s="5" t="n">
        <v>0.062</v>
      </c>
      <c r="R14" s="5" t="n">
        <v>0.002</v>
      </c>
      <c r="S14" s="5" t="n">
        <v>-3.068</v>
      </c>
      <c r="T14" s="5" t="n">
        <v>-6.37</v>
      </c>
      <c r="U14" s="5" t="n">
        <v>0.026</v>
      </c>
      <c r="V14" s="5" t="n">
        <v>0.003</v>
      </c>
      <c r="W14" s="5" t="n">
        <v>-3.082</v>
      </c>
      <c r="X14" s="5" t="n">
        <v>-6.52</v>
      </c>
    </row>
    <row r="15" customFormat="false" ht="15" hidden="false" customHeight="false" outlineLevel="0" collapsed="false">
      <c r="A15" s="4" t="s">
        <v>44</v>
      </c>
      <c r="B15" s="7" t="s">
        <v>50</v>
      </c>
      <c r="C15" s="5" t="n">
        <v>-1.082</v>
      </c>
      <c r="D15" s="5" t="n">
        <v>0.484</v>
      </c>
      <c r="E15" s="5" t="n">
        <v>0.03</v>
      </c>
      <c r="F15" s="5" t="n">
        <v>0.128</v>
      </c>
      <c r="G15" s="5" t="n">
        <v>0.167</v>
      </c>
      <c r="H15" s="5" t="n">
        <v>-1.115</v>
      </c>
      <c r="I15" s="5" t="n">
        <v>4.16</v>
      </c>
      <c r="J15" s="5" t="n">
        <v>0.147</v>
      </c>
      <c r="K15" s="5" t="n">
        <v>0.019</v>
      </c>
      <c r="L15" s="5" t="n">
        <v>0.025</v>
      </c>
      <c r="M15" s="5" t="n">
        <v>0.147</v>
      </c>
      <c r="N15" s="5" t="n">
        <v>0.002</v>
      </c>
      <c r="O15" s="5" t="n">
        <v>-0.957</v>
      </c>
      <c r="P15" s="5" t="n">
        <v>-1.82</v>
      </c>
      <c r="Q15" s="5" t="n">
        <v>0.062</v>
      </c>
      <c r="R15" s="5" t="n">
        <v>0.039</v>
      </c>
      <c r="S15" s="5" t="n">
        <v>-0.733</v>
      </c>
      <c r="T15" s="5" t="n">
        <v>-1.49</v>
      </c>
      <c r="U15" s="5" t="n">
        <v>0.026</v>
      </c>
      <c r="V15" s="5" t="n">
        <v>0.008</v>
      </c>
      <c r="W15" s="5" t="n">
        <v>-0.984</v>
      </c>
      <c r="X15" s="5" t="n">
        <v>-2.01</v>
      </c>
    </row>
    <row r="16" customFormat="false" ht="15" hidden="false" customHeight="false" outlineLevel="0" collapsed="false">
      <c r="A16" s="4" t="s">
        <v>46</v>
      </c>
      <c r="B16" s="7" t="s">
        <v>50</v>
      </c>
      <c r="C16" s="5" t="n">
        <v>-0.506</v>
      </c>
      <c r="D16" s="5" t="n">
        <v>0.464</v>
      </c>
      <c r="E16" s="5" t="n">
        <v>0.008</v>
      </c>
      <c r="F16" s="5" t="n">
        <v>0.079</v>
      </c>
      <c r="G16" s="5" t="n">
        <v>0.102</v>
      </c>
      <c r="H16" s="5" t="n">
        <v>-0.513</v>
      </c>
      <c r="I16" s="5" t="n">
        <v>5.67</v>
      </c>
      <c r="J16" s="5" t="n">
        <v>0.075</v>
      </c>
      <c r="K16" s="5" t="n">
        <v>0</v>
      </c>
      <c r="L16" s="5" t="n">
        <v>0.006</v>
      </c>
      <c r="M16" s="5" t="n">
        <v>0.145</v>
      </c>
      <c r="N16" s="5" t="n">
        <v>0</v>
      </c>
      <c r="O16" s="5" t="n">
        <v>-0.493</v>
      </c>
      <c r="P16" s="5" t="n">
        <v>-0.98</v>
      </c>
      <c r="Q16" s="5" t="n">
        <v>0.063</v>
      </c>
      <c r="R16" s="5" t="n">
        <v>0.007</v>
      </c>
      <c r="S16" s="5" t="n">
        <v>-0.368</v>
      </c>
      <c r="T16" s="5" t="n">
        <v>-0.77</v>
      </c>
      <c r="U16" s="5" t="n">
        <v>0.026</v>
      </c>
      <c r="V16" s="5" t="n">
        <v>0.005</v>
      </c>
      <c r="W16" s="5" t="n">
        <v>-0.433</v>
      </c>
      <c r="X16" s="5" t="n">
        <v>-0.92</v>
      </c>
    </row>
    <row r="18" customFormat="false" ht="15" hidden="false" customHeight="false" outlineLevel="0" collapsed="false">
      <c r="A18" s="4" t="s">
        <v>18</v>
      </c>
      <c r="B18" s="7" t="s">
        <v>51</v>
      </c>
      <c r="C18" s="5" t="n">
        <v>0.267</v>
      </c>
      <c r="D18" s="5" t="n">
        <v>0.08</v>
      </c>
      <c r="E18" s="5" t="n">
        <v>0.067</v>
      </c>
      <c r="F18" s="5" t="n">
        <v>0.112</v>
      </c>
      <c r="G18" s="5" t="n">
        <v>0.145</v>
      </c>
      <c r="H18" s="5" t="n">
        <v>0.281</v>
      </c>
      <c r="I18" s="5" t="n">
        <v>1.62</v>
      </c>
      <c r="J18" s="5" t="n">
        <v>0.202</v>
      </c>
      <c r="K18" s="5" t="n">
        <v>0.089</v>
      </c>
      <c r="L18" s="5" t="n">
        <v>0.049</v>
      </c>
      <c r="M18" s="5" t="n">
        <v>0.165</v>
      </c>
      <c r="N18" s="5" t="n">
        <v>0.006</v>
      </c>
      <c r="O18" s="5" t="n">
        <v>0.228</v>
      </c>
      <c r="P18" s="5" t="n">
        <v>2.6</v>
      </c>
      <c r="Q18" s="5" t="n">
        <v>0.063</v>
      </c>
      <c r="R18" s="5" t="n">
        <v>0.03</v>
      </c>
      <c r="S18" s="5" t="n">
        <v>0.214</v>
      </c>
      <c r="T18" s="5" t="n">
        <v>2.62</v>
      </c>
      <c r="U18" s="5" t="s">
        <v>283</v>
      </c>
      <c r="V18" s="5"/>
      <c r="W18" s="5"/>
      <c r="X18" s="5"/>
    </row>
    <row r="19" customFormat="false" ht="15" hidden="false" customHeight="false" outlineLevel="0" collapsed="false">
      <c r="A19" s="4" t="s">
        <v>22</v>
      </c>
      <c r="B19" s="7" t="s">
        <v>51</v>
      </c>
      <c r="C19" s="5" t="n">
        <v>0.105</v>
      </c>
      <c r="D19" s="5" t="n">
        <v>0.085</v>
      </c>
      <c r="E19" s="5" t="n">
        <v>0.009</v>
      </c>
      <c r="F19" s="5" t="n">
        <v>0.078</v>
      </c>
      <c r="G19" s="5" t="n">
        <v>0.102</v>
      </c>
      <c r="H19" s="5" t="n">
        <v>0.114</v>
      </c>
      <c r="I19" s="5" t="n">
        <v>6.07</v>
      </c>
      <c r="J19" s="5" t="n">
        <v>0.084</v>
      </c>
      <c r="K19" s="5" t="n">
        <v>0</v>
      </c>
      <c r="L19" s="5" t="n">
        <v>0.008</v>
      </c>
      <c r="M19" s="5" t="n">
        <v>0.151</v>
      </c>
      <c r="N19" s="5" t="n">
        <v>0.002</v>
      </c>
      <c r="O19" s="5" t="n">
        <v>0.081</v>
      </c>
      <c r="P19" s="5" t="n">
        <v>0.88</v>
      </c>
      <c r="Q19" s="5" t="n">
        <v>0.032</v>
      </c>
      <c r="R19" s="5" t="n">
        <v>0.017</v>
      </c>
      <c r="S19" s="5" t="n">
        <v>0.077</v>
      </c>
      <c r="T19" s="5" t="n">
        <v>0.89</v>
      </c>
      <c r="U19" s="5" t="s">
        <v>283</v>
      </c>
      <c r="V19" s="5"/>
      <c r="W19" s="5"/>
      <c r="X19" s="5"/>
    </row>
    <row r="20" customFormat="false" ht="15" hidden="false" customHeight="false" outlineLevel="0" collapsed="false">
      <c r="A20" s="4" t="s">
        <v>24</v>
      </c>
      <c r="B20" s="7" t="s">
        <v>51</v>
      </c>
      <c r="C20" s="5" t="n">
        <v>0.098</v>
      </c>
      <c r="D20" s="5" t="n">
        <v>0.076</v>
      </c>
      <c r="E20" s="5" t="n">
        <v>0.006</v>
      </c>
      <c r="F20" s="5" t="n">
        <v>0.105</v>
      </c>
      <c r="G20" s="5" t="n">
        <v>0.137</v>
      </c>
      <c r="H20" s="5" t="n">
        <v>0.111</v>
      </c>
      <c r="I20" s="5" t="n">
        <v>12.81</v>
      </c>
      <c r="J20" s="5" t="n">
        <v>0.083</v>
      </c>
      <c r="K20" s="5" t="n">
        <v>0</v>
      </c>
      <c r="L20" s="5" t="n">
        <v>0.007</v>
      </c>
      <c r="M20" s="5" t="n">
        <v>0.153</v>
      </c>
      <c r="N20" s="5" t="n">
        <v>0.005</v>
      </c>
      <c r="O20" s="5" t="n">
        <v>0.064</v>
      </c>
      <c r="P20" s="5" t="n">
        <v>0.78</v>
      </c>
      <c r="Q20" s="5" t="n">
        <v>0.059</v>
      </c>
      <c r="R20" s="5" t="n">
        <v>0.017</v>
      </c>
      <c r="S20" s="5" t="n">
        <v>0.061</v>
      </c>
      <c r="T20" s="5" t="n">
        <v>0.79</v>
      </c>
      <c r="U20" s="5" t="s">
        <v>283</v>
      </c>
      <c r="V20" s="5"/>
      <c r="W20" s="5"/>
      <c r="X20" s="5"/>
    </row>
    <row r="21" customFormat="false" ht="15" hidden="false" customHeight="false" outlineLevel="0" collapsed="false">
      <c r="A21" s="4" t="s">
        <v>26</v>
      </c>
      <c r="B21" s="7" t="s">
        <v>51</v>
      </c>
      <c r="C21" s="5" t="n">
        <v>0.371</v>
      </c>
      <c r="D21" s="5" t="n">
        <v>0.063</v>
      </c>
      <c r="E21" s="5" t="s">
        <v>27</v>
      </c>
      <c r="F21" s="5" t="s">
        <v>27</v>
      </c>
      <c r="G21" s="5" t="s">
        <v>27</v>
      </c>
      <c r="H21" s="5" t="s">
        <v>27</v>
      </c>
      <c r="I21" s="5" t="s">
        <v>27</v>
      </c>
      <c r="J21" s="5" t="n">
        <v>0.323</v>
      </c>
      <c r="K21" s="5" t="n">
        <v>0.229</v>
      </c>
      <c r="L21" s="5" t="n">
        <v>0.133</v>
      </c>
      <c r="M21" s="5" t="n">
        <v>0.153</v>
      </c>
      <c r="N21" s="5" t="n">
        <v>0</v>
      </c>
      <c r="O21" s="5" t="n">
        <v>0.363</v>
      </c>
      <c r="P21" s="5" t="n">
        <v>5.27</v>
      </c>
      <c r="Q21" s="5" t="n">
        <v>0.059</v>
      </c>
      <c r="R21" s="5" t="n">
        <v>0.007</v>
      </c>
      <c r="S21" s="5" t="n">
        <v>0.351</v>
      </c>
      <c r="T21" s="5" t="n">
        <v>5.4</v>
      </c>
      <c r="U21" s="5" t="s">
        <v>283</v>
      </c>
      <c r="V21" s="5"/>
      <c r="W21" s="5"/>
      <c r="X21" s="5"/>
    </row>
    <row r="22" customFormat="false" ht="15" hidden="false" customHeight="false" outlineLevel="0" collapsed="false">
      <c r="A22" s="4" t="s">
        <v>29</v>
      </c>
      <c r="B22" s="7" t="s">
        <v>51</v>
      </c>
      <c r="C22" s="5" t="n">
        <v>0.488</v>
      </c>
      <c r="D22" s="5" t="n">
        <v>0.069</v>
      </c>
      <c r="E22" s="5" t="n">
        <v>0.24</v>
      </c>
      <c r="F22" s="5" t="n">
        <v>0.309</v>
      </c>
      <c r="G22" s="5" t="n">
        <v>0.401</v>
      </c>
      <c r="H22" s="5" t="n">
        <v>0.452</v>
      </c>
      <c r="I22" s="5" t="n">
        <v>1.15</v>
      </c>
      <c r="J22" s="5" t="n">
        <v>0.372</v>
      </c>
      <c r="K22" s="5" t="n">
        <v>0.286</v>
      </c>
      <c r="L22" s="5" t="n">
        <v>0.181</v>
      </c>
      <c r="M22" s="5" t="n">
        <v>0.153</v>
      </c>
      <c r="N22" s="5" t="n">
        <v>0</v>
      </c>
      <c r="O22" s="5" t="n">
        <v>0.484</v>
      </c>
      <c r="P22" s="5" t="n">
        <v>6.42</v>
      </c>
      <c r="Q22" s="5" t="n">
        <v>0.059</v>
      </c>
      <c r="R22" s="5" t="n">
        <v>0</v>
      </c>
      <c r="S22" s="5" t="n">
        <v>0.482</v>
      </c>
      <c r="T22" s="5" t="n">
        <v>6.74</v>
      </c>
      <c r="U22" s="5" t="s">
        <v>283</v>
      </c>
      <c r="V22" s="5"/>
      <c r="W22" s="5"/>
      <c r="X22" s="5"/>
    </row>
    <row r="23" customFormat="false" ht="23.85" hidden="false" customHeight="false" outlineLevel="0" collapsed="false">
      <c r="A23" s="4" t="s">
        <v>31</v>
      </c>
      <c r="B23" s="7" t="s">
        <v>51</v>
      </c>
      <c r="C23" s="5" t="n">
        <v>0.136</v>
      </c>
      <c r="D23" s="5" t="n">
        <v>0.069</v>
      </c>
      <c r="E23" s="5" t="n">
        <v>0.044</v>
      </c>
      <c r="F23" s="5" t="n">
        <v>0.091</v>
      </c>
      <c r="G23" s="5" t="n">
        <v>0.119</v>
      </c>
      <c r="H23" s="5" t="n">
        <v>0.086</v>
      </c>
      <c r="I23" s="5" t="n">
        <v>1.63</v>
      </c>
      <c r="J23" s="5" t="n">
        <v>0.125</v>
      </c>
      <c r="K23" s="5" t="n">
        <v>0.001</v>
      </c>
      <c r="L23" s="5" t="n">
        <v>0.018</v>
      </c>
      <c r="M23" s="5" t="n">
        <v>0.155</v>
      </c>
      <c r="N23" s="5" t="n">
        <v>0.016</v>
      </c>
      <c r="O23" s="5" t="n">
        <v>0.082</v>
      </c>
      <c r="P23" s="5" t="n">
        <v>1.1</v>
      </c>
      <c r="Q23" s="5" t="n">
        <v>0.071</v>
      </c>
      <c r="R23" s="5" t="n">
        <v>0.002</v>
      </c>
      <c r="S23" s="5" t="n">
        <v>0.124</v>
      </c>
      <c r="T23" s="5" t="n">
        <v>1.73</v>
      </c>
      <c r="U23" s="5" t="s">
        <v>283</v>
      </c>
      <c r="V23" s="5"/>
      <c r="W23" s="5"/>
      <c r="X23" s="5"/>
    </row>
    <row r="24" customFormat="false" ht="15" hidden="false" customHeight="false" outlineLevel="0" collapsed="false">
      <c r="A24" s="4" t="s">
        <v>33</v>
      </c>
      <c r="B24" s="7" t="s">
        <v>51</v>
      </c>
      <c r="C24" s="5" t="n">
        <v>0.099</v>
      </c>
      <c r="D24" s="5" t="n">
        <v>0.075</v>
      </c>
      <c r="E24" s="5" t="s">
        <v>27</v>
      </c>
      <c r="F24" s="5" t="s">
        <v>27</v>
      </c>
      <c r="G24" s="5" t="s">
        <v>27</v>
      </c>
      <c r="H24" s="5" t="s">
        <v>27</v>
      </c>
      <c r="I24" s="5" t="s">
        <v>27</v>
      </c>
      <c r="J24" s="5" t="n">
        <v>0.084</v>
      </c>
      <c r="K24" s="5" t="n">
        <v>0</v>
      </c>
      <c r="L24" s="5" t="n">
        <v>0.008</v>
      </c>
      <c r="M24" s="5" t="n">
        <v>0.155</v>
      </c>
      <c r="N24" s="5" t="n">
        <v>0.045</v>
      </c>
      <c r="O24" s="5" t="n">
        <v>-0.004</v>
      </c>
      <c r="P24" s="5" t="n">
        <v>-0.05</v>
      </c>
      <c r="Q24" s="5" t="n">
        <v>0.057</v>
      </c>
      <c r="R24" s="5" t="n">
        <v>0.007</v>
      </c>
      <c r="S24" s="5" t="n">
        <v>0.076</v>
      </c>
      <c r="T24" s="5" t="n">
        <v>0.98</v>
      </c>
      <c r="U24" s="5" t="s">
        <v>283</v>
      </c>
      <c r="V24" s="5"/>
      <c r="W24" s="5"/>
      <c r="X24" s="5"/>
    </row>
    <row r="25" customFormat="false" ht="23.85" hidden="false" customHeight="false" outlineLevel="0" collapsed="false">
      <c r="A25" s="4" t="s">
        <v>35</v>
      </c>
      <c r="B25" s="7" t="s">
        <v>51</v>
      </c>
      <c r="C25" s="5" t="n">
        <v>-0.02</v>
      </c>
      <c r="D25" s="5" t="n">
        <v>0.081</v>
      </c>
      <c r="E25" s="5" t="s">
        <v>27</v>
      </c>
      <c r="F25" s="5" t="s">
        <v>27</v>
      </c>
      <c r="G25" s="5" t="s">
        <v>27</v>
      </c>
      <c r="H25" s="5" t="s">
        <v>27</v>
      </c>
      <c r="I25" s="5" t="s">
        <v>27</v>
      </c>
      <c r="J25" s="5" t="n">
        <v>0.016</v>
      </c>
      <c r="K25" s="5" t="n">
        <v>0</v>
      </c>
      <c r="L25" s="5" t="n">
        <v>0</v>
      </c>
      <c r="M25" s="5" t="n">
        <v>0.155</v>
      </c>
      <c r="N25" s="5" t="n">
        <v>0.001</v>
      </c>
      <c r="O25" s="5" t="n">
        <v>-0.001</v>
      </c>
      <c r="P25" s="5" t="n">
        <v>-0.01</v>
      </c>
      <c r="Q25" s="5" t="n">
        <v>0.057</v>
      </c>
      <c r="R25" s="5" t="n">
        <v>0.001</v>
      </c>
      <c r="S25" s="5" t="n">
        <v>-0.013</v>
      </c>
      <c r="T25" s="5" t="n">
        <v>-0.16</v>
      </c>
      <c r="U25" s="5" t="s">
        <v>283</v>
      </c>
      <c r="V25" s="5"/>
      <c r="W25" s="5"/>
      <c r="X25" s="5"/>
    </row>
    <row r="26" customFormat="false" ht="15" hidden="false" customHeight="false" outlineLevel="0" collapsed="false">
      <c r="A26" s="4" t="s">
        <v>38</v>
      </c>
      <c r="B26" s="7" t="s">
        <v>51</v>
      </c>
      <c r="C26" s="5" t="n">
        <v>0.813</v>
      </c>
      <c r="D26" s="5" t="n">
        <v>0.142</v>
      </c>
      <c r="E26" s="5" t="n">
        <v>0.165</v>
      </c>
      <c r="F26" s="5" t="n">
        <v>0.296</v>
      </c>
      <c r="G26" s="5" t="n">
        <v>0.385</v>
      </c>
      <c r="H26" s="5" t="n">
        <v>0.858</v>
      </c>
      <c r="I26" s="5" t="n">
        <v>1.77</v>
      </c>
      <c r="J26" s="5" t="n">
        <v>0.327</v>
      </c>
      <c r="K26" s="5" t="n">
        <v>0.229</v>
      </c>
      <c r="L26" s="5" t="n">
        <v>0.137</v>
      </c>
      <c r="M26" s="5" t="n">
        <v>0.14</v>
      </c>
      <c r="N26" s="5" t="n">
        <v>0.008</v>
      </c>
      <c r="O26" s="5" t="n">
        <v>0.741</v>
      </c>
      <c r="P26" s="5" t="n">
        <v>4.83</v>
      </c>
      <c r="Q26" s="5" t="n">
        <v>0.03</v>
      </c>
      <c r="R26" s="5" t="n">
        <v>0.011</v>
      </c>
      <c r="S26" s="5" t="n">
        <v>0.776</v>
      </c>
      <c r="T26" s="5" t="n">
        <v>5.38</v>
      </c>
      <c r="U26" s="5" t="s">
        <v>283</v>
      </c>
      <c r="V26" s="5"/>
      <c r="W26" s="5"/>
      <c r="X26" s="5"/>
    </row>
    <row r="27" customFormat="false" ht="15" hidden="false" customHeight="false" outlineLevel="0" collapsed="false">
      <c r="A27" s="4" t="s">
        <v>41</v>
      </c>
      <c r="B27" s="7" t="s">
        <v>51</v>
      </c>
      <c r="C27" s="5" t="n">
        <v>-2.841</v>
      </c>
      <c r="D27" s="5" t="n">
        <v>0.442</v>
      </c>
      <c r="E27" s="5" t="n">
        <v>0.242</v>
      </c>
      <c r="F27" s="5" t="n">
        <v>0.259</v>
      </c>
      <c r="G27" s="5" t="n">
        <v>0.336</v>
      </c>
      <c r="H27" s="5" t="n">
        <v>2.397</v>
      </c>
      <c r="I27" s="5" t="n">
        <v>0.88</v>
      </c>
      <c r="J27" s="5" t="n">
        <v>0.347</v>
      </c>
      <c r="K27" s="5" t="n">
        <v>0.257</v>
      </c>
      <c r="L27" s="5" t="n">
        <v>0.155</v>
      </c>
      <c r="M27" s="5" t="n">
        <v>0.153</v>
      </c>
      <c r="N27" s="5" t="n">
        <v>0</v>
      </c>
      <c r="O27" s="5" t="n">
        <v>-2.796</v>
      </c>
      <c r="P27" s="5" t="n">
        <v>-5.8</v>
      </c>
      <c r="Q27" s="5" t="n">
        <v>0.059</v>
      </c>
      <c r="R27" s="5" t="n">
        <v>0.001</v>
      </c>
      <c r="S27" s="5" t="n">
        <v>-2.792</v>
      </c>
      <c r="T27" s="5" t="n">
        <v>-6.11</v>
      </c>
      <c r="U27" s="5" t="s">
        <v>283</v>
      </c>
      <c r="V27" s="5"/>
      <c r="W27" s="5"/>
      <c r="X27" s="5"/>
    </row>
    <row r="28" customFormat="false" ht="15" hidden="false" customHeight="false" outlineLevel="0" collapsed="false">
      <c r="A28" s="4" t="s">
        <v>44</v>
      </c>
      <c r="B28" s="7" t="s">
        <v>51</v>
      </c>
      <c r="C28" s="5" t="n">
        <v>-1.168</v>
      </c>
      <c r="D28" s="5" t="n">
        <v>0.475</v>
      </c>
      <c r="E28" s="5" t="n">
        <v>0.021</v>
      </c>
      <c r="F28" s="5" t="n">
        <v>0.095</v>
      </c>
      <c r="G28" s="5" t="n">
        <v>0.124</v>
      </c>
      <c r="H28" s="5" t="n">
        <v>-1.375</v>
      </c>
      <c r="I28" s="5" t="n">
        <v>9.41</v>
      </c>
      <c r="J28" s="5" t="n">
        <v>0.151</v>
      </c>
      <c r="K28" s="5" t="n">
        <v>0.033</v>
      </c>
      <c r="L28" s="5" t="n">
        <v>0.026</v>
      </c>
      <c r="M28" s="5" t="n">
        <v>0.153</v>
      </c>
      <c r="N28" s="5" t="n">
        <v>0.007</v>
      </c>
      <c r="O28" s="5" t="n">
        <v>-0.913</v>
      </c>
      <c r="P28" s="5" t="n">
        <v>-1.77</v>
      </c>
      <c r="Q28" s="5" t="n">
        <v>0.059</v>
      </c>
      <c r="R28" s="5" t="n">
        <v>0.049</v>
      </c>
      <c r="S28" s="5" t="n">
        <v>-0.772</v>
      </c>
      <c r="T28" s="5" t="n">
        <v>-1.62</v>
      </c>
      <c r="U28" s="5" t="s">
        <v>283</v>
      </c>
      <c r="V28" s="5"/>
      <c r="W28" s="5"/>
      <c r="X28" s="5"/>
    </row>
    <row r="29" customFormat="false" ht="15" hidden="false" customHeight="false" outlineLevel="0" collapsed="false">
      <c r="A29" s="4" t="s">
        <v>46</v>
      </c>
      <c r="B29" s="7" t="s">
        <v>51</v>
      </c>
      <c r="C29" s="5" t="n">
        <v>-0.315</v>
      </c>
      <c r="D29" s="5" t="n">
        <v>0.45</v>
      </c>
      <c r="E29" s="5" t="n">
        <v>0.009</v>
      </c>
      <c r="F29" s="5" t="n">
        <v>0.04</v>
      </c>
      <c r="G29" s="5" t="n">
        <v>0.052</v>
      </c>
      <c r="H29" s="5" t="n">
        <v>-0.167</v>
      </c>
      <c r="I29" s="5" t="n">
        <v>1.69</v>
      </c>
      <c r="J29" s="5" t="n">
        <v>0.046</v>
      </c>
      <c r="K29" s="5" t="n">
        <v>0</v>
      </c>
      <c r="L29" s="5" t="n">
        <v>0.002</v>
      </c>
      <c r="M29" s="5" t="n">
        <v>0.151</v>
      </c>
      <c r="N29" s="5" t="n">
        <v>0.001</v>
      </c>
      <c r="O29" s="5" t="n">
        <v>-0.251</v>
      </c>
      <c r="P29" s="5" t="n">
        <v>-0.51</v>
      </c>
      <c r="Q29" s="5" t="n">
        <v>0.06</v>
      </c>
      <c r="R29" s="5" t="n">
        <v>0</v>
      </c>
      <c r="S29" s="5" t="n">
        <v>-0.278</v>
      </c>
      <c r="T29" s="5" t="n">
        <v>-0.6</v>
      </c>
      <c r="U29" s="5" t="s">
        <v>283</v>
      </c>
      <c r="V29" s="5"/>
      <c r="W29" s="5"/>
      <c r="X29" s="5"/>
    </row>
    <row r="31" customFormat="false" ht="15" hidden="false" customHeight="false" outlineLevel="0" collapsed="false">
      <c r="A31" s="4" t="s">
        <v>61</v>
      </c>
      <c r="B31" s="7" t="s">
        <v>332</v>
      </c>
      <c r="C31" s="5" t="n">
        <v>-0.253</v>
      </c>
      <c r="D31" s="5" t="n">
        <v>0.057</v>
      </c>
      <c r="E31" s="5" t="s">
        <v>27</v>
      </c>
      <c r="F31" s="5" t="s">
        <v>27</v>
      </c>
      <c r="G31" s="5" t="s">
        <v>27</v>
      </c>
      <c r="H31" s="5" t="s">
        <v>27</v>
      </c>
      <c r="I31" s="5" t="s">
        <v>27</v>
      </c>
      <c r="J31" s="5" t="n">
        <v>0.27</v>
      </c>
      <c r="K31" s="5" t="n">
        <v>0.161</v>
      </c>
      <c r="L31" s="5" t="n">
        <v>0.091</v>
      </c>
      <c r="M31" s="5" t="n">
        <v>0.147</v>
      </c>
      <c r="N31" s="5" t="n">
        <v>0.016</v>
      </c>
      <c r="O31" s="5" t="n">
        <v>-0.211</v>
      </c>
      <c r="P31" s="5" t="n">
        <v>-3.44</v>
      </c>
      <c r="Q31" s="5" t="n">
        <v>0.062</v>
      </c>
      <c r="R31" s="5" t="n">
        <v>0.001</v>
      </c>
      <c r="S31" s="5" t="n">
        <v>-0.248</v>
      </c>
      <c r="T31" s="5" t="n">
        <v>-4.2</v>
      </c>
      <c r="U31" s="5" t="n">
        <v>0.026</v>
      </c>
      <c r="V31" s="5" t="n">
        <v>0.003</v>
      </c>
      <c r="W31" s="5" t="n">
        <v>-0.246</v>
      </c>
      <c r="X31" s="5" t="n">
        <v>-4.25</v>
      </c>
    </row>
    <row r="32" customFormat="false" ht="15" hidden="false" customHeight="false" outlineLevel="0" collapsed="false">
      <c r="A32" s="4" t="s">
        <v>63</v>
      </c>
      <c r="B32" s="7" t="s">
        <v>332</v>
      </c>
      <c r="C32" s="5" t="n">
        <v>-0.007</v>
      </c>
      <c r="D32" s="5" t="n">
        <v>0.047</v>
      </c>
      <c r="E32" s="5" t="s">
        <v>27</v>
      </c>
      <c r="F32" s="5" t="s">
        <v>27</v>
      </c>
      <c r="G32" s="5" t="s">
        <v>27</v>
      </c>
      <c r="H32" s="5" t="s">
        <v>27</v>
      </c>
      <c r="I32" s="5" t="s">
        <v>27</v>
      </c>
      <c r="J32" s="5" t="n">
        <v>0.01</v>
      </c>
      <c r="K32" s="5" t="n">
        <v>0</v>
      </c>
      <c r="L32" s="5" t="n">
        <v>0</v>
      </c>
      <c r="M32" s="5" t="n">
        <v>0.147</v>
      </c>
      <c r="N32" s="5" t="n">
        <v>0</v>
      </c>
      <c r="O32" s="5" t="n">
        <v>-0.004</v>
      </c>
      <c r="P32" s="5" t="n">
        <v>-0.08</v>
      </c>
      <c r="Q32" s="5" t="n">
        <v>0.062</v>
      </c>
      <c r="R32" s="5" t="n">
        <v>0.002</v>
      </c>
      <c r="S32" s="5" t="n">
        <v>0.001</v>
      </c>
      <c r="T32" s="5" t="n">
        <v>0.03</v>
      </c>
      <c r="U32" s="5" t="n">
        <v>0.026</v>
      </c>
      <c r="V32" s="5" t="n">
        <v>0</v>
      </c>
      <c r="W32" s="5" t="n">
        <v>-0.005</v>
      </c>
      <c r="X32" s="5" t="n">
        <v>-0.11</v>
      </c>
    </row>
    <row r="33" customFormat="false" ht="15" hidden="false" customHeight="false" outlineLevel="0" collapsed="false">
      <c r="A33" s="4" t="s">
        <v>65</v>
      </c>
      <c r="B33" s="7" t="s">
        <v>332</v>
      </c>
      <c r="C33" s="5" t="n">
        <v>-0.084</v>
      </c>
      <c r="D33" s="5" t="n">
        <v>0.066</v>
      </c>
      <c r="E33" s="5" t="s">
        <v>27</v>
      </c>
      <c r="F33" s="5" t="s">
        <v>27</v>
      </c>
      <c r="G33" s="5" t="s">
        <v>27</v>
      </c>
      <c r="H33" s="5" t="s">
        <v>27</v>
      </c>
      <c r="I33" s="5" t="s">
        <v>27</v>
      </c>
      <c r="J33" s="5" t="n">
        <v>0.086</v>
      </c>
      <c r="K33" s="5" t="n">
        <v>0</v>
      </c>
      <c r="L33" s="5" t="n">
        <v>0.008</v>
      </c>
      <c r="M33" s="5" t="n">
        <v>0.147</v>
      </c>
      <c r="N33" s="5" t="n">
        <v>0.012</v>
      </c>
      <c r="O33" s="5" t="n">
        <v>-0.042</v>
      </c>
      <c r="P33" s="5" t="n">
        <v>-0.59</v>
      </c>
      <c r="Q33" s="5" t="n">
        <v>0.062</v>
      </c>
      <c r="R33" s="5" t="n">
        <v>0.034</v>
      </c>
      <c r="S33" s="5" t="n">
        <v>-0.04</v>
      </c>
      <c r="T33" s="5" t="n">
        <v>-0.59</v>
      </c>
      <c r="U33" s="5" t="n">
        <v>0.026</v>
      </c>
      <c r="V33" s="5" t="n">
        <v>0.009</v>
      </c>
      <c r="W33" s="5" t="n">
        <v>-0.07</v>
      </c>
      <c r="X33" s="5" t="n">
        <v>-1.04</v>
      </c>
    </row>
    <row r="34" customFormat="false" ht="15" hidden="false" customHeight="false" outlineLevel="0" collapsed="false">
      <c r="A34" s="4" t="s">
        <v>67</v>
      </c>
      <c r="B34" s="7" t="s">
        <v>332</v>
      </c>
      <c r="C34" s="5" t="n">
        <v>-0.834</v>
      </c>
      <c r="D34" s="5" t="n">
        <v>0.477</v>
      </c>
      <c r="E34" s="5" t="n">
        <v>0.016</v>
      </c>
      <c r="F34" s="5" t="n">
        <v>0.071</v>
      </c>
      <c r="G34" s="5" t="n">
        <v>0.092</v>
      </c>
      <c r="H34" s="5" t="n">
        <v>-0.917</v>
      </c>
      <c r="I34" s="5" t="n">
        <v>5.88</v>
      </c>
      <c r="J34" s="5" t="n">
        <v>0.117</v>
      </c>
      <c r="K34" s="5" t="n">
        <v>0</v>
      </c>
      <c r="L34" s="5" t="n">
        <v>0.015</v>
      </c>
      <c r="M34" s="5" t="n">
        <v>0.147</v>
      </c>
      <c r="N34" s="5" t="n">
        <v>0.017</v>
      </c>
      <c r="O34" s="5" t="n">
        <v>-0.472</v>
      </c>
      <c r="P34" s="5" t="n">
        <v>-0.92</v>
      </c>
      <c r="Q34" s="5" t="n">
        <v>0.06</v>
      </c>
      <c r="R34" s="5" t="n">
        <v>0.004</v>
      </c>
      <c r="S34" s="5" t="n">
        <v>-0.727</v>
      </c>
      <c r="T34" s="5" t="n">
        <v>-1.48</v>
      </c>
      <c r="U34" s="5" t="n">
        <v>0.021</v>
      </c>
      <c r="V34" s="5" t="n">
        <v>0.003</v>
      </c>
      <c r="W34" s="5" t="n">
        <v>-0.782</v>
      </c>
      <c r="X34" s="5" t="n">
        <v>-1.62</v>
      </c>
    </row>
    <row r="35" customFormat="false" ht="15" hidden="false" customHeight="false" outlineLevel="0" collapsed="false">
      <c r="A35" s="4" t="s">
        <v>33</v>
      </c>
      <c r="B35" s="7" t="s">
        <v>332</v>
      </c>
      <c r="C35" s="5" t="n">
        <v>0.074</v>
      </c>
      <c r="D35" s="5" t="n">
        <v>0.077</v>
      </c>
      <c r="E35" s="5" t="s">
        <v>27</v>
      </c>
      <c r="F35" s="5" t="s">
        <v>27</v>
      </c>
      <c r="G35" s="5" t="s">
        <v>27</v>
      </c>
      <c r="H35" s="5" t="s">
        <v>27</v>
      </c>
      <c r="I35" s="5" t="s">
        <v>27</v>
      </c>
      <c r="J35" s="5" t="n">
        <v>0.066</v>
      </c>
      <c r="K35" s="5" t="n">
        <v>0</v>
      </c>
      <c r="L35" s="5" t="n">
        <v>0.005</v>
      </c>
      <c r="M35" s="5" t="n">
        <v>0.147</v>
      </c>
      <c r="N35" s="5" t="n">
        <v>0.029</v>
      </c>
      <c r="O35" s="5" t="n">
        <v>-0.002</v>
      </c>
      <c r="P35" s="5" t="n">
        <v>-0.02</v>
      </c>
      <c r="Q35" s="5" t="n">
        <v>0.06</v>
      </c>
      <c r="R35" s="5" t="n">
        <v>0.009</v>
      </c>
      <c r="S35" s="5" t="n">
        <v>0.048</v>
      </c>
      <c r="T35" s="5" t="n">
        <v>0.6</v>
      </c>
      <c r="U35" s="5" t="n">
        <v>0.021</v>
      </c>
      <c r="V35" s="5" t="n">
        <v>0.001</v>
      </c>
      <c r="W35" s="5" t="n">
        <v>0.068</v>
      </c>
      <c r="X35" s="5" t="n">
        <v>0.87</v>
      </c>
    </row>
    <row r="36" customFormat="false" ht="15" hidden="false" customHeight="false" outlineLevel="0" collapsed="false">
      <c r="A36" s="4" t="s">
        <v>71</v>
      </c>
      <c r="B36" s="7" t="s">
        <v>332</v>
      </c>
      <c r="C36" s="5" t="n">
        <v>0.138</v>
      </c>
      <c r="D36" s="5" t="n">
        <v>0.077</v>
      </c>
      <c r="E36" s="5" t="s">
        <v>27</v>
      </c>
      <c r="F36" s="5" t="s">
        <v>27</v>
      </c>
      <c r="G36" s="5" t="s">
        <v>27</v>
      </c>
      <c r="H36" s="5" t="s">
        <v>27</v>
      </c>
      <c r="I36" s="5" t="s">
        <v>27</v>
      </c>
      <c r="J36" s="5" t="n">
        <v>0.121</v>
      </c>
      <c r="K36" s="5" t="n">
        <v>0</v>
      </c>
      <c r="L36" s="5" t="n">
        <v>0.016</v>
      </c>
      <c r="M36" s="5" t="n">
        <v>0.147</v>
      </c>
      <c r="N36" s="5" t="n">
        <v>0.003</v>
      </c>
      <c r="O36" s="5" t="n">
        <v>0.114</v>
      </c>
      <c r="P36" s="5" t="n">
        <v>1.38</v>
      </c>
      <c r="Q36" s="5" t="n">
        <v>0.06</v>
      </c>
      <c r="R36" s="5" t="n">
        <v>0.001</v>
      </c>
      <c r="S36" s="5" t="n">
        <v>0.129</v>
      </c>
      <c r="T36" s="5" t="n">
        <v>1.63</v>
      </c>
      <c r="U36" s="5" t="n">
        <v>0.021</v>
      </c>
      <c r="V36" s="5" t="n">
        <v>0.001</v>
      </c>
      <c r="W36" s="5" t="n">
        <v>0.133</v>
      </c>
      <c r="X36" s="5" t="n">
        <v>1.71</v>
      </c>
    </row>
    <row r="37" customFormat="false" ht="15" hidden="false" customHeight="false" outlineLevel="0" collapsed="false">
      <c r="A37" s="4" t="s">
        <v>73</v>
      </c>
      <c r="B37" s="7" t="s">
        <v>332</v>
      </c>
      <c r="C37" s="5" t="n">
        <v>-0.141</v>
      </c>
      <c r="D37" s="5" t="n">
        <v>0.066</v>
      </c>
      <c r="E37" s="5" t="s">
        <v>27</v>
      </c>
      <c r="F37" s="5" t="s">
        <v>27</v>
      </c>
      <c r="G37" s="5" t="s">
        <v>27</v>
      </c>
      <c r="H37" s="5" t="s">
        <v>27</v>
      </c>
      <c r="I37" s="5" t="s">
        <v>27</v>
      </c>
      <c r="J37" s="5" t="n">
        <v>0.14</v>
      </c>
      <c r="K37" s="5" t="n">
        <v>0.011</v>
      </c>
      <c r="L37" s="5" t="n">
        <v>0.022</v>
      </c>
      <c r="M37" s="5" t="n">
        <v>0.147</v>
      </c>
      <c r="N37" s="5" t="n">
        <v>0.013</v>
      </c>
      <c r="O37" s="5" t="n">
        <v>-0.096</v>
      </c>
      <c r="P37" s="5" t="n">
        <v>-1.35</v>
      </c>
      <c r="Q37" s="5" t="n">
        <v>0.06</v>
      </c>
      <c r="R37" s="5" t="n">
        <v>0.004</v>
      </c>
      <c r="S37" s="5" t="n">
        <v>-0.126</v>
      </c>
      <c r="T37" s="5" t="n">
        <v>-1.84</v>
      </c>
      <c r="U37" s="5" t="n">
        <v>0.021</v>
      </c>
      <c r="V37" s="5" t="n">
        <v>0.01</v>
      </c>
      <c r="W37" s="5" t="n">
        <v>-0.127</v>
      </c>
      <c r="X37" s="5" t="n">
        <v>-1.9</v>
      </c>
    </row>
    <row r="38" customFormat="false" ht="15" hidden="false" customHeight="false" outlineLevel="0" collapsed="false">
      <c r="A38" s="4" t="s">
        <v>75</v>
      </c>
      <c r="B38" s="7" t="s">
        <v>332</v>
      </c>
      <c r="C38" s="5" t="n">
        <v>-0.01</v>
      </c>
      <c r="D38" s="5" t="n">
        <v>0.072</v>
      </c>
      <c r="E38" s="5" t="s">
        <v>27</v>
      </c>
      <c r="F38" s="5" t="s">
        <v>27</v>
      </c>
      <c r="G38" s="5" t="s">
        <v>27</v>
      </c>
      <c r="H38" s="5" t="s">
        <v>27</v>
      </c>
      <c r="I38" s="5" t="s">
        <v>27</v>
      </c>
      <c r="J38" s="5" t="n">
        <v>0.01</v>
      </c>
      <c r="K38" s="5" t="n">
        <v>0</v>
      </c>
      <c r="L38" s="5" t="n">
        <v>0</v>
      </c>
      <c r="M38" s="5" t="n">
        <v>0.147</v>
      </c>
      <c r="N38" s="5" t="n">
        <v>0.005</v>
      </c>
      <c r="O38" s="5" t="n">
        <v>0.019</v>
      </c>
      <c r="P38" s="5" t="n">
        <v>0.24</v>
      </c>
      <c r="Q38" s="5" t="n">
        <v>0.06</v>
      </c>
      <c r="R38" s="5" t="n">
        <v>0</v>
      </c>
      <c r="S38" s="5" t="n">
        <v>-0.01</v>
      </c>
      <c r="T38" s="5" t="n">
        <v>-0.14</v>
      </c>
      <c r="U38" s="5" t="n">
        <v>0.021</v>
      </c>
      <c r="V38" s="5" t="n">
        <v>0.016</v>
      </c>
      <c r="W38" s="5" t="n">
        <v>0.008</v>
      </c>
      <c r="X38" s="5" t="n">
        <v>0.11</v>
      </c>
    </row>
    <row r="39" customFormat="false" ht="15" hidden="false" customHeight="false" outlineLevel="0" collapsed="false">
      <c r="A39" s="4" t="s">
        <v>77</v>
      </c>
      <c r="B39" s="7" t="s">
        <v>332</v>
      </c>
      <c r="C39" s="5" t="n">
        <v>-0.21</v>
      </c>
      <c r="D39" s="5" t="n">
        <v>0.081</v>
      </c>
      <c r="E39" s="5" t="s">
        <v>27</v>
      </c>
      <c r="F39" s="5" t="s">
        <v>27</v>
      </c>
      <c r="G39" s="5" t="s">
        <v>27</v>
      </c>
      <c r="H39" s="5" t="s">
        <v>27</v>
      </c>
      <c r="I39" s="5" t="s">
        <v>27</v>
      </c>
      <c r="J39" s="5" t="n">
        <v>0.169</v>
      </c>
      <c r="K39" s="5" t="n">
        <v>0.044</v>
      </c>
      <c r="L39" s="5" t="n">
        <v>0.033</v>
      </c>
      <c r="M39" s="5" t="n">
        <v>0.147</v>
      </c>
      <c r="N39" s="5" t="n">
        <v>0.001</v>
      </c>
      <c r="O39" s="5" t="n">
        <v>-0.194</v>
      </c>
      <c r="P39" s="5" t="n">
        <v>-2.21</v>
      </c>
      <c r="Q39" s="5" t="n">
        <v>0.06</v>
      </c>
      <c r="R39" s="5" t="n">
        <v>0.001</v>
      </c>
      <c r="S39" s="5" t="n">
        <v>-0.199</v>
      </c>
      <c r="T39" s="5" t="n">
        <v>-2.39</v>
      </c>
      <c r="U39" s="5" t="n">
        <v>0.021</v>
      </c>
      <c r="V39" s="5" t="n">
        <v>0.004</v>
      </c>
      <c r="W39" s="5" t="n">
        <v>-0.199</v>
      </c>
      <c r="X39" s="5" t="n">
        <v>-2.44</v>
      </c>
    </row>
    <row r="40" customFormat="false" ht="15" hidden="false" customHeight="false" outlineLevel="0" collapsed="false">
      <c r="A40" s="4" t="s">
        <v>79</v>
      </c>
      <c r="B40" s="7" t="s">
        <v>332</v>
      </c>
      <c r="C40" s="5" t="n">
        <v>-0.261</v>
      </c>
      <c r="D40" s="5" t="n">
        <v>0.075</v>
      </c>
      <c r="E40" s="5" t="s">
        <v>27</v>
      </c>
      <c r="F40" s="5" t="s">
        <v>27</v>
      </c>
      <c r="G40" s="5" t="s">
        <v>27</v>
      </c>
      <c r="H40" s="5" t="s">
        <v>27</v>
      </c>
      <c r="I40" s="5" t="s">
        <v>27</v>
      </c>
      <c r="J40" s="5" t="n">
        <v>0.219</v>
      </c>
      <c r="K40" s="5" t="n">
        <v>0.102</v>
      </c>
      <c r="L40" s="5" t="n">
        <v>0.058</v>
      </c>
      <c r="M40" s="5" t="n">
        <v>0.147</v>
      </c>
      <c r="N40" s="5" t="n">
        <v>0.05</v>
      </c>
      <c r="O40" s="5" t="n">
        <v>-0.164</v>
      </c>
      <c r="P40" s="5" t="n">
        <v>-2.05</v>
      </c>
      <c r="Q40" s="5" t="n">
        <v>0.06</v>
      </c>
      <c r="R40" s="5" t="n">
        <v>0.055</v>
      </c>
      <c r="S40" s="5" t="n">
        <v>-0.199</v>
      </c>
      <c r="T40" s="5" t="n">
        <v>-2.63</v>
      </c>
      <c r="U40" s="5" t="n">
        <v>0.021</v>
      </c>
      <c r="V40" s="5" t="n">
        <v>0</v>
      </c>
      <c r="W40" s="5" t="n">
        <v>-0.258</v>
      </c>
      <c r="X40" s="5" t="n">
        <v>-3.38</v>
      </c>
    </row>
    <row r="41" customFormat="false" ht="15" hidden="false" customHeight="false" outlineLevel="0" collapsed="false">
      <c r="A41" s="4" t="s">
        <v>81</v>
      </c>
      <c r="B41" s="7" t="s">
        <v>332</v>
      </c>
      <c r="C41" s="5" t="n">
        <v>0.005</v>
      </c>
      <c r="D41" s="5" t="n">
        <v>0.08</v>
      </c>
      <c r="E41" s="5" t="s">
        <v>27</v>
      </c>
      <c r="F41" s="5" t="s">
        <v>27</v>
      </c>
      <c r="G41" s="5" t="s">
        <v>27</v>
      </c>
      <c r="H41" s="5" t="s">
        <v>27</v>
      </c>
      <c r="I41" s="5" t="s">
        <v>27</v>
      </c>
      <c r="J41" s="5" t="n">
        <v>0.004</v>
      </c>
      <c r="K41" s="5" t="n">
        <v>0</v>
      </c>
      <c r="L41" s="5" t="n">
        <v>0</v>
      </c>
      <c r="M41" s="5" t="n">
        <v>0.147</v>
      </c>
      <c r="N41" s="5" t="n">
        <v>0.005</v>
      </c>
      <c r="O41" s="5" t="n">
        <v>-0.026</v>
      </c>
      <c r="P41" s="5" t="n">
        <v>-0.3</v>
      </c>
      <c r="Q41" s="5" t="n">
        <v>0.06</v>
      </c>
      <c r="R41" s="5" t="n">
        <v>0.002</v>
      </c>
      <c r="S41" s="5" t="n">
        <v>-0.007</v>
      </c>
      <c r="T41" s="5" t="n">
        <v>-0.08</v>
      </c>
      <c r="U41" s="5" t="n">
        <v>0.021</v>
      </c>
      <c r="V41" s="5" t="n">
        <v>0.002</v>
      </c>
      <c r="W41" s="5" t="n">
        <v>-0.002</v>
      </c>
      <c r="X41" s="5" t="n">
        <v>-0.03</v>
      </c>
    </row>
    <row r="42" customFormat="false" ht="23.85" hidden="false" customHeight="false" outlineLevel="0" collapsed="false">
      <c r="A42" s="4" t="s">
        <v>35</v>
      </c>
      <c r="B42" s="7" t="s">
        <v>332</v>
      </c>
      <c r="C42" s="5" t="n">
        <v>-0.008</v>
      </c>
      <c r="D42" s="5" t="n">
        <v>0.084</v>
      </c>
      <c r="E42" s="5" t="s">
        <v>27</v>
      </c>
      <c r="F42" s="5" t="s">
        <v>27</v>
      </c>
      <c r="G42" s="5" t="s">
        <v>27</v>
      </c>
      <c r="H42" s="5" t="s">
        <v>27</v>
      </c>
      <c r="I42" s="5" t="s">
        <v>27</v>
      </c>
      <c r="J42" s="5" t="n">
        <v>0.006</v>
      </c>
      <c r="K42" s="5" t="n">
        <v>0</v>
      </c>
      <c r="L42" s="5" t="n">
        <v>0</v>
      </c>
      <c r="M42" s="5" t="n">
        <v>0.147</v>
      </c>
      <c r="N42" s="5" t="n">
        <v>0.002</v>
      </c>
      <c r="O42" s="5" t="n">
        <v>0.012</v>
      </c>
      <c r="P42" s="5" t="n">
        <v>0.14</v>
      </c>
      <c r="Q42" s="5" t="n">
        <v>0.06</v>
      </c>
      <c r="R42" s="5" t="n">
        <v>0.001</v>
      </c>
      <c r="S42" s="5" t="n">
        <v>0.003</v>
      </c>
      <c r="T42" s="5" t="n">
        <v>0.03</v>
      </c>
      <c r="U42" s="5" t="n">
        <v>0.021</v>
      </c>
      <c r="V42" s="5" t="n">
        <v>0.016</v>
      </c>
      <c r="W42" s="5" t="n">
        <v>0.015</v>
      </c>
      <c r="X42" s="5" t="n">
        <v>0.17</v>
      </c>
    </row>
    <row r="43" customFormat="false" ht="15" hidden="false" customHeight="false" outlineLevel="0" collapsed="false">
      <c r="A43" s="4" t="s">
        <v>84</v>
      </c>
      <c r="B43" s="7" t="s">
        <v>332</v>
      </c>
      <c r="C43" s="5" t="n">
        <v>-0.161</v>
      </c>
      <c r="D43" s="5" t="n">
        <v>0.084</v>
      </c>
      <c r="E43" s="5" t="s">
        <v>27</v>
      </c>
      <c r="F43" s="5" t="s">
        <v>27</v>
      </c>
      <c r="G43" s="5" t="s">
        <v>27</v>
      </c>
      <c r="H43" s="5" t="s">
        <v>27</v>
      </c>
      <c r="I43" s="5" t="s">
        <v>27</v>
      </c>
      <c r="J43" s="5" t="n">
        <v>0.128</v>
      </c>
      <c r="K43" s="5" t="n">
        <v>0</v>
      </c>
      <c r="L43" s="5" t="n">
        <v>0.018</v>
      </c>
      <c r="M43" s="5" t="n">
        <v>0.147</v>
      </c>
      <c r="N43" s="5" t="n">
        <v>0.009</v>
      </c>
      <c r="O43" s="5" t="n">
        <v>-0.115</v>
      </c>
      <c r="P43" s="5" t="n">
        <v>-1.27</v>
      </c>
      <c r="Q43" s="5" t="n">
        <v>0.06</v>
      </c>
      <c r="R43" s="5" t="n">
        <v>0.002</v>
      </c>
      <c r="S43" s="5" t="n">
        <v>-0.147</v>
      </c>
      <c r="T43" s="5" t="n">
        <v>-1.7</v>
      </c>
      <c r="U43" s="5" t="n">
        <v>0.021</v>
      </c>
      <c r="V43" s="5" t="n">
        <v>0.003</v>
      </c>
      <c r="W43" s="5" t="n">
        <v>-0.152</v>
      </c>
      <c r="X43" s="5" t="n">
        <v>-1.79</v>
      </c>
    </row>
    <row r="44" customFormat="false" ht="15" hidden="false" customHeight="false" outlineLevel="0" collapsed="false">
      <c r="A44" s="4" t="s">
        <v>86</v>
      </c>
      <c r="B44" s="7" t="s">
        <v>332</v>
      </c>
      <c r="C44" s="5" t="n">
        <v>-0.105</v>
      </c>
      <c r="D44" s="5" t="n">
        <v>0.075</v>
      </c>
      <c r="E44" s="5" t="s">
        <v>27</v>
      </c>
      <c r="F44" s="5" t="s">
        <v>27</v>
      </c>
      <c r="G44" s="5" t="s">
        <v>27</v>
      </c>
      <c r="H44" s="5" t="s">
        <v>27</v>
      </c>
      <c r="I44" s="5" t="s">
        <v>27</v>
      </c>
      <c r="J44" s="5" t="n">
        <v>0.095</v>
      </c>
      <c r="K44" s="5" t="n">
        <v>0</v>
      </c>
      <c r="L44" s="5" t="n">
        <v>0.01</v>
      </c>
      <c r="M44" s="5" t="n">
        <v>0.147</v>
      </c>
      <c r="N44" s="5" t="n">
        <v>0</v>
      </c>
      <c r="O44" s="5" t="n">
        <v>-0.099</v>
      </c>
      <c r="P44" s="5" t="n">
        <v>-1.22</v>
      </c>
      <c r="Q44" s="5" t="n">
        <v>0.06</v>
      </c>
      <c r="R44" s="5" t="n">
        <v>0</v>
      </c>
      <c r="S44" s="5" t="n">
        <v>-0.1</v>
      </c>
      <c r="T44" s="5" t="n">
        <v>-1.29</v>
      </c>
      <c r="U44" s="5" t="n">
        <v>0.021</v>
      </c>
      <c r="V44" s="5" t="n">
        <v>0</v>
      </c>
      <c r="W44" s="5" t="n">
        <v>-0.104</v>
      </c>
      <c r="X44" s="5" t="n">
        <v>-1.38</v>
      </c>
    </row>
    <row r="45" customFormat="false" ht="23.85" hidden="false" customHeight="false" outlineLevel="0" collapsed="false">
      <c r="A45" s="4" t="s">
        <v>88</v>
      </c>
      <c r="B45" s="7" t="s">
        <v>332</v>
      </c>
      <c r="C45" s="5" t="n">
        <v>-0.157</v>
      </c>
      <c r="D45" s="5" t="n">
        <v>0.069</v>
      </c>
      <c r="E45" s="5" t="s">
        <v>27</v>
      </c>
      <c r="F45" s="5" t="s">
        <v>27</v>
      </c>
      <c r="G45" s="5" t="s">
        <v>27</v>
      </c>
      <c r="H45" s="5" t="s">
        <v>27</v>
      </c>
      <c r="I45" s="5" t="s">
        <v>27</v>
      </c>
      <c r="J45" s="5" t="n">
        <v>0.149</v>
      </c>
      <c r="K45" s="5" t="n">
        <v>0.021</v>
      </c>
      <c r="L45" s="5" t="n">
        <v>0.025</v>
      </c>
      <c r="M45" s="5" t="n">
        <v>0.147</v>
      </c>
      <c r="N45" s="5" t="n">
        <v>0.012</v>
      </c>
      <c r="O45" s="5" t="n">
        <v>-0.112</v>
      </c>
      <c r="P45" s="5" t="n">
        <v>-1.5</v>
      </c>
      <c r="Q45" s="5" t="n">
        <v>0.06</v>
      </c>
      <c r="R45" s="5" t="n">
        <v>0.001</v>
      </c>
      <c r="S45" s="5" t="n">
        <v>-0.148</v>
      </c>
      <c r="T45" s="5" t="n">
        <v>-2.07</v>
      </c>
      <c r="U45" s="5" t="n">
        <v>0.021</v>
      </c>
      <c r="V45" s="5" t="n">
        <v>0</v>
      </c>
      <c r="W45" s="5" t="n">
        <v>-0.156</v>
      </c>
      <c r="X45" s="5" t="n">
        <v>-2.22</v>
      </c>
    </row>
    <row r="47" customFormat="false" ht="15" hidden="false" customHeight="false" outlineLevel="0" collapsed="false">
      <c r="A47" s="4" t="s">
        <v>61</v>
      </c>
      <c r="B47" s="7" t="s">
        <v>333</v>
      </c>
      <c r="C47" s="5" t="n">
        <v>-0.253</v>
      </c>
      <c r="D47" s="5" t="n">
        <v>0.057</v>
      </c>
      <c r="E47" s="5" t="n">
        <v>0.047</v>
      </c>
      <c r="F47" s="5" t="n">
        <v>0.094</v>
      </c>
      <c r="G47" s="5" t="n">
        <v>0.123</v>
      </c>
      <c r="H47" s="5" t="n">
        <v>-0.321</v>
      </c>
      <c r="I47" s="5" t="n">
        <v>-2.93</v>
      </c>
      <c r="J47" s="5" t="n">
        <v>0.256</v>
      </c>
      <c r="K47" s="5" t="n">
        <v>0.152</v>
      </c>
      <c r="L47" s="5" t="n">
        <v>0.081</v>
      </c>
      <c r="M47" s="5" t="n">
        <v>0.153</v>
      </c>
      <c r="N47" s="5" t="n">
        <v>0.011</v>
      </c>
      <c r="O47" s="5" t="n">
        <v>-0.215</v>
      </c>
      <c r="P47" s="5" t="n">
        <v>-3.48</v>
      </c>
      <c r="Q47" s="5" t="n">
        <v>0.059</v>
      </c>
      <c r="R47" s="5" t="n">
        <v>0.002</v>
      </c>
      <c r="S47" s="5" t="n">
        <v>-0.245</v>
      </c>
      <c r="T47" s="5" t="n">
        <v>-4.15</v>
      </c>
      <c r="U47" s="5" t="s">
        <v>283</v>
      </c>
      <c r="V47" s="5"/>
      <c r="W47" s="5"/>
      <c r="X47" s="5"/>
    </row>
    <row r="48" customFormat="false" ht="15" hidden="false" customHeight="false" outlineLevel="0" collapsed="false">
      <c r="A48" s="4" t="s">
        <v>63</v>
      </c>
      <c r="B48" s="7" t="s">
        <v>333</v>
      </c>
      <c r="C48" s="5" t="n">
        <v>-0.004</v>
      </c>
      <c r="D48" s="5" t="n">
        <v>0.044</v>
      </c>
      <c r="E48" s="5" t="s">
        <v>27</v>
      </c>
      <c r="F48" s="5" t="s">
        <v>27</v>
      </c>
      <c r="G48" s="5" t="s">
        <v>27</v>
      </c>
      <c r="H48" s="5" t="s">
        <v>27</v>
      </c>
      <c r="I48" s="5" t="s">
        <v>27</v>
      </c>
      <c r="J48" s="5" t="n">
        <v>0.007</v>
      </c>
      <c r="K48" s="5" t="n">
        <v>0</v>
      </c>
      <c r="L48" s="5" t="n">
        <v>0</v>
      </c>
      <c r="M48" s="5" t="n">
        <v>0.153</v>
      </c>
      <c r="N48" s="5" t="n">
        <v>0.001</v>
      </c>
      <c r="O48" s="5" t="n">
        <v>0.004</v>
      </c>
      <c r="P48" s="5" t="n">
        <v>0.09</v>
      </c>
      <c r="Q48" s="5" t="n">
        <v>0.059</v>
      </c>
      <c r="R48" s="5" t="n">
        <v>0.001</v>
      </c>
      <c r="S48" s="5" t="n">
        <v>0</v>
      </c>
      <c r="T48" s="5" t="n">
        <v>-0.01</v>
      </c>
      <c r="U48" s="5" t="s">
        <v>283</v>
      </c>
      <c r="V48" s="5"/>
      <c r="W48" s="5"/>
      <c r="X48" s="5"/>
    </row>
    <row r="49" customFormat="false" ht="15" hidden="false" customHeight="false" outlineLevel="0" collapsed="false">
      <c r="A49" s="4" t="s">
        <v>65</v>
      </c>
      <c r="B49" s="7" t="s">
        <v>333</v>
      </c>
      <c r="C49" s="5" t="n">
        <v>-0.065</v>
      </c>
      <c r="D49" s="5" t="n">
        <v>0.064</v>
      </c>
      <c r="E49" s="5" t="s">
        <v>27</v>
      </c>
      <c r="F49" s="5" t="s">
        <v>27</v>
      </c>
      <c r="G49" s="5" t="s">
        <v>27</v>
      </c>
      <c r="H49" s="5" t="s">
        <v>27</v>
      </c>
      <c r="I49" s="5" t="s">
        <v>27</v>
      </c>
      <c r="J49" s="5" t="n">
        <v>0.065</v>
      </c>
      <c r="K49" s="5" t="n">
        <v>0</v>
      </c>
      <c r="L49" s="5" t="n">
        <v>0.005</v>
      </c>
      <c r="M49" s="5" t="n">
        <v>0.153</v>
      </c>
      <c r="N49" s="5" t="n">
        <v>0.004</v>
      </c>
      <c r="O49" s="5" t="n">
        <v>-0.038</v>
      </c>
      <c r="P49" s="5" t="n">
        <v>-0.55</v>
      </c>
      <c r="Q49" s="5" t="n">
        <v>0.059</v>
      </c>
      <c r="R49" s="5" t="n">
        <v>0.039</v>
      </c>
      <c r="S49" s="5" t="n">
        <v>-0.017</v>
      </c>
      <c r="T49" s="5" t="n">
        <v>-0.26</v>
      </c>
      <c r="U49" s="5" t="s">
        <v>283</v>
      </c>
      <c r="V49" s="5"/>
      <c r="W49" s="5"/>
      <c r="X49" s="5"/>
    </row>
    <row r="50" customFormat="false" ht="15" hidden="false" customHeight="false" outlineLevel="0" collapsed="false">
      <c r="A50" s="4" t="s">
        <v>67</v>
      </c>
      <c r="B50" s="7" t="s">
        <v>333</v>
      </c>
      <c r="C50" s="5" t="n">
        <v>-0.889</v>
      </c>
      <c r="D50" s="5" t="n">
        <v>0.459</v>
      </c>
      <c r="E50" s="5" t="n">
        <v>0.014</v>
      </c>
      <c r="F50" s="5" t="n">
        <v>0.054</v>
      </c>
      <c r="G50" s="5" t="n">
        <v>0.07</v>
      </c>
      <c r="H50" s="5" t="n">
        <v>-1.047</v>
      </c>
      <c r="I50" s="5" t="n">
        <v>6.93</v>
      </c>
      <c r="J50" s="5" t="n">
        <v>0.122</v>
      </c>
      <c r="K50" s="5" t="n">
        <v>0</v>
      </c>
      <c r="L50" s="5" t="n">
        <v>0.017</v>
      </c>
      <c r="M50" s="5" t="n">
        <v>0.155</v>
      </c>
      <c r="N50" s="5" t="n">
        <v>0.02</v>
      </c>
      <c r="O50" s="5" t="n">
        <v>-0.475</v>
      </c>
      <c r="P50" s="5" t="n">
        <v>-0.96</v>
      </c>
      <c r="Q50" s="5" t="n">
        <v>0.057</v>
      </c>
      <c r="R50" s="5" t="n">
        <v>0.007</v>
      </c>
      <c r="S50" s="5" t="n">
        <v>-0.743</v>
      </c>
      <c r="T50" s="5" t="n">
        <v>-1.58</v>
      </c>
      <c r="U50" s="5" t="s">
        <v>283</v>
      </c>
      <c r="V50" s="5"/>
      <c r="W50" s="5"/>
      <c r="X50" s="5"/>
    </row>
    <row r="51" customFormat="false" ht="15" hidden="false" customHeight="false" outlineLevel="0" collapsed="false">
      <c r="A51" s="4" t="s">
        <v>33</v>
      </c>
      <c r="B51" s="7" t="s">
        <v>333</v>
      </c>
      <c r="C51" s="5" t="n">
        <v>0.099</v>
      </c>
      <c r="D51" s="5" t="n">
        <v>0.075</v>
      </c>
      <c r="E51" s="5" t="s">
        <v>27</v>
      </c>
      <c r="F51" s="5" t="s">
        <v>27</v>
      </c>
      <c r="G51" s="5" t="s">
        <v>27</v>
      </c>
      <c r="H51" s="5" t="s">
        <v>27</v>
      </c>
      <c r="I51" s="5" t="s">
        <v>27</v>
      </c>
      <c r="J51" s="5" t="n">
        <v>0.084</v>
      </c>
      <c r="K51" s="5" t="n">
        <v>0</v>
      </c>
      <c r="L51" s="5" t="n">
        <v>0.008</v>
      </c>
      <c r="M51" s="5" t="n">
        <v>0.155</v>
      </c>
      <c r="N51" s="5" t="n">
        <v>0.045</v>
      </c>
      <c r="O51" s="5" t="n">
        <v>-0.004</v>
      </c>
      <c r="P51" s="5" t="n">
        <v>-0.05</v>
      </c>
      <c r="Q51" s="5" t="n">
        <v>0.057</v>
      </c>
      <c r="R51" s="5" t="n">
        <v>0.007</v>
      </c>
      <c r="S51" s="5" t="n">
        <v>0.076</v>
      </c>
      <c r="T51" s="5" t="n">
        <v>0.98</v>
      </c>
      <c r="U51" s="5" t="s">
        <v>283</v>
      </c>
      <c r="V51" s="5"/>
      <c r="W51" s="5"/>
      <c r="X51" s="5"/>
    </row>
    <row r="52" customFormat="false" ht="15" hidden="false" customHeight="false" outlineLevel="0" collapsed="false">
      <c r="A52" s="4" t="s">
        <v>71</v>
      </c>
      <c r="B52" s="7" t="s">
        <v>333</v>
      </c>
      <c r="C52" s="5" t="n">
        <v>0.154</v>
      </c>
      <c r="D52" s="5" t="n">
        <v>0.075</v>
      </c>
      <c r="E52" s="5" t="s">
        <v>27</v>
      </c>
      <c r="F52" s="5" t="s">
        <v>27</v>
      </c>
      <c r="G52" s="5" t="s">
        <v>27</v>
      </c>
      <c r="H52" s="5" t="s">
        <v>27</v>
      </c>
      <c r="I52" s="5" t="s">
        <v>27</v>
      </c>
      <c r="J52" s="5" t="n">
        <v>0.128</v>
      </c>
      <c r="K52" s="5" t="n">
        <v>0.005</v>
      </c>
      <c r="L52" s="5" t="n">
        <v>0.018</v>
      </c>
      <c r="M52" s="5" t="n">
        <v>0.155</v>
      </c>
      <c r="N52" s="5" t="n">
        <v>0.006</v>
      </c>
      <c r="O52" s="5" t="n">
        <v>0.118</v>
      </c>
      <c r="P52" s="5" t="n">
        <v>1.44</v>
      </c>
      <c r="Q52" s="5" t="n">
        <v>0.057</v>
      </c>
      <c r="R52" s="5" t="n">
        <v>0.001</v>
      </c>
      <c r="S52" s="5" t="n">
        <v>0.146</v>
      </c>
      <c r="T52" s="5" t="n">
        <v>1.88</v>
      </c>
      <c r="U52" s="5" t="s">
        <v>283</v>
      </c>
      <c r="V52" s="5"/>
      <c r="W52" s="5"/>
      <c r="X52" s="5"/>
    </row>
    <row r="53" customFormat="false" ht="15" hidden="false" customHeight="false" outlineLevel="0" collapsed="false">
      <c r="A53" s="4" t="s">
        <v>73</v>
      </c>
      <c r="B53" s="7" t="s">
        <v>333</v>
      </c>
      <c r="C53" s="5" t="n">
        <v>-0.129</v>
      </c>
      <c r="D53" s="5" t="n">
        <v>0.063</v>
      </c>
      <c r="E53" s="5" t="s">
        <v>27</v>
      </c>
      <c r="F53" s="5" t="s">
        <v>27</v>
      </c>
      <c r="G53" s="5" t="s">
        <v>27</v>
      </c>
      <c r="H53" s="5" t="s">
        <v>27</v>
      </c>
      <c r="I53" s="5" t="s">
        <v>27</v>
      </c>
      <c r="J53" s="5" t="n">
        <v>0.127</v>
      </c>
      <c r="K53" s="5" t="n">
        <v>0.005</v>
      </c>
      <c r="L53" s="5" t="n">
        <v>0.018</v>
      </c>
      <c r="M53" s="5" t="n">
        <v>0.155</v>
      </c>
      <c r="N53" s="5" t="n">
        <v>0.01</v>
      </c>
      <c r="O53" s="5" t="n">
        <v>-0.088</v>
      </c>
      <c r="P53" s="5" t="n">
        <v>-1.28</v>
      </c>
      <c r="Q53" s="5" t="n">
        <v>0.057</v>
      </c>
      <c r="R53" s="5" t="n">
        <v>0.001</v>
      </c>
      <c r="S53" s="5" t="n">
        <v>-0.123</v>
      </c>
      <c r="T53" s="5" t="n">
        <v>-1.88</v>
      </c>
      <c r="U53" s="5" t="s">
        <v>283</v>
      </c>
      <c r="V53" s="5"/>
      <c r="W53" s="5"/>
      <c r="X53" s="5"/>
    </row>
    <row r="54" customFormat="false" ht="15" hidden="false" customHeight="false" outlineLevel="0" collapsed="false">
      <c r="A54" s="4" t="s">
        <v>75</v>
      </c>
      <c r="B54" s="7" t="s">
        <v>333</v>
      </c>
      <c r="C54" s="5" t="n">
        <v>0.013</v>
      </c>
      <c r="D54" s="5" t="n">
        <v>0.07</v>
      </c>
      <c r="E54" s="5" t="s">
        <v>27</v>
      </c>
      <c r="F54" s="5" t="s">
        <v>27</v>
      </c>
      <c r="G54" s="5" t="s">
        <v>27</v>
      </c>
      <c r="H54" s="5" t="s">
        <v>27</v>
      </c>
      <c r="I54" s="5" t="s">
        <v>27</v>
      </c>
      <c r="J54" s="5" t="n">
        <v>0.012</v>
      </c>
      <c r="K54" s="5" t="n">
        <v>0</v>
      </c>
      <c r="L54" s="5" t="n">
        <v>0</v>
      </c>
      <c r="M54" s="5" t="n">
        <v>0.155</v>
      </c>
      <c r="N54" s="5" t="n">
        <v>0.002</v>
      </c>
      <c r="O54" s="5" t="n">
        <v>-0.006</v>
      </c>
      <c r="P54" s="5" t="n">
        <v>-0.08</v>
      </c>
      <c r="Q54" s="5" t="n">
        <v>0.057</v>
      </c>
      <c r="R54" s="5" t="n">
        <v>0.002</v>
      </c>
      <c r="S54" s="5" t="n">
        <v>0.002</v>
      </c>
      <c r="T54" s="5" t="n">
        <v>0.03</v>
      </c>
      <c r="U54" s="5" t="s">
        <v>283</v>
      </c>
      <c r="V54" s="5"/>
      <c r="W54" s="5"/>
      <c r="X54" s="5"/>
    </row>
    <row r="55" customFormat="false" ht="15" hidden="false" customHeight="false" outlineLevel="0" collapsed="false">
      <c r="A55" s="4" t="s">
        <v>77</v>
      </c>
      <c r="B55" s="7" t="s">
        <v>333</v>
      </c>
      <c r="C55" s="5" t="n">
        <v>-0.23</v>
      </c>
      <c r="D55" s="5" t="n">
        <v>0.077</v>
      </c>
      <c r="E55" s="5" t="s">
        <v>27</v>
      </c>
      <c r="F55" s="5" t="s">
        <v>27</v>
      </c>
      <c r="G55" s="5" t="s">
        <v>27</v>
      </c>
      <c r="H55" s="5" t="s">
        <v>27</v>
      </c>
      <c r="I55" s="5" t="s">
        <v>27</v>
      </c>
      <c r="J55" s="5" t="n">
        <v>0.182</v>
      </c>
      <c r="K55" s="5" t="n">
        <v>0.067</v>
      </c>
      <c r="L55" s="5" t="n">
        <v>0.039</v>
      </c>
      <c r="M55" s="5" t="n">
        <v>0.155</v>
      </c>
      <c r="N55" s="5" t="n">
        <v>0.003</v>
      </c>
      <c r="O55" s="5" t="n">
        <v>-0.201</v>
      </c>
      <c r="P55" s="5" t="n">
        <v>-2.41</v>
      </c>
      <c r="Q55" s="5" t="n">
        <v>0.057</v>
      </c>
      <c r="R55" s="5" t="n">
        <v>0.008</v>
      </c>
      <c r="S55" s="5" t="n">
        <v>-0.205</v>
      </c>
      <c r="T55" s="5" t="n">
        <v>-2.6</v>
      </c>
      <c r="U55" s="5" t="s">
        <v>283</v>
      </c>
      <c r="V55" s="5"/>
      <c r="W55" s="5"/>
      <c r="X55" s="5"/>
    </row>
    <row r="56" customFormat="false" ht="15" hidden="false" customHeight="false" outlineLevel="0" collapsed="false">
      <c r="A56" s="4" t="s">
        <v>79</v>
      </c>
      <c r="B56" s="7" t="s">
        <v>333</v>
      </c>
      <c r="C56" s="5" t="n">
        <v>-0.294</v>
      </c>
      <c r="D56" s="5" t="n">
        <v>0.073</v>
      </c>
      <c r="E56" s="5" t="s">
        <v>27</v>
      </c>
      <c r="F56" s="5" t="s">
        <v>27</v>
      </c>
      <c r="G56" s="5" t="s">
        <v>27</v>
      </c>
      <c r="H56" s="5" t="s">
        <v>27</v>
      </c>
      <c r="I56" s="5" t="s">
        <v>27</v>
      </c>
      <c r="J56" s="5" t="n">
        <v>0.237</v>
      </c>
      <c r="K56" s="5" t="n">
        <v>0.13</v>
      </c>
      <c r="L56" s="5" t="n">
        <v>0.068</v>
      </c>
      <c r="M56" s="5" t="n">
        <v>0.155</v>
      </c>
      <c r="N56" s="5" t="n">
        <v>0.042</v>
      </c>
      <c r="O56" s="5" t="n">
        <v>-0.199</v>
      </c>
      <c r="P56" s="5" t="n">
        <v>-2.57</v>
      </c>
      <c r="Q56" s="5" t="n">
        <v>0.057</v>
      </c>
      <c r="R56" s="5" t="n">
        <v>0.097</v>
      </c>
      <c r="S56" s="5" t="n">
        <v>-0.211</v>
      </c>
      <c r="T56" s="5" t="n">
        <v>-2.96</v>
      </c>
      <c r="U56" s="5" t="s">
        <v>283</v>
      </c>
      <c r="V56" s="5"/>
      <c r="W56" s="5"/>
      <c r="X56" s="5"/>
    </row>
    <row r="57" customFormat="false" ht="15" hidden="false" customHeight="false" outlineLevel="0" collapsed="false">
      <c r="A57" s="4" t="s">
        <v>81</v>
      </c>
      <c r="B57" s="7" t="s">
        <v>333</v>
      </c>
      <c r="C57" s="5" t="n">
        <v>0.017</v>
      </c>
      <c r="D57" s="5" t="n">
        <v>0.077</v>
      </c>
      <c r="E57" s="5" t="s">
        <v>27</v>
      </c>
      <c r="F57" s="5" t="s">
        <v>27</v>
      </c>
      <c r="G57" s="5" t="s">
        <v>27</v>
      </c>
      <c r="H57" s="5" t="s">
        <v>27</v>
      </c>
      <c r="I57" s="5" t="s">
        <v>27</v>
      </c>
      <c r="J57" s="5" t="n">
        <v>0.015</v>
      </c>
      <c r="K57" s="5" t="n">
        <v>0</v>
      </c>
      <c r="L57" s="5" t="n">
        <v>0</v>
      </c>
      <c r="M57" s="5" t="n">
        <v>0.155</v>
      </c>
      <c r="N57" s="5" t="n">
        <v>0.006</v>
      </c>
      <c r="O57" s="5" t="n">
        <v>-0.022</v>
      </c>
      <c r="P57" s="5" t="n">
        <v>-0.26</v>
      </c>
      <c r="Q57" s="5" t="n">
        <v>0.057</v>
      </c>
      <c r="R57" s="5" t="n">
        <v>0.002</v>
      </c>
      <c r="S57" s="5" t="n">
        <v>0.003</v>
      </c>
      <c r="T57" s="5" t="n">
        <v>0.04</v>
      </c>
      <c r="U57" s="5" t="s">
        <v>283</v>
      </c>
      <c r="V57" s="5"/>
      <c r="W57" s="5"/>
      <c r="X57" s="5"/>
    </row>
    <row r="58" customFormat="false" ht="23.85" hidden="false" customHeight="false" outlineLevel="0" collapsed="false">
      <c r="A58" s="4" t="s">
        <v>35</v>
      </c>
      <c r="B58" s="7" t="s">
        <v>333</v>
      </c>
      <c r="C58" s="5" t="n">
        <v>-0.02</v>
      </c>
      <c r="D58" s="5" t="n">
        <v>0.081</v>
      </c>
      <c r="E58" s="5" t="s">
        <v>27</v>
      </c>
      <c r="F58" s="5" t="s">
        <v>27</v>
      </c>
      <c r="G58" s="5" t="s">
        <v>27</v>
      </c>
      <c r="H58" s="5" t="s">
        <v>27</v>
      </c>
      <c r="I58" s="5" t="s">
        <v>27</v>
      </c>
      <c r="J58" s="5" t="n">
        <v>0.016</v>
      </c>
      <c r="K58" s="5" t="n">
        <v>0</v>
      </c>
      <c r="L58" s="5" t="n">
        <v>0</v>
      </c>
      <c r="M58" s="5" t="n">
        <v>0.155</v>
      </c>
      <c r="N58" s="5" t="n">
        <v>0.001</v>
      </c>
      <c r="O58" s="5" t="n">
        <v>-0.001</v>
      </c>
      <c r="P58" s="5" t="n">
        <v>-0.01</v>
      </c>
      <c r="Q58" s="5" t="n">
        <v>0.057</v>
      </c>
      <c r="R58" s="5" t="n">
        <v>0.001</v>
      </c>
      <c r="S58" s="5" t="n">
        <v>-0.013</v>
      </c>
      <c r="T58" s="5" t="n">
        <v>-0.16</v>
      </c>
      <c r="U58" s="5" t="s">
        <v>283</v>
      </c>
      <c r="V58" s="5"/>
      <c r="W58" s="5"/>
      <c r="X58" s="5"/>
    </row>
    <row r="59" customFormat="false" ht="15" hidden="false" customHeight="false" outlineLevel="0" collapsed="false">
      <c r="A59" s="4" t="s">
        <v>84</v>
      </c>
      <c r="B59" s="7" t="s">
        <v>333</v>
      </c>
      <c r="C59" s="5" t="n">
        <v>-0.195</v>
      </c>
      <c r="D59" s="5" t="n">
        <v>0.081</v>
      </c>
      <c r="E59" s="5" t="s">
        <v>27</v>
      </c>
      <c r="F59" s="5" t="s">
        <v>27</v>
      </c>
      <c r="G59" s="5" t="s">
        <v>27</v>
      </c>
      <c r="H59" s="5" t="s">
        <v>27</v>
      </c>
      <c r="I59" s="5" t="s">
        <v>27</v>
      </c>
      <c r="J59" s="5" t="n">
        <v>0.15</v>
      </c>
      <c r="K59" s="5" t="n">
        <v>0.031</v>
      </c>
      <c r="L59" s="5" t="n">
        <v>0.026</v>
      </c>
      <c r="M59" s="5" t="n">
        <v>0.155</v>
      </c>
      <c r="N59" s="5" t="n">
        <v>0.009</v>
      </c>
      <c r="O59" s="5" t="n">
        <v>-0.146</v>
      </c>
      <c r="P59" s="5" t="n">
        <v>-1.67</v>
      </c>
      <c r="Q59" s="5" t="n">
        <v>0.057</v>
      </c>
      <c r="R59" s="5" t="n">
        <v>0.009</v>
      </c>
      <c r="S59" s="5" t="n">
        <v>-0.168</v>
      </c>
      <c r="T59" s="5" t="n">
        <v>-2.03</v>
      </c>
      <c r="U59" s="5" t="s">
        <v>283</v>
      </c>
      <c r="V59" s="5"/>
      <c r="W59" s="5"/>
      <c r="X59" s="5"/>
    </row>
    <row r="60" customFormat="false" ht="15" hidden="false" customHeight="false" outlineLevel="0" collapsed="false">
      <c r="A60" s="4" t="s">
        <v>86</v>
      </c>
      <c r="B60" s="7" t="s">
        <v>333</v>
      </c>
      <c r="C60" s="5" t="n">
        <v>-0.151</v>
      </c>
      <c r="D60" s="5" t="n">
        <v>0.074</v>
      </c>
      <c r="E60" s="5" t="s">
        <v>27</v>
      </c>
      <c r="F60" s="5" t="s">
        <v>27</v>
      </c>
      <c r="G60" s="5" t="s">
        <v>27</v>
      </c>
      <c r="H60" s="5" t="s">
        <v>27</v>
      </c>
      <c r="I60" s="5" t="s">
        <v>27</v>
      </c>
      <c r="J60" s="5" t="n">
        <v>0.128</v>
      </c>
      <c r="K60" s="5" t="n">
        <v>0.005</v>
      </c>
      <c r="L60" s="5" t="n">
        <v>0.018</v>
      </c>
      <c r="M60" s="5" t="n">
        <v>0.155</v>
      </c>
      <c r="N60" s="5" t="n">
        <v>0.001</v>
      </c>
      <c r="O60" s="5" t="n">
        <v>-0.133</v>
      </c>
      <c r="P60" s="5" t="n">
        <v>-1.66</v>
      </c>
      <c r="Q60" s="5" t="n">
        <v>0.057</v>
      </c>
      <c r="R60" s="5" t="n">
        <v>0.008</v>
      </c>
      <c r="S60" s="5" t="n">
        <v>-0.126</v>
      </c>
      <c r="T60" s="5" t="n">
        <v>-1.67</v>
      </c>
      <c r="U60" s="5" t="s">
        <v>283</v>
      </c>
      <c r="V60" s="5"/>
      <c r="W60" s="5"/>
      <c r="X60" s="5"/>
    </row>
    <row r="61" customFormat="false" ht="23.85" hidden="false" customHeight="false" outlineLevel="0" collapsed="false">
      <c r="A61" s="4" t="s">
        <v>88</v>
      </c>
      <c r="B61" s="7" t="s">
        <v>333</v>
      </c>
      <c r="C61" s="5" t="n">
        <v>-0.152</v>
      </c>
      <c r="D61" s="5" t="n">
        <v>0.066</v>
      </c>
      <c r="E61" s="5" t="s">
        <v>27</v>
      </c>
      <c r="F61" s="5" t="s">
        <v>27</v>
      </c>
      <c r="G61" s="5" t="s">
        <v>27</v>
      </c>
      <c r="H61" s="5" t="s">
        <v>27</v>
      </c>
      <c r="I61" s="5" t="s">
        <v>27</v>
      </c>
      <c r="J61" s="5" t="n">
        <v>0.143</v>
      </c>
      <c r="K61" s="5" t="n">
        <v>0.022</v>
      </c>
      <c r="L61" s="5" t="n">
        <v>0.023</v>
      </c>
      <c r="M61" s="5" t="n">
        <v>0.155</v>
      </c>
      <c r="N61" s="5" t="n">
        <v>0.022</v>
      </c>
      <c r="O61" s="5" t="n">
        <v>-0.09</v>
      </c>
      <c r="P61" s="5" t="n">
        <v>-1.26</v>
      </c>
      <c r="Q61" s="5" t="n">
        <v>0.057</v>
      </c>
      <c r="R61" s="5" t="n">
        <v>0.001</v>
      </c>
      <c r="S61" s="5" t="n">
        <v>-0.144</v>
      </c>
      <c r="T61" s="5" t="n">
        <v>-2.11</v>
      </c>
      <c r="U61" s="5" t="s">
        <v>283</v>
      </c>
      <c r="V61" s="5"/>
      <c r="W61" s="5"/>
      <c r="X61" s="5"/>
    </row>
  </sheetData>
  <mergeCells count="1">
    <mergeCell ref="A2:V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4" min="3" style="0" width="10"/>
    <col collapsed="false" customWidth="true" hidden="false" outlineLevel="0" max="6" min="5" style="0" width="12"/>
    <col collapsed="false" customWidth="true" hidden="false" outlineLevel="0" max="8" min="7" style="0" width="13"/>
    <col collapsed="false" customWidth="true" hidden="false" outlineLevel="0" max="9" min="9" style="0" width="15"/>
    <col collapsed="false" customWidth="true" hidden="false" outlineLevel="0" max="10" min="10" style="0" width="13"/>
  </cols>
  <sheetData>
    <row r="1" customFormat="false" ht="15" hidden="false" customHeight="false" outlineLevel="0" collapsed="false">
      <c r="A1" s="1" t="s">
        <v>372</v>
      </c>
    </row>
    <row r="2" customFormat="false" ht="43.5" hidden="false" customHeight="true" outlineLevel="0" collapsed="false">
      <c r="A2" s="2" t="s">
        <v>373</v>
      </c>
      <c r="B2" s="2"/>
      <c r="C2" s="2"/>
      <c r="D2" s="2"/>
      <c r="E2" s="2"/>
      <c r="F2" s="2"/>
      <c r="G2" s="2"/>
      <c r="H2" s="2"/>
      <c r="I2" s="2"/>
      <c r="J2" s="2"/>
    </row>
    <row r="4" customFormat="false" ht="55.5" hidden="false" customHeight="true" outlineLevel="0" collapsed="false">
      <c r="A4" s="3" t="s">
        <v>3</v>
      </c>
      <c r="B4" s="3" t="s">
        <v>318</v>
      </c>
      <c r="C4" s="3" t="s">
        <v>374</v>
      </c>
      <c r="D4" s="3" t="s">
        <v>375</v>
      </c>
      <c r="E4" s="3" t="s">
        <v>376</v>
      </c>
      <c r="F4" s="3" t="s">
        <v>377</v>
      </c>
      <c r="G4" s="3" t="s">
        <v>378</v>
      </c>
      <c r="H4" s="3" t="s">
        <v>379</v>
      </c>
      <c r="I4" s="3" t="s">
        <v>380</v>
      </c>
    </row>
    <row r="5" customFormat="false" ht="15" hidden="false" customHeight="false" outlineLevel="0" collapsed="false">
      <c r="A5" s="4" t="s">
        <v>18</v>
      </c>
      <c r="B5" s="7" t="s">
        <v>50</v>
      </c>
      <c r="C5" s="5" t="n">
        <v>0.461</v>
      </c>
      <c r="D5" s="5" t="n">
        <v>0.486</v>
      </c>
      <c r="E5" s="7" t="n">
        <v>93</v>
      </c>
      <c r="F5" s="7" t="n">
        <v>112</v>
      </c>
      <c r="G5" s="7" t="n">
        <v>50.3</v>
      </c>
      <c r="H5" s="5" t="n">
        <f aca="false">IF(AND(ISNUMBER(E5),ISNUMBER(F5)),2.8*SQRT(C5^2/E5+D5^2/F5),"")</f>
        <v>0.185605680993886</v>
      </c>
      <c r="I5" s="5" t="n">
        <f aca="false">IF(ISNUMBER(E5),2.8*SQRT(C5^2/E5+D5^2/G5),"")</f>
        <v>0.233945279387343</v>
      </c>
    </row>
    <row r="6" customFormat="false" ht="15" hidden="false" customHeight="false" outlineLevel="0" collapsed="false">
      <c r="A6" s="4" t="s">
        <v>22</v>
      </c>
      <c r="B6" s="7" t="s">
        <v>50</v>
      </c>
      <c r="C6" s="5" t="n">
        <v>0.502</v>
      </c>
      <c r="D6" s="5" t="n">
        <v>0.485</v>
      </c>
      <c r="E6" s="7" t="n">
        <v>84</v>
      </c>
      <c r="F6" s="7" t="n">
        <v>103</v>
      </c>
      <c r="G6" s="7" t="n">
        <v>46.5</v>
      </c>
      <c r="H6" s="5" t="n">
        <f aca="false">IF(AND(ISNUMBER(E6),ISNUMBER(F6)),2.8*SQRT(C6^2/E6+D6^2/F6),"")</f>
        <v>0.203531025123204</v>
      </c>
      <c r="I6" s="5" t="n">
        <f aca="false">IF(ISNUMBER(E6),2.8*SQRT(C6^2/E6+D6^2/G6),"")</f>
        <v>0.251355951179892</v>
      </c>
    </row>
    <row r="7" customFormat="false" ht="15" hidden="false" customHeight="false" outlineLevel="0" collapsed="false">
      <c r="A7" s="4" t="s">
        <v>24</v>
      </c>
      <c r="B7" s="7" t="s">
        <v>50</v>
      </c>
      <c r="C7" s="5" t="n">
        <v>0.458</v>
      </c>
      <c r="D7" s="5" t="n">
        <v>0.489</v>
      </c>
      <c r="E7" s="7" t="n">
        <v>95</v>
      </c>
      <c r="F7" s="7" t="n">
        <v>116</v>
      </c>
      <c r="G7" s="7" t="n">
        <v>53.4</v>
      </c>
      <c r="H7" s="5" t="n">
        <f aca="false">IF(AND(ISNUMBER(E7),ISNUMBER(F7)),2.8*SQRT(C7^2/E7+D7^2/F7),"")</f>
        <v>0.182954451939748</v>
      </c>
      <c r="I7" s="5" t="n">
        <f aca="false">IF(ISNUMBER(E7),2.8*SQRT(C7^2/E7+D7^2/G7),"")</f>
        <v>0.228949674548905</v>
      </c>
    </row>
    <row r="8" customFormat="false" ht="15" hidden="false" customHeight="false" outlineLevel="0" collapsed="false">
      <c r="A8" s="4" t="s">
        <v>26</v>
      </c>
      <c r="B8" s="7" t="s">
        <v>50</v>
      </c>
      <c r="C8" s="7" t="s">
        <v>27</v>
      </c>
      <c r="D8" s="7" t="s">
        <v>27</v>
      </c>
      <c r="E8" s="7" t="n">
        <v>95</v>
      </c>
      <c r="F8" s="7" t="n">
        <v>116</v>
      </c>
      <c r="G8" s="7" t="n">
        <v>53.4</v>
      </c>
      <c r="H8" s="7" t="s">
        <v>27</v>
      </c>
      <c r="I8" s="5" t="n">
        <v>0.199</v>
      </c>
    </row>
    <row r="9" customFormat="false" ht="15" hidden="false" customHeight="false" outlineLevel="0" collapsed="false">
      <c r="A9" s="4" t="s">
        <v>29</v>
      </c>
      <c r="B9" s="7" t="s">
        <v>50</v>
      </c>
      <c r="C9" s="5" t="n">
        <v>0.424</v>
      </c>
      <c r="D9" s="5" t="n">
        <v>0.44</v>
      </c>
      <c r="E9" s="7" t="n">
        <v>95</v>
      </c>
      <c r="F9" s="7" t="n">
        <v>116</v>
      </c>
      <c r="G9" s="7" t="n">
        <v>53.4</v>
      </c>
      <c r="H9" s="5" t="n">
        <f aca="false">IF(AND(ISNUMBER(E9),ISNUMBER(F9)),2.8*SQRT(C9^2/E9+D9^2/F9),"")</f>
        <v>0.167095603181355</v>
      </c>
      <c r="I9" s="5" t="n">
        <f aca="false">IF(ISNUMBER(E9),2.8*SQRT(C9^2/E9+D9^2/G9),"")</f>
        <v>0.207990195344284</v>
      </c>
    </row>
    <row r="10" customFormat="false" ht="23.85" hidden="false" customHeight="false" outlineLevel="0" collapsed="false">
      <c r="A10" s="4" t="s">
        <v>31</v>
      </c>
      <c r="B10" s="7" t="s">
        <v>50</v>
      </c>
      <c r="C10" s="5" t="n">
        <v>0.36</v>
      </c>
      <c r="D10" s="5" t="n">
        <v>0.457</v>
      </c>
      <c r="E10" s="7" t="n">
        <v>93</v>
      </c>
      <c r="F10" s="7" t="n">
        <v>113</v>
      </c>
      <c r="G10" s="7" t="n">
        <v>51</v>
      </c>
      <c r="H10" s="5" t="n">
        <f aca="false">IF(AND(ISNUMBER(E10),ISNUMBER(F10)),2.8*SQRT(C10^2/E10+D10^2/F10),"")</f>
        <v>0.159422312955599</v>
      </c>
      <c r="I10" s="5" t="n">
        <f aca="false">IF(ISNUMBER(E10),2.8*SQRT(C10^2/E10+D10^2/G10),"")</f>
        <v>0.20743874820486</v>
      </c>
    </row>
    <row r="11" customFormat="false" ht="15" hidden="false" customHeight="false" outlineLevel="0" collapsed="false">
      <c r="A11" s="4" t="s">
        <v>33</v>
      </c>
      <c r="B11" s="7" t="s">
        <v>50</v>
      </c>
      <c r="C11" s="7" t="s">
        <v>27</v>
      </c>
      <c r="D11" s="7" t="s">
        <v>27</v>
      </c>
      <c r="E11" s="7" t="n">
        <v>94</v>
      </c>
      <c r="F11" s="7" t="n">
        <v>116</v>
      </c>
      <c r="G11" s="7" t="n">
        <v>53.4</v>
      </c>
      <c r="H11" s="7" t="s">
        <v>27</v>
      </c>
      <c r="I11" s="5" t="n">
        <v>0.225</v>
      </c>
    </row>
    <row r="12" customFormat="false" ht="23.85" hidden="false" customHeight="false" outlineLevel="0" collapsed="false">
      <c r="A12" s="4" t="s">
        <v>35</v>
      </c>
      <c r="B12" s="7" t="s">
        <v>50</v>
      </c>
      <c r="C12" s="7" t="s">
        <v>27</v>
      </c>
      <c r="D12" s="7" t="s">
        <v>27</v>
      </c>
      <c r="E12" s="7" t="n">
        <v>94</v>
      </c>
      <c r="F12" s="7" t="n">
        <v>116</v>
      </c>
      <c r="G12" s="7" t="n">
        <v>53.4</v>
      </c>
      <c r="H12" s="7" t="s">
        <v>27</v>
      </c>
      <c r="I12" s="5" t="n">
        <v>0.237</v>
      </c>
    </row>
    <row r="13" customFormat="false" ht="15" hidden="false" customHeight="false" outlineLevel="0" collapsed="false">
      <c r="A13" s="4" t="s">
        <v>38</v>
      </c>
      <c r="B13" s="7" t="s">
        <v>50</v>
      </c>
      <c r="C13" s="5" t="n">
        <v>0.657</v>
      </c>
      <c r="D13" s="5" t="n">
        <v>0.883</v>
      </c>
      <c r="E13" s="7" t="n">
        <v>86</v>
      </c>
      <c r="F13" s="7" t="n">
        <v>107</v>
      </c>
      <c r="G13" s="7" t="n">
        <v>49.5</v>
      </c>
      <c r="H13" s="5" t="n">
        <f aca="false">IF(AND(ISNUMBER(E13),ISNUMBER(F13)),2.8*SQRT(C13^2/E13+D13^2/F13),"")</f>
        <v>0.310610595474945</v>
      </c>
      <c r="I13" s="5" t="n">
        <f aca="false">IF(ISNUMBER(E13),2.8*SQRT(C13^2/E13+D13^2/G13),"")</f>
        <v>0.403534960080929</v>
      </c>
    </row>
    <row r="14" customFormat="false" ht="15" hidden="false" customHeight="false" outlineLevel="0" collapsed="false">
      <c r="A14" s="4" t="s">
        <v>41</v>
      </c>
      <c r="B14" s="7" t="s">
        <v>50</v>
      </c>
      <c r="C14" s="5" t="n">
        <v>3.258</v>
      </c>
      <c r="D14" s="5" t="n">
        <v>2.182</v>
      </c>
      <c r="E14" s="7" t="n">
        <v>95</v>
      </c>
      <c r="F14" s="7" t="n">
        <v>116</v>
      </c>
      <c r="G14" s="7" t="n">
        <v>53.4</v>
      </c>
      <c r="H14" s="5" t="n">
        <f aca="false">IF(AND(ISNUMBER(E14),ISNUMBER(F14)),2.8*SQRT(C14^2/E14+D14^2/F14),"")</f>
        <v>1.09442549876897</v>
      </c>
      <c r="I14" s="5" t="n">
        <f aca="false">IF(ISNUMBER(E14),2.8*SQRT(C14^2/E14+D14^2/G14),"")</f>
        <v>1.2549869817261</v>
      </c>
    </row>
    <row r="15" customFormat="false" ht="15" hidden="false" customHeight="false" outlineLevel="0" collapsed="false">
      <c r="A15" s="4" t="s">
        <v>44</v>
      </c>
      <c r="B15" s="7" t="s">
        <v>50</v>
      </c>
      <c r="C15" s="5" t="n">
        <v>3.207</v>
      </c>
      <c r="D15" s="5" t="n">
        <v>2.707</v>
      </c>
      <c r="E15" s="7" t="n">
        <v>95</v>
      </c>
      <c r="F15" s="7" t="n">
        <v>116</v>
      </c>
      <c r="G15" s="7" t="n">
        <v>53.4</v>
      </c>
      <c r="H15" s="5" t="n">
        <f aca="false">IF(AND(ISNUMBER(E15),ISNUMBER(F15)),2.8*SQRT(C15^2/E15+D15^2/F15),"")</f>
        <v>1.15932403366865</v>
      </c>
      <c r="I15" s="5" t="n">
        <f aca="false">IF(ISNUMBER(E15),2.8*SQRT(C15^2/E15+D15^2/G15),"")</f>
        <v>1.38730663091522</v>
      </c>
    </row>
    <row r="16" customFormat="false" ht="15" hidden="false" customHeight="false" outlineLevel="0" collapsed="false">
      <c r="A16" s="4" t="s">
        <v>46</v>
      </c>
      <c r="B16" s="7" t="s">
        <v>50</v>
      </c>
      <c r="C16" s="5" t="n">
        <v>2.67</v>
      </c>
      <c r="D16" s="5" t="n">
        <v>2.853</v>
      </c>
      <c r="E16" s="7" t="n">
        <v>94</v>
      </c>
      <c r="F16" s="7" t="n">
        <v>116</v>
      </c>
      <c r="G16" s="7" t="n">
        <v>53.4</v>
      </c>
      <c r="H16" s="5" t="n">
        <f aca="false">IF(AND(ISNUMBER(E16),ISNUMBER(F16)),2.8*SQRT(C16^2/E16+D16^2/F16),"")</f>
        <v>1.06990929226534</v>
      </c>
      <c r="I16" s="5" t="n">
        <f aca="false">IF(ISNUMBER(E16),2.8*SQRT(C16^2/E16+D16^2/G16),"")</f>
        <v>1.33776280888031</v>
      </c>
    </row>
    <row r="18" customFormat="false" ht="15" hidden="false" customHeight="false" outlineLevel="0" collapsed="false">
      <c r="A18" s="4" t="s">
        <v>18</v>
      </c>
      <c r="B18" s="7" t="s">
        <v>51</v>
      </c>
      <c r="C18" s="5" t="n">
        <v>0.473</v>
      </c>
      <c r="D18" s="5" t="n">
        <v>0.494</v>
      </c>
      <c r="E18" s="7" t="n">
        <v>103</v>
      </c>
      <c r="F18" s="7" t="n">
        <v>127</v>
      </c>
      <c r="G18" s="7" t="n">
        <v>47.3</v>
      </c>
      <c r="H18" s="5" t="n">
        <f aca="false">IF(AND(ISNUMBER(E18),ISNUMBER(F18)),2.8*SQRT(C18^2/E18+D18^2/F18),"")</f>
        <v>0.17914901351144</v>
      </c>
      <c r="I18" s="5" t="n">
        <f aca="false">IF(ISNUMBER(E18),2.8*SQRT(C18^2/E18+D18^2/G18),"")</f>
        <v>0.239746877972686</v>
      </c>
    </row>
    <row r="19" customFormat="false" ht="15" hidden="false" customHeight="false" outlineLevel="0" collapsed="false">
      <c r="A19" s="4" t="s">
        <v>22</v>
      </c>
      <c r="B19" s="7" t="s">
        <v>51</v>
      </c>
      <c r="C19" s="5" t="n">
        <v>0.502</v>
      </c>
      <c r="D19" s="5" t="n">
        <v>0.488</v>
      </c>
      <c r="E19" s="7" t="n">
        <v>93</v>
      </c>
      <c r="F19" s="7" t="n">
        <v>118</v>
      </c>
      <c r="G19" s="7" t="n">
        <v>44.7</v>
      </c>
      <c r="H19" s="5" t="n">
        <f aca="false">IF(AND(ISNUMBER(E19),ISNUMBER(F19)),2.8*SQRT(C19^2/E19+D19^2/F19),"")</f>
        <v>0.192527029233826</v>
      </c>
      <c r="I19" s="5" t="n">
        <f aca="false">IF(ISNUMBER(E19),2.8*SQRT(C19^2/E19+D19^2/G19),"")</f>
        <v>0.251023188732959</v>
      </c>
    </row>
    <row r="20" customFormat="false" ht="15" hidden="false" customHeight="false" outlineLevel="0" collapsed="false">
      <c r="A20" s="4" t="s">
        <v>24</v>
      </c>
      <c r="B20" s="7" t="s">
        <v>51</v>
      </c>
      <c r="C20" s="5" t="n">
        <v>0.468</v>
      </c>
      <c r="D20" s="5" t="n">
        <v>0.49</v>
      </c>
      <c r="E20" s="7" t="n">
        <v>104</v>
      </c>
      <c r="F20" s="7" t="n">
        <v>132</v>
      </c>
      <c r="G20" s="7" t="n">
        <v>49.2</v>
      </c>
      <c r="H20" s="5" t="n">
        <f aca="false">IF(AND(ISNUMBER(E20),ISNUMBER(F20)),2.8*SQRT(C20^2/E20+D20^2/F20),"")</f>
        <v>0.175418142871497</v>
      </c>
      <c r="I20" s="5" t="n">
        <f aca="false">IF(ISNUMBER(E20),2.8*SQRT(C20^2/E20+D20^2/G20),"")</f>
        <v>0.234031787153741</v>
      </c>
    </row>
    <row r="21" customFormat="false" ht="15" hidden="false" customHeight="false" outlineLevel="0" collapsed="false">
      <c r="A21" s="4" t="s">
        <v>26</v>
      </c>
      <c r="B21" s="7" t="s">
        <v>51</v>
      </c>
      <c r="C21" s="7" t="s">
        <v>27</v>
      </c>
      <c r="D21" s="7" t="s">
        <v>27</v>
      </c>
      <c r="E21" s="7" t="n">
        <v>104</v>
      </c>
      <c r="F21" s="7" t="n">
        <v>132</v>
      </c>
      <c r="G21" s="7" t="n">
        <v>49.2</v>
      </c>
      <c r="H21" s="7" t="s">
        <v>27</v>
      </c>
      <c r="I21" s="5" t="n">
        <v>0.207</v>
      </c>
    </row>
    <row r="22" customFormat="false" ht="15" hidden="false" customHeight="false" outlineLevel="0" collapsed="false">
      <c r="A22" s="4" t="s">
        <v>29</v>
      </c>
      <c r="B22" s="7" t="s">
        <v>51</v>
      </c>
      <c r="C22" s="5" t="n">
        <v>0.435</v>
      </c>
      <c r="D22" s="5" t="n">
        <v>0.439</v>
      </c>
      <c r="E22" s="7" t="n">
        <v>104</v>
      </c>
      <c r="F22" s="7" t="n">
        <v>132</v>
      </c>
      <c r="G22" s="7" t="n">
        <v>49.2</v>
      </c>
      <c r="H22" s="5" t="n">
        <f aca="false">IF(AND(ISNUMBER(E22),ISNUMBER(F22)),2.8*SQRT(C22^2/E22+D22^2/F22),"")</f>
        <v>0.160346852916087</v>
      </c>
      <c r="I22" s="5" t="n">
        <f aca="false">IF(ISNUMBER(E22),2.8*SQRT(C22^2/E22+D22^2/G22),"")</f>
        <v>0.212072315152836</v>
      </c>
    </row>
    <row r="23" customFormat="false" ht="23.85" hidden="false" customHeight="false" outlineLevel="0" collapsed="false">
      <c r="A23" s="4" t="s">
        <v>31</v>
      </c>
      <c r="B23" s="7" t="s">
        <v>51</v>
      </c>
      <c r="C23" s="5" t="n">
        <v>0.346</v>
      </c>
      <c r="D23" s="5" t="n">
        <v>0.467</v>
      </c>
      <c r="E23" s="7" t="n">
        <v>102</v>
      </c>
      <c r="F23" s="7" t="n">
        <v>129</v>
      </c>
      <c r="G23" s="7" t="n">
        <v>48.4</v>
      </c>
      <c r="H23" s="5" t="n">
        <f aca="false">IF(AND(ISNUMBER(E23),ISNUMBER(F23)),2.8*SQRT(C23^2/E23+D23^2/F23),"")</f>
        <v>0.149853600665673</v>
      </c>
      <c r="I23" s="5" t="n">
        <f aca="false">IF(ISNUMBER(E23),2.8*SQRT(C23^2/E23+D23^2/G23),"")</f>
        <v>0.211017804024441</v>
      </c>
    </row>
    <row r="24" customFormat="false" ht="15" hidden="false" customHeight="false" outlineLevel="0" collapsed="false">
      <c r="A24" s="4" t="s">
        <v>33</v>
      </c>
      <c r="B24" s="7" t="s">
        <v>51</v>
      </c>
      <c r="C24" s="7" t="s">
        <v>27</v>
      </c>
      <c r="D24" s="7" t="s">
        <v>27</v>
      </c>
      <c r="E24" s="7" t="n">
        <v>103</v>
      </c>
      <c r="F24" s="7" t="n">
        <v>132</v>
      </c>
      <c r="G24" s="7" t="n">
        <v>49.2</v>
      </c>
      <c r="H24" s="7" t="s">
        <v>27</v>
      </c>
      <c r="I24" s="5" t="n">
        <v>0.232</v>
      </c>
    </row>
    <row r="25" customFormat="false" ht="23.85" hidden="false" customHeight="false" outlineLevel="0" collapsed="false">
      <c r="A25" s="4" t="s">
        <v>35</v>
      </c>
      <c r="B25" s="7" t="s">
        <v>51</v>
      </c>
      <c r="C25" s="7" t="s">
        <v>27</v>
      </c>
      <c r="D25" s="7" t="s">
        <v>27</v>
      </c>
      <c r="E25" s="7" t="n">
        <v>103</v>
      </c>
      <c r="F25" s="7" t="n">
        <v>132</v>
      </c>
      <c r="G25" s="7" t="n">
        <v>49.2</v>
      </c>
      <c r="H25" s="7" t="s">
        <v>27</v>
      </c>
      <c r="I25" s="5" t="n">
        <v>0.24</v>
      </c>
    </row>
    <row r="26" customFormat="false" ht="15" hidden="false" customHeight="false" outlineLevel="0" collapsed="false">
      <c r="A26" s="4" t="s">
        <v>38</v>
      </c>
      <c r="B26" s="7" t="s">
        <v>51</v>
      </c>
      <c r="C26" s="5" t="n">
        <v>0.716</v>
      </c>
      <c r="D26" s="5" t="n">
        <v>0.991</v>
      </c>
      <c r="E26" s="7" t="n">
        <v>94</v>
      </c>
      <c r="F26" s="7" t="n">
        <v>123</v>
      </c>
      <c r="G26" s="7" t="n">
        <v>46.5</v>
      </c>
      <c r="H26" s="5" t="n">
        <f aca="false">IF(AND(ISNUMBER(E26),ISNUMBER(F26)),2.8*SQRT(C26^2/E26+D26^2/F26),"")</f>
        <v>0.324584927510392</v>
      </c>
      <c r="I26" s="5" t="n">
        <f aca="false">IF(ISNUMBER(E26),2.8*SQRT(C26^2/E26+D26^2/G26),"")</f>
        <v>0.456441300187707</v>
      </c>
    </row>
    <row r="27" customFormat="false" ht="15" hidden="false" customHeight="false" outlineLevel="0" collapsed="false">
      <c r="A27" s="4" t="s">
        <v>41</v>
      </c>
      <c r="B27" s="7" t="s">
        <v>51</v>
      </c>
      <c r="C27" s="5" t="n">
        <v>3.29</v>
      </c>
      <c r="D27" s="5" t="n">
        <v>2.107</v>
      </c>
      <c r="E27" s="7" t="n">
        <v>104</v>
      </c>
      <c r="F27" s="7" t="n">
        <v>132</v>
      </c>
      <c r="G27" s="7" t="n">
        <v>49.2</v>
      </c>
      <c r="H27" s="5" t="n">
        <f aca="false">IF(AND(ISNUMBER(E27),ISNUMBER(F27)),2.8*SQRT(C27^2/E27+D27^2/F27),"")</f>
        <v>1.03906062394506</v>
      </c>
      <c r="I27" s="5" t="n">
        <f aca="false">IF(ISNUMBER(E27),2.8*SQRT(C27^2/E27+D27^2/G27),"")</f>
        <v>1.23425889054143</v>
      </c>
    </row>
    <row r="28" customFormat="false" ht="15" hidden="false" customHeight="false" outlineLevel="0" collapsed="false">
      <c r="A28" s="4" t="s">
        <v>44</v>
      </c>
      <c r="B28" s="7" t="s">
        <v>51</v>
      </c>
      <c r="C28" s="5" t="n">
        <v>3.242</v>
      </c>
      <c r="D28" s="5" t="n">
        <v>2.743</v>
      </c>
      <c r="E28" s="7" t="n">
        <v>104</v>
      </c>
      <c r="F28" s="7" t="n">
        <v>132</v>
      </c>
      <c r="G28" s="7" t="n">
        <v>49.2</v>
      </c>
      <c r="H28" s="5" t="n">
        <f aca="false">IF(AND(ISNUMBER(E28),ISNUMBER(F28)),2.8*SQRT(C28^2/E28+D28^2/F28),"")</f>
        <v>1.11320156976103</v>
      </c>
      <c r="I28" s="5" t="n">
        <f aca="false">IF(ISNUMBER(E28),2.8*SQRT(C28^2/E28+D28^2/G28),"")</f>
        <v>1.41113038880498</v>
      </c>
    </row>
    <row r="29" customFormat="false" ht="15" hidden="false" customHeight="false" outlineLevel="0" collapsed="false">
      <c r="A29" s="4" t="s">
        <v>46</v>
      </c>
      <c r="B29" s="7" t="s">
        <v>51</v>
      </c>
      <c r="C29" s="5" t="n">
        <v>2.606</v>
      </c>
      <c r="D29" s="5" t="n">
        <v>2.861</v>
      </c>
      <c r="E29" s="7" t="n">
        <v>103</v>
      </c>
      <c r="F29" s="7" t="n">
        <v>132</v>
      </c>
      <c r="G29" s="7" t="n">
        <v>49.2</v>
      </c>
      <c r="H29" s="5" t="n">
        <f aca="false">IF(AND(ISNUMBER(E29),ISNUMBER(F29)),2.8*SQRT(C29^2/E29+D29^2/F29),"")</f>
        <v>1.00154061692729</v>
      </c>
      <c r="I29" s="5" t="n">
        <f aca="false">IF(ISNUMBER(E29),2.8*SQRT(C29^2/E29+D29^2/G29),"")</f>
        <v>1.34953796609984</v>
      </c>
    </row>
    <row r="31" customFormat="false" ht="15" hidden="false" customHeight="false" outlineLevel="0" collapsed="false">
      <c r="A31" s="4" t="s">
        <v>61</v>
      </c>
      <c r="B31" s="7" t="s">
        <v>332</v>
      </c>
      <c r="C31" s="7" t="s">
        <v>27</v>
      </c>
      <c r="D31" s="7" t="s">
        <v>27</v>
      </c>
      <c r="E31" s="7" t="n">
        <v>95</v>
      </c>
      <c r="F31" s="7" t="n">
        <v>116</v>
      </c>
      <c r="G31" s="7" t="n">
        <v>53.4</v>
      </c>
      <c r="H31" s="7" t="s">
        <v>27</v>
      </c>
      <c r="I31" s="5" t="s">
        <v>27</v>
      </c>
    </row>
    <row r="32" customFormat="false" ht="15" hidden="false" customHeight="false" outlineLevel="0" collapsed="false">
      <c r="A32" s="4" t="s">
        <v>63</v>
      </c>
      <c r="B32" s="7" t="s">
        <v>332</v>
      </c>
      <c r="C32" s="7" t="s">
        <v>27</v>
      </c>
      <c r="D32" s="7" t="s">
        <v>27</v>
      </c>
      <c r="E32" s="7" t="n">
        <v>95</v>
      </c>
      <c r="F32" s="7" t="n">
        <v>116</v>
      </c>
      <c r="G32" s="7" t="n">
        <v>53.4</v>
      </c>
      <c r="H32" s="7" t="s">
        <v>27</v>
      </c>
      <c r="I32" s="5" t="n">
        <v>0.137</v>
      </c>
    </row>
    <row r="33" customFormat="false" ht="15" hidden="false" customHeight="false" outlineLevel="0" collapsed="false">
      <c r="A33" s="4" t="s">
        <v>65</v>
      </c>
      <c r="B33" s="7" t="s">
        <v>332</v>
      </c>
      <c r="C33" s="7" t="s">
        <v>27</v>
      </c>
      <c r="D33" s="7" t="s">
        <v>27</v>
      </c>
      <c r="E33" s="7" t="n">
        <v>95</v>
      </c>
      <c r="F33" s="7" t="n">
        <v>116</v>
      </c>
      <c r="G33" s="7" t="n">
        <v>53.4</v>
      </c>
      <c r="H33" s="7" t="s">
        <v>27</v>
      </c>
      <c r="I33" s="5" t="s">
        <v>27</v>
      </c>
    </row>
    <row r="34" customFormat="false" ht="15" hidden="false" customHeight="false" outlineLevel="0" collapsed="false">
      <c r="A34" s="4" t="s">
        <v>67</v>
      </c>
      <c r="B34" s="7" t="s">
        <v>332</v>
      </c>
      <c r="C34" s="5" t="n">
        <v>2.597</v>
      </c>
      <c r="D34" s="5" t="n">
        <v>2.994</v>
      </c>
      <c r="E34" s="7" t="n">
        <v>94</v>
      </c>
      <c r="F34" s="7" t="n">
        <v>116</v>
      </c>
      <c r="G34" s="7" t="n">
        <v>53.4</v>
      </c>
      <c r="H34" s="5" t="n">
        <f aca="false">IF(AND(ISNUMBER(E34),ISNUMBER(F34)),2.8*SQRT(C34^2/E34+D34^2/F34),"")</f>
        <v>1.08090591724576</v>
      </c>
      <c r="I34" s="5" t="n">
        <f aca="false">IF(ISNUMBER(E34),2.8*SQRT(C34^2/E34+D34^2/G34),"")</f>
        <v>1.37061322660856</v>
      </c>
    </row>
    <row r="35" customFormat="false" ht="15" hidden="false" customHeight="false" outlineLevel="0" collapsed="false">
      <c r="A35" s="4" t="s">
        <v>33</v>
      </c>
      <c r="B35" s="7" t="s">
        <v>332</v>
      </c>
      <c r="C35" s="7" t="s">
        <v>27</v>
      </c>
      <c r="D35" s="7" t="s">
        <v>27</v>
      </c>
      <c r="E35" s="7" t="n">
        <v>94</v>
      </c>
      <c r="F35" s="7" t="n">
        <v>116</v>
      </c>
      <c r="G35" s="7" t="n">
        <v>53.4</v>
      </c>
      <c r="H35" s="7" t="s">
        <v>27</v>
      </c>
      <c r="I35" s="5" t="n">
        <v>0.225</v>
      </c>
    </row>
    <row r="36" customFormat="false" ht="15" hidden="false" customHeight="false" outlineLevel="0" collapsed="false">
      <c r="A36" s="4" t="s">
        <v>71</v>
      </c>
      <c r="B36" s="7" t="s">
        <v>332</v>
      </c>
      <c r="C36" s="7" t="s">
        <v>27</v>
      </c>
      <c r="D36" s="7" t="s">
        <v>27</v>
      </c>
      <c r="E36" s="7" t="n">
        <v>94</v>
      </c>
      <c r="F36" s="7" t="n">
        <v>116</v>
      </c>
      <c r="G36" s="7" t="n">
        <v>53.4</v>
      </c>
      <c r="H36" s="7" t="s">
        <v>27</v>
      </c>
      <c r="I36" s="5" t="n">
        <v>0.221</v>
      </c>
    </row>
    <row r="37" customFormat="false" ht="15" hidden="false" customHeight="false" outlineLevel="0" collapsed="false">
      <c r="A37" s="4" t="s">
        <v>73</v>
      </c>
      <c r="B37" s="7" t="s">
        <v>332</v>
      </c>
      <c r="C37" s="7" t="s">
        <v>27</v>
      </c>
      <c r="D37" s="7" t="s">
        <v>27</v>
      </c>
      <c r="E37" s="7" t="n">
        <v>94</v>
      </c>
      <c r="F37" s="7" t="n">
        <v>116</v>
      </c>
      <c r="G37" s="7" t="n">
        <v>53.4</v>
      </c>
      <c r="H37" s="7" t="s">
        <v>27</v>
      </c>
      <c r="I37" s="5" t="n">
        <v>0.191</v>
      </c>
    </row>
    <row r="38" customFormat="false" ht="15" hidden="false" customHeight="false" outlineLevel="0" collapsed="false">
      <c r="A38" s="4" t="s">
        <v>75</v>
      </c>
      <c r="B38" s="7" t="s">
        <v>332</v>
      </c>
      <c r="C38" s="7" t="s">
        <v>27</v>
      </c>
      <c r="D38" s="7" t="s">
        <v>27</v>
      </c>
      <c r="E38" s="7" t="n">
        <v>94</v>
      </c>
      <c r="F38" s="7" t="n">
        <v>116</v>
      </c>
      <c r="G38" s="7" t="n">
        <v>53.4</v>
      </c>
      <c r="H38" s="7" t="s">
        <v>27</v>
      </c>
      <c r="I38" s="5" t="n">
        <v>0.211</v>
      </c>
    </row>
    <row r="39" customFormat="false" ht="15" hidden="false" customHeight="false" outlineLevel="0" collapsed="false">
      <c r="A39" s="4" t="s">
        <v>77</v>
      </c>
      <c r="B39" s="7" t="s">
        <v>332</v>
      </c>
      <c r="C39" s="7" t="s">
        <v>27</v>
      </c>
      <c r="D39" s="7" t="s">
        <v>27</v>
      </c>
      <c r="E39" s="7" t="n">
        <v>94</v>
      </c>
      <c r="F39" s="7" t="n">
        <v>116</v>
      </c>
      <c r="G39" s="7" t="n">
        <v>53.4</v>
      </c>
      <c r="H39" s="7" t="s">
        <v>27</v>
      </c>
      <c r="I39" s="5" t="n">
        <v>0.231</v>
      </c>
    </row>
    <row r="40" customFormat="false" ht="15" hidden="false" customHeight="false" outlineLevel="0" collapsed="false">
      <c r="A40" s="4" t="s">
        <v>79</v>
      </c>
      <c r="B40" s="7" t="s">
        <v>332</v>
      </c>
      <c r="C40" s="7" t="s">
        <v>27</v>
      </c>
      <c r="D40" s="7" t="s">
        <v>27</v>
      </c>
      <c r="E40" s="7" t="n">
        <v>94</v>
      </c>
      <c r="F40" s="7" t="n">
        <v>116</v>
      </c>
      <c r="G40" s="7" t="n">
        <v>53.4</v>
      </c>
      <c r="H40" s="7" t="s">
        <v>27</v>
      </c>
      <c r="I40" s="5" t="n">
        <v>0.221</v>
      </c>
    </row>
    <row r="41" customFormat="false" ht="15" hidden="false" customHeight="false" outlineLevel="0" collapsed="false">
      <c r="A41" s="4" t="s">
        <v>81</v>
      </c>
      <c r="B41" s="7" t="s">
        <v>332</v>
      </c>
      <c r="C41" s="7" t="s">
        <v>27</v>
      </c>
      <c r="D41" s="7" t="s">
        <v>27</v>
      </c>
      <c r="E41" s="7" t="n">
        <v>94</v>
      </c>
      <c r="F41" s="7" t="n">
        <v>116</v>
      </c>
      <c r="G41" s="7" t="n">
        <v>53.4</v>
      </c>
      <c r="H41" s="7" t="s">
        <v>27</v>
      </c>
      <c r="I41" s="5" t="n">
        <v>0.226</v>
      </c>
    </row>
    <row r="42" customFormat="false" ht="23.85" hidden="false" customHeight="false" outlineLevel="0" collapsed="false">
      <c r="A42" s="4" t="s">
        <v>35</v>
      </c>
      <c r="B42" s="7" t="s">
        <v>332</v>
      </c>
      <c r="C42" s="7" t="s">
        <v>27</v>
      </c>
      <c r="D42" s="7" t="s">
        <v>27</v>
      </c>
      <c r="E42" s="7" t="n">
        <v>94</v>
      </c>
      <c r="F42" s="7" t="n">
        <v>116</v>
      </c>
      <c r="G42" s="7" t="n">
        <v>53.4</v>
      </c>
      <c r="H42" s="7" t="s">
        <v>27</v>
      </c>
      <c r="I42" s="5" t="n">
        <v>0.237</v>
      </c>
    </row>
    <row r="43" customFormat="false" ht="15" hidden="false" customHeight="false" outlineLevel="0" collapsed="false">
      <c r="A43" s="4" t="s">
        <v>84</v>
      </c>
      <c r="B43" s="7" t="s">
        <v>332</v>
      </c>
      <c r="C43" s="7" t="s">
        <v>27</v>
      </c>
      <c r="D43" s="7" t="s">
        <v>27</v>
      </c>
      <c r="E43" s="7" t="n">
        <v>94</v>
      </c>
      <c r="F43" s="7" t="n">
        <v>116</v>
      </c>
      <c r="G43" s="7" t="n">
        <v>53.4</v>
      </c>
      <c r="H43" s="7" t="s">
        <v>27</v>
      </c>
      <c r="I43" s="5" t="n">
        <v>0.238</v>
      </c>
    </row>
    <row r="44" customFormat="false" ht="15" hidden="false" customHeight="false" outlineLevel="0" collapsed="false">
      <c r="A44" s="4" t="s">
        <v>86</v>
      </c>
      <c r="B44" s="7" t="s">
        <v>332</v>
      </c>
      <c r="C44" s="7" t="s">
        <v>27</v>
      </c>
      <c r="D44" s="7" t="s">
        <v>27</v>
      </c>
      <c r="E44" s="7" t="n">
        <v>94</v>
      </c>
      <c r="F44" s="7" t="n">
        <v>116</v>
      </c>
      <c r="G44" s="7" t="n">
        <v>53.4</v>
      </c>
      <c r="H44" s="7" t="s">
        <v>27</v>
      </c>
      <c r="I44" s="5" t="n">
        <v>0.212</v>
      </c>
    </row>
    <row r="45" customFormat="false" ht="23.85" hidden="false" customHeight="false" outlineLevel="0" collapsed="false">
      <c r="A45" s="4" t="s">
        <v>88</v>
      </c>
      <c r="B45" s="7" t="s">
        <v>332</v>
      </c>
      <c r="C45" s="7" t="s">
        <v>27</v>
      </c>
      <c r="D45" s="7" t="s">
        <v>27</v>
      </c>
      <c r="E45" s="7" t="n">
        <v>94</v>
      </c>
      <c r="F45" s="7" t="n">
        <v>116</v>
      </c>
      <c r="G45" s="7" t="n">
        <v>53.4</v>
      </c>
      <c r="H45" s="7" t="s">
        <v>27</v>
      </c>
      <c r="I45" s="5" t="n">
        <v>0.205</v>
      </c>
    </row>
    <row r="47" customFormat="false" ht="15" hidden="false" customHeight="false" outlineLevel="0" collapsed="false">
      <c r="A47" s="4" t="s">
        <v>61</v>
      </c>
      <c r="B47" s="7" t="s">
        <v>333</v>
      </c>
      <c r="C47" s="5" t="n">
        <v>0.429</v>
      </c>
      <c r="D47" s="5" t="n">
        <v>0.277</v>
      </c>
      <c r="E47" s="7" t="n">
        <v>104</v>
      </c>
      <c r="F47" s="7" t="n">
        <v>132</v>
      </c>
      <c r="G47" s="7" t="n">
        <v>49.2</v>
      </c>
      <c r="H47" s="5" t="n">
        <f aca="false">IF(AND(ISNUMBER(E47),ISNUMBER(F47)),2.8*SQRT(C47^2/E47+D47^2/F47),"")</f>
        <v>0.135761178455984</v>
      </c>
      <c r="I47" s="5" t="n">
        <f aca="false">IF(ISNUMBER(E47),2.8*SQRT(C47^2/E47+D47^2/G47),"")</f>
        <v>0.161556785556502</v>
      </c>
    </row>
    <row r="48" customFormat="false" ht="15" hidden="false" customHeight="false" outlineLevel="0" collapsed="false">
      <c r="A48" s="4" t="s">
        <v>63</v>
      </c>
      <c r="B48" s="7" t="s">
        <v>333</v>
      </c>
      <c r="C48" s="7" t="s">
        <v>27</v>
      </c>
      <c r="D48" s="7" t="s">
        <v>27</v>
      </c>
      <c r="E48" s="7" t="n">
        <v>104</v>
      </c>
      <c r="F48" s="7" t="n">
        <v>132</v>
      </c>
      <c r="G48" s="7" t="n">
        <v>49.2</v>
      </c>
      <c r="H48" s="7" t="s">
        <v>27</v>
      </c>
      <c r="I48" s="5" t="n">
        <v>0.134</v>
      </c>
    </row>
    <row r="49" customFormat="false" ht="15" hidden="false" customHeight="false" outlineLevel="0" collapsed="false">
      <c r="A49" s="4" t="s">
        <v>65</v>
      </c>
      <c r="B49" s="7" t="s">
        <v>333</v>
      </c>
      <c r="C49" s="7" t="s">
        <v>27</v>
      </c>
      <c r="D49" s="7" t="s">
        <v>27</v>
      </c>
      <c r="E49" s="7" t="n">
        <v>104</v>
      </c>
      <c r="F49" s="7" t="n">
        <v>132</v>
      </c>
      <c r="G49" s="7" t="n">
        <v>49.2</v>
      </c>
      <c r="H49" s="7" t="s">
        <v>27</v>
      </c>
      <c r="I49" s="5" t="s">
        <v>27</v>
      </c>
    </row>
    <row r="50" customFormat="false" ht="15" hidden="false" customHeight="false" outlineLevel="0" collapsed="false">
      <c r="A50" s="4" t="s">
        <v>67</v>
      </c>
      <c r="B50" s="7" t="s">
        <v>333</v>
      </c>
      <c r="C50" s="5" t="n">
        <v>2.686</v>
      </c>
      <c r="D50" s="5" t="n">
        <v>2.902</v>
      </c>
      <c r="E50" s="7" t="n">
        <v>103</v>
      </c>
      <c r="F50" s="7" t="n">
        <v>132</v>
      </c>
      <c r="G50" s="7" t="n">
        <v>49.2</v>
      </c>
      <c r="H50" s="5" t="n">
        <f aca="false">IF(AND(ISNUMBER(E50),ISNUMBER(F50)),2.8*SQRT(C50^2/E50+D50^2/F50),"")</f>
        <v>1.02437398884981</v>
      </c>
      <c r="I50" s="5" t="n">
        <f aca="false">IF(ISNUMBER(E50),2.8*SQRT(C50^2/E50+D50^2/G50),"")</f>
        <v>1.37518326249269</v>
      </c>
    </row>
    <row r="51" customFormat="false" ht="15" hidden="false" customHeight="false" outlineLevel="0" collapsed="false">
      <c r="A51" s="4" t="s">
        <v>33</v>
      </c>
      <c r="B51" s="7" t="s">
        <v>333</v>
      </c>
      <c r="C51" s="7" t="s">
        <v>27</v>
      </c>
      <c r="D51" s="7" t="s">
        <v>27</v>
      </c>
      <c r="E51" s="7" t="n">
        <v>103</v>
      </c>
      <c r="F51" s="7" t="n">
        <v>132</v>
      </c>
      <c r="G51" s="7" t="n">
        <v>49.2</v>
      </c>
      <c r="H51" s="7" t="s">
        <v>27</v>
      </c>
      <c r="I51" s="5" t="n">
        <v>0.232</v>
      </c>
    </row>
    <row r="52" customFormat="false" ht="15" hidden="false" customHeight="false" outlineLevel="0" collapsed="false">
      <c r="A52" s="4" t="s">
        <v>71</v>
      </c>
      <c r="B52" s="7" t="s">
        <v>333</v>
      </c>
      <c r="C52" s="7" t="s">
        <v>27</v>
      </c>
      <c r="D52" s="7" t="s">
        <v>27</v>
      </c>
      <c r="E52" s="7" t="n">
        <v>103</v>
      </c>
      <c r="F52" s="7" t="n">
        <v>132</v>
      </c>
      <c r="G52" s="7" t="n">
        <v>49.2</v>
      </c>
      <c r="H52" s="7" t="s">
        <v>27</v>
      </c>
      <c r="I52" s="5" t="n">
        <v>0.228</v>
      </c>
    </row>
    <row r="53" customFormat="false" ht="15" hidden="false" customHeight="false" outlineLevel="0" collapsed="false">
      <c r="A53" s="4" t="s">
        <v>73</v>
      </c>
      <c r="B53" s="7" t="s">
        <v>333</v>
      </c>
      <c r="C53" s="7" t="s">
        <v>27</v>
      </c>
      <c r="D53" s="7" t="s">
        <v>27</v>
      </c>
      <c r="E53" s="7" t="n">
        <v>103</v>
      </c>
      <c r="F53" s="7" t="n">
        <v>132</v>
      </c>
      <c r="G53" s="7" t="n">
        <v>49.2</v>
      </c>
      <c r="H53" s="7" t="s">
        <v>27</v>
      </c>
      <c r="I53" s="5" t="n">
        <v>0.191</v>
      </c>
    </row>
    <row r="54" customFormat="false" ht="15" hidden="false" customHeight="false" outlineLevel="0" collapsed="false">
      <c r="A54" s="4" t="s">
        <v>75</v>
      </c>
      <c r="B54" s="7" t="s">
        <v>333</v>
      </c>
      <c r="C54" s="7" t="s">
        <v>27</v>
      </c>
      <c r="D54" s="7" t="s">
        <v>27</v>
      </c>
      <c r="E54" s="7" t="n">
        <v>103</v>
      </c>
      <c r="F54" s="7" t="n">
        <v>132</v>
      </c>
      <c r="G54" s="7" t="n">
        <v>49.2</v>
      </c>
      <c r="H54" s="7" t="s">
        <v>27</v>
      </c>
      <c r="I54" s="5" t="n">
        <v>0.214</v>
      </c>
    </row>
    <row r="55" customFormat="false" ht="15" hidden="false" customHeight="false" outlineLevel="0" collapsed="false">
      <c r="A55" s="4" t="s">
        <v>77</v>
      </c>
      <c r="B55" s="7" t="s">
        <v>333</v>
      </c>
      <c r="C55" s="7" t="s">
        <v>27</v>
      </c>
      <c r="D55" s="7" t="s">
        <v>27</v>
      </c>
      <c r="E55" s="7" t="n">
        <v>103</v>
      </c>
      <c r="F55" s="7" t="n">
        <v>132</v>
      </c>
      <c r="G55" s="7" t="n">
        <v>49.2</v>
      </c>
      <c r="H55" s="7" t="s">
        <v>27</v>
      </c>
      <c r="I55" s="5" t="n">
        <v>0.231</v>
      </c>
    </row>
    <row r="56" customFormat="false" ht="15" hidden="false" customHeight="false" outlineLevel="0" collapsed="false">
      <c r="A56" s="4" t="s">
        <v>79</v>
      </c>
      <c r="B56" s="7" t="s">
        <v>333</v>
      </c>
      <c r="C56" s="7" t="s">
        <v>27</v>
      </c>
      <c r="D56" s="7" t="s">
        <v>27</v>
      </c>
      <c r="E56" s="7" t="n">
        <v>103</v>
      </c>
      <c r="F56" s="7" t="n">
        <v>132</v>
      </c>
      <c r="G56" s="7" t="n">
        <v>49.2</v>
      </c>
      <c r="H56" s="7" t="s">
        <v>27</v>
      </c>
      <c r="I56" s="5" t="n">
        <v>0.22</v>
      </c>
    </row>
    <row r="57" customFormat="false" ht="15" hidden="false" customHeight="false" outlineLevel="0" collapsed="false">
      <c r="A57" s="4" t="s">
        <v>81</v>
      </c>
      <c r="B57" s="7" t="s">
        <v>333</v>
      </c>
      <c r="C57" s="7" t="s">
        <v>27</v>
      </c>
      <c r="D57" s="7" t="s">
        <v>27</v>
      </c>
      <c r="E57" s="7" t="n">
        <v>103</v>
      </c>
      <c r="F57" s="7" t="n">
        <v>132</v>
      </c>
      <c r="G57" s="7" t="n">
        <v>49.2</v>
      </c>
      <c r="H57" s="7" t="s">
        <v>27</v>
      </c>
      <c r="I57" s="5" t="n">
        <v>0.226</v>
      </c>
    </row>
    <row r="58" customFormat="false" ht="23.85" hidden="false" customHeight="false" outlineLevel="0" collapsed="false">
      <c r="A58" s="4" t="s">
        <v>35</v>
      </c>
      <c r="B58" s="7" t="s">
        <v>333</v>
      </c>
      <c r="C58" s="7" t="s">
        <v>27</v>
      </c>
      <c r="D58" s="7" t="s">
        <v>27</v>
      </c>
      <c r="E58" s="7" t="n">
        <v>103</v>
      </c>
      <c r="F58" s="7" t="n">
        <v>132</v>
      </c>
      <c r="G58" s="7" t="n">
        <v>49.2</v>
      </c>
      <c r="H58" s="7" t="s">
        <v>27</v>
      </c>
      <c r="I58" s="5" t="n">
        <v>0.24</v>
      </c>
    </row>
    <row r="59" customFormat="false" ht="15" hidden="false" customHeight="false" outlineLevel="0" collapsed="false">
      <c r="A59" s="4" t="s">
        <v>84</v>
      </c>
      <c r="B59" s="7" t="s">
        <v>333</v>
      </c>
      <c r="C59" s="7" t="s">
        <v>27</v>
      </c>
      <c r="D59" s="7" t="s">
        <v>27</v>
      </c>
      <c r="E59" s="7" t="n">
        <v>103</v>
      </c>
      <c r="F59" s="7" t="n">
        <v>132</v>
      </c>
      <c r="G59" s="7" t="n">
        <v>49.2</v>
      </c>
      <c r="H59" s="7" t="s">
        <v>27</v>
      </c>
      <c r="I59" s="5" t="n">
        <v>0.24</v>
      </c>
    </row>
    <row r="60" customFormat="false" ht="15" hidden="false" customHeight="false" outlineLevel="0" collapsed="false">
      <c r="A60" s="4" t="s">
        <v>86</v>
      </c>
      <c r="B60" s="7" t="s">
        <v>333</v>
      </c>
      <c r="C60" s="7" t="s">
        <v>27</v>
      </c>
      <c r="D60" s="7" t="s">
        <v>27</v>
      </c>
      <c r="E60" s="7" t="n">
        <v>103</v>
      </c>
      <c r="F60" s="7" t="n">
        <v>132</v>
      </c>
      <c r="G60" s="7" t="n">
        <v>49.2</v>
      </c>
      <c r="H60" s="7" t="s">
        <v>27</v>
      </c>
      <c r="I60" s="5" t="n">
        <v>0.221</v>
      </c>
    </row>
    <row r="61" customFormat="false" ht="23.85" hidden="false" customHeight="false" outlineLevel="0" collapsed="false">
      <c r="A61" s="4" t="s">
        <v>88</v>
      </c>
      <c r="B61" s="7" t="s">
        <v>333</v>
      </c>
      <c r="C61" s="7" t="s">
        <v>27</v>
      </c>
      <c r="D61" s="7" t="s">
        <v>27</v>
      </c>
      <c r="E61" s="7" t="n">
        <v>103</v>
      </c>
      <c r="F61" s="7" t="n">
        <v>132</v>
      </c>
      <c r="G61" s="7" t="n">
        <v>49.2</v>
      </c>
      <c r="H61" s="7" t="s">
        <v>27</v>
      </c>
      <c r="I61" s="5" t="n">
        <v>0.206</v>
      </c>
    </row>
    <row r="64" customFormat="false" ht="111" hidden="false" customHeight="true" outlineLevel="0" collapsed="false">
      <c r="A64" s="2" t="s">
        <v>381</v>
      </c>
      <c r="B64" s="2"/>
      <c r="C64" s="2"/>
      <c r="D64" s="2"/>
      <c r="E64" s="2"/>
      <c r="F64" s="2"/>
      <c r="G64" s="2"/>
      <c r="H64" s="2"/>
      <c r="I64" s="2"/>
      <c r="J64" s="2"/>
    </row>
  </sheetData>
  <mergeCells count="2">
    <mergeCell ref="A2:J2"/>
    <mergeCell ref="A64:J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2"/>
    <col collapsed="false" customWidth="true" hidden="false" outlineLevel="0" max="5" min="5" style="0" width="30"/>
    <col collapsed="false" customWidth="true" hidden="false" outlineLevel="0" max="8" min="6" style="0" width="9"/>
  </cols>
  <sheetData>
    <row r="1" customFormat="false" ht="15" hidden="false" customHeight="false" outlineLevel="0" collapsed="false">
      <c r="A1" s="1" t="s">
        <v>382</v>
      </c>
    </row>
    <row r="2" customFormat="false" ht="43.5" hidden="false" customHeight="true" outlineLevel="0" collapsed="false">
      <c r="A2" s="2" t="s">
        <v>383</v>
      </c>
      <c r="B2" s="2"/>
      <c r="C2" s="2"/>
      <c r="D2" s="2"/>
      <c r="E2" s="2"/>
      <c r="F2" s="2"/>
      <c r="G2" s="2"/>
      <c r="H2" s="2"/>
    </row>
    <row r="4" customFormat="false" ht="30" hidden="false" customHeight="true" outlineLevel="0" collapsed="false">
      <c r="A4" s="3" t="s">
        <v>318</v>
      </c>
      <c r="B4" s="3" t="s">
        <v>384</v>
      </c>
      <c r="C4" s="3" t="s">
        <v>385</v>
      </c>
      <c r="D4" s="3" t="s">
        <v>386</v>
      </c>
      <c r="E4" s="3" t="s">
        <v>387</v>
      </c>
      <c r="F4" s="3" t="s">
        <v>388</v>
      </c>
      <c r="G4" s="3" t="s">
        <v>389</v>
      </c>
      <c r="H4" s="3" t="s">
        <v>390</v>
      </c>
    </row>
    <row r="5" customFormat="false" ht="15" hidden="false" customHeight="false" outlineLevel="0" collapsed="false">
      <c r="A5" s="7" t="s">
        <v>50</v>
      </c>
      <c r="B5" s="7" t="s">
        <v>391</v>
      </c>
      <c r="C5" s="7" t="n">
        <v>26</v>
      </c>
      <c r="D5" s="7" t="n">
        <v>57</v>
      </c>
      <c r="E5" s="4" t="s">
        <v>41</v>
      </c>
      <c r="F5" s="6" t="n">
        <v>-2.93</v>
      </c>
      <c r="G5" s="6" t="n">
        <v>-3.21</v>
      </c>
      <c r="H5" s="6" t="n">
        <v>-3.49</v>
      </c>
    </row>
    <row r="6" customFormat="false" ht="15" hidden="false" customHeight="false" outlineLevel="0" collapsed="false">
      <c r="A6" s="7" t="s">
        <v>50</v>
      </c>
      <c r="B6" s="7" t="s">
        <v>391</v>
      </c>
      <c r="C6" s="7" t="n">
        <v>26</v>
      </c>
      <c r="D6" s="7" t="n">
        <v>57</v>
      </c>
      <c r="E6" s="4" t="s">
        <v>44</v>
      </c>
      <c r="F6" s="6" t="n">
        <v>-2.04</v>
      </c>
      <c r="G6" s="6" t="n">
        <v>-2.19</v>
      </c>
      <c r="H6" s="6" t="n">
        <v>-2.01</v>
      </c>
    </row>
    <row r="7" customFormat="false" ht="15" hidden="false" customHeight="false" outlineLevel="0" collapsed="false">
      <c r="A7" s="7" t="s">
        <v>50</v>
      </c>
      <c r="B7" s="7" t="s">
        <v>391</v>
      </c>
      <c r="C7" s="7" t="n">
        <v>26</v>
      </c>
      <c r="D7" s="7" t="n">
        <v>57</v>
      </c>
      <c r="E7" s="4" t="s">
        <v>46</v>
      </c>
      <c r="F7" s="6" t="n">
        <v>-1.06</v>
      </c>
      <c r="G7" s="6" t="n">
        <v>-1.49</v>
      </c>
      <c r="H7" s="6" t="n">
        <v>-1.32</v>
      </c>
    </row>
    <row r="8" customFormat="false" ht="15" hidden="false" customHeight="false" outlineLevel="0" collapsed="false">
      <c r="A8" s="7" t="s">
        <v>50</v>
      </c>
      <c r="B8" s="7" t="s">
        <v>392</v>
      </c>
      <c r="C8" s="7" t="n">
        <v>90</v>
      </c>
      <c r="D8" s="7" t="n">
        <v>38</v>
      </c>
      <c r="E8" s="4" t="s">
        <v>41</v>
      </c>
      <c r="F8" s="6" t="n">
        <v>-3.03</v>
      </c>
      <c r="G8" s="6" t="n">
        <v>-3.39</v>
      </c>
      <c r="H8" s="6" t="n">
        <v>-3.49</v>
      </c>
    </row>
    <row r="9" customFormat="false" ht="15" hidden="false" customHeight="false" outlineLevel="0" collapsed="false">
      <c r="A9" s="7" t="s">
        <v>50</v>
      </c>
      <c r="B9" s="7" t="s">
        <v>392</v>
      </c>
      <c r="C9" s="7" t="n">
        <v>90</v>
      </c>
      <c r="D9" s="7" t="n">
        <v>38</v>
      </c>
      <c r="E9" s="4" t="s">
        <v>44</v>
      </c>
      <c r="F9" s="6" t="n">
        <v>0.04</v>
      </c>
      <c r="G9" s="6" t="n">
        <v>-0.56</v>
      </c>
      <c r="H9" s="6" t="n">
        <v>-0.87</v>
      </c>
    </row>
    <row r="10" customFormat="false" ht="15" hidden="false" customHeight="false" outlineLevel="0" collapsed="false">
      <c r="A10" s="7" t="s">
        <v>50</v>
      </c>
      <c r="B10" s="7" t="s">
        <v>392</v>
      </c>
      <c r="C10" s="7" t="n">
        <v>90</v>
      </c>
      <c r="D10" s="7" t="n">
        <v>38</v>
      </c>
      <c r="E10" s="4" t="s">
        <v>46</v>
      </c>
      <c r="F10" s="6" t="n">
        <v>0.08</v>
      </c>
      <c r="G10" s="6" t="n">
        <v>-0.29</v>
      </c>
      <c r="H10" s="6" t="n">
        <v>-0.91</v>
      </c>
    </row>
    <row r="11" customFormat="false" ht="15" hidden="false" customHeight="false" outlineLevel="0" collapsed="false">
      <c r="A11" s="7" t="s">
        <v>51</v>
      </c>
      <c r="B11" s="7" t="s">
        <v>391</v>
      </c>
      <c r="C11" s="7" t="n">
        <v>27</v>
      </c>
      <c r="D11" s="7" t="n">
        <v>63</v>
      </c>
      <c r="E11" s="4" t="s">
        <v>41</v>
      </c>
      <c r="F11" s="6" t="n">
        <v>-2.74</v>
      </c>
      <c r="G11" s="6" t="n">
        <v>-3.05</v>
      </c>
      <c r="H11" s="6" t="n">
        <v>-3.32</v>
      </c>
    </row>
    <row r="12" customFormat="false" ht="15" hidden="false" customHeight="false" outlineLevel="0" collapsed="false">
      <c r="A12" s="7" t="s">
        <v>51</v>
      </c>
      <c r="B12" s="7" t="s">
        <v>391</v>
      </c>
      <c r="C12" s="7" t="n">
        <v>27</v>
      </c>
      <c r="D12" s="7" t="n">
        <v>63</v>
      </c>
      <c r="E12" s="4" t="s">
        <v>44</v>
      </c>
      <c r="F12" s="6" t="n">
        <v>-1.96</v>
      </c>
      <c r="G12" s="6" t="n">
        <v>-2.11</v>
      </c>
      <c r="H12" s="6" t="n">
        <v>-2.01</v>
      </c>
    </row>
    <row r="13" customFormat="false" ht="15" hidden="false" customHeight="false" outlineLevel="0" collapsed="false">
      <c r="A13" s="7" t="s">
        <v>51</v>
      </c>
      <c r="B13" s="7" t="s">
        <v>391</v>
      </c>
      <c r="C13" s="7" t="n">
        <v>27</v>
      </c>
      <c r="D13" s="7" t="n">
        <v>63</v>
      </c>
      <c r="E13" s="4" t="s">
        <v>46</v>
      </c>
      <c r="F13" s="6" t="n">
        <v>-0.91</v>
      </c>
      <c r="G13" s="6" t="n">
        <v>-1.3</v>
      </c>
      <c r="H13" s="6" t="n">
        <v>-0.89</v>
      </c>
    </row>
    <row r="14" customFormat="false" ht="15" hidden="false" customHeight="false" outlineLevel="0" collapsed="false">
      <c r="A14" s="7" t="s">
        <v>51</v>
      </c>
      <c r="B14" s="7" t="s">
        <v>392</v>
      </c>
      <c r="C14" s="7" t="n">
        <v>105</v>
      </c>
      <c r="D14" s="7" t="n">
        <v>41</v>
      </c>
      <c r="E14" s="4" t="s">
        <v>41</v>
      </c>
      <c r="F14" s="6" t="n">
        <v>-2.82</v>
      </c>
      <c r="G14" s="6" t="n">
        <v>-2.76</v>
      </c>
      <c r="H14" s="6" t="n">
        <v>-2.89</v>
      </c>
    </row>
    <row r="15" customFormat="false" ht="15" hidden="false" customHeight="false" outlineLevel="0" collapsed="false">
      <c r="A15" s="7" t="s">
        <v>51</v>
      </c>
      <c r="B15" s="7" t="s">
        <v>392</v>
      </c>
      <c r="C15" s="7" t="n">
        <v>105</v>
      </c>
      <c r="D15" s="7" t="n">
        <v>41</v>
      </c>
      <c r="E15" s="4" t="s">
        <v>44</v>
      </c>
      <c r="F15" s="6" t="n">
        <v>0.14</v>
      </c>
      <c r="G15" s="6" t="n">
        <v>-0.58</v>
      </c>
      <c r="H15" s="6" t="n">
        <v>-1.14</v>
      </c>
    </row>
    <row r="16" customFormat="false" ht="15" hidden="false" customHeight="false" outlineLevel="0" collapsed="false">
      <c r="A16" s="7" t="s">
        <v>51</v>
      </c>
      <c r="B16" s="7" t="s">
        <v>392</v>
      </c>
      <c r="C16" s="7" t="n">
        <v>105</v>
      </c>
      <c r="D16" s="7" t="n">
        <v>41</v>
      </c>
      <c r="E16" s="4" t="s">
        <v>46</v>
      </c>
      <c r="F16" s="6" t="n">
        <v>-0.01</v>
      </c>
      <c r="G16" s="6" t="n">
        <v>0.28</v>
      </c>
      <c r="H16" s="6" t="n">
        <v>-0.02</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12"/>
    <col collapsed="false" customWidth="true" hidden="false" outlineLevel="0" max="5" min="5" style="0" width="14"/>
    <col collapsed="false" customWidth="true" hidden="false" outlineLevel="0" max="8" min="6" style="0" width="12"/>
    <col collapsed="false" customWidth="true" hidden="false" outlineLevel="0" max="9" min="9" style="0" width="14"/>
  </cols>
  <sheetData>
    <row r="1" customFormat="false" ht="15" hidden="false" customHeight="false" outlineLevel="0" collapsed="false">
      <c r="A1" s="1" t="s">
        <v>393</v>
      </c>
    </row>
    <row r="2" customFormat="false" ht="70.5" hidden="false" customHeight="true" outlineLevel="0" collapsed="false">
      <c r="A2" s="2" t="s">
        <v>394</v>
      </c>
      <c r="B2" s="2"/>
      <c r="C2" s="2"/>
      <c r="D2" s="2"/>
      <c r="E2" s="2"/>
      <c r="F2" s="2"/>
      <c r="G2" s="2"/>
      <c r="H2" s="2"/>
      <c r="I2" s="2"/>
    </row>
    <row r="4" customFormat="false" ht="55.5" hidden="false" customHeight="true" outlineLevel="0" collapsed="false">
      <c r="A4" s="3" t="s">
        <v>395</v>
      </c>
      <c r="B4" s="3" t="s">
        <v>396</v>
      </c>
      <c r="C4" s="3" t="s">
        <v>397</v>
      </c>
      <c r="D4" s="3" t="s">
        <v>398</v>
      </c>
      <c r="E4" s="3" t="s">
        <v>399</v>
      </c>
      <c r="F4" s="3" t="s">
        <v>400</v>
      </c>
      <c r="G4" s="3" t="s">
        <v>401</v>
      </c>
      <c r="H4" s="3" t="s">
        <v>402</v>
      </c>
      <c r="I4" s="3" t="s">
        <v>403</v>
      </c>
    </row>
    <row r="5" customFormat="false" ht="15" hidden="false" customHeight="false" outlineLevel="0" collapsed="false">
      <c r="A5" s="4" t="s">
        <v>404</v>
      </c>
      <c r="B5" s="7" t="s">
        <v>405</v>
      </c>
      <c r="C5" s="7" t="n">
        <v>322</v>
      </c>
      <c r="D5" s="12" t="n">
        <v>-0.1139</v>
      </c>
      <c r="E5" s="12" t="n">
        <v>0.0603</v>
      </c>
      <c r="F5" s="12" t="n">
        <v>-0.114</v>
      </c>
      <c r="G5" s="12" t="n">
        <v>0.0628</v>
      </c>
      <c r="H5" s="12" t="n">
        <f aca="false">D5-F5</f>
        <v>0.000100000000000003</v>
      </c>
      <c r="I5" s="6" t="n">
        <f aca="false">(D5-F5)/G5</f>
        <v>0.00159235668789814</v>
      </c>
    </row>
    <row r="6" customFormat="false" ht="15" hidden="false" customHeight="false" outlineLevel="0" collapsed="false">
      <c r="A6" s="4" t="s">
        <v>406</v>
      </c>
      <c r="B6" s="7" t="s">
        <v>405</v>
      </c>
      <c r="C6" s="7" t="n">
        <v>298</v>
      </c>
      <c r="D6" s="12" t="n">
        <v>0.0418</v>
      </c>
      <c r="E6" s="12" t="n">
        <v>0.0228</v>
      </c>
      <c r="F6" s="12" t="n">
        <v>0.0418</v>
      </c>
      <c r="G6" s="12" t="n">
        <v>0.0227</v>
      </c>
      <c r="H6" s="12" t="n">
        <f aca="false">D6-F6</f>
        <v>0</v>
      </c>
      <c r="I6" s="6" t="n">
        <f aca="false">(D6-F6)/G6</f>
        <v>0</v>
      </c>
    </row>
    <row r="7" customFormat="false" ht="15" hidden="false" customHeight="false" outlineLevel="0" collapsed="false">
      <c r="A7" s="4" t="s">
        <v>407</v>
      </c>
      <c r="B7" s="7" t="s">
        <v>405</v>
      </c>
      <c r="C7" s="7" t="n">
        <v>322</v>
      </c>
      <c r="D7" s="12" t="n">
        <v>-0.0259</v>
      </c>
      <c r="E7" s="12" t="n">
        <v>0.0842</v>
      </c>
      <c r="F7" s="12" t="n">
        <v>-0.0259</v>
      </c>
      <c r="G7" s="12" t="n">
        <v>0.0703</v>
      </c>
      <c r="H7" s="12" t="n">
        <f aca="false">D7-F7</f>
        <v>0</v>
      </c>
      <c r="I7" s="6" t="n">
        <f aca="false">(D7-F7)/G7</f>
        <v>0</v>
      </c>
    </row>
    <row r="8" customFormat="false" ht="15" hidden="false" customHeight="false" outlineLevel="0" collapsed="false">
      <c r="A8" s="4" t="s">
        <v>408</v>
      </c>
      <c r="B8" s="7" t="s">
        <v>409</v>
      </c>
      <c r="C8" s="7" t="n">
        <v>322</v>
      </c>
      <c r="D8" s="12" t="n">
        <v>0.4239</v>
      </c>
      <c r="E8" s="12" t="n">
        <v>0.072</v>
      </c>
      <c r="F8" s="12" t="n">
        <v>0.424</v>
      </c>
      <c r="G8" s="12" t="n">
        <v>0.0771</v>
      </c>
      <c r="H8" s="12" t="n">
        <f aca="false">D8-F8</f>
        <v>-9.9999999999989E-005</v>
      </c>
      <c r="I8" s="6" t="n">
        <f aca="false">(D8-F8)/G8</f>
        <v>-0.00129701686121905</v>
      </c>
    </row>
    <row r="9" customFormat="false" ht="15" hidden="false" customHeight="false" outlineLevel="0" collapsed="false">
      <c r="A9" s="4" t="s">
        <v>410</v>
      </c>
      <c r="B9" s="7" t="s">
        <v>405</v>
      </c>
      <c r="C9" s="7" t="n">
        <v>321</v>
      </c>
      <c r="D9" s="12" t="n">
        <v>0.0093</v>
      </c>
      <c r="E9" s="12" t="n">
        <v>0.046</v>
      </c>
      <c r="F9" s="12" t="n">
        <v>0.00935</v>
      </c>
      <c r="G9" s="12" t="n">
        <v>0.0458</v>
      </c>
      <c r="H9" s="12" t="n">
        <f aca="false">D9-F9</f>
        <v>-5.00000000000014E-005</v>
      </c>
      <c r="I9" s="6" t="n">
        <f aca="false">(D9-F9)/G9</f>
        <v>-0.00109170305676859</v>
      </c>
    </row>
    <row r="10" customFormat="false" ht="15" hidden="false" customHeight="false" outlineLevel="0" collapsed="false">
      <c r="A10" s="4" t="s">
        <v>411</v>
      </c>
      <c r="B10" s="7" t="s">
        <v>409</v>
      </c>
      <c r="C10" s="7" t="n">
        <v>315</v>
      </c>
      <c r="D10" s="12" t="n">
        <v>0.2376</v>
      </c>
      <c r="E10" s="12" t="n">
        <v>0.1142</v>
      </c>
      <c r="F10" s="12" t="n">
        <v>0.238</v>
      </c>
      <c r="G10" s="12" t="n">
        <v>0.121</v>
      </c>
      <c r="H10" s="12" t="n">
        <f aca="false">D10-F10</f>
        <v>-0.000399999999999984</v>
      </c>
      <c r="I10" s="6" t="n">
        <f aca="false">(D10-F10)/G10</f>
        <v>-0.00330578512396681</v>
      </c>
    </row>
    <row r="11" customFormat="false" ht="15" hidden="false" customHeight="false" outlineLevel="0" collapsed="false">
      <c r="A11" s="4" t="s">
        <v>412</v>
      </c>
      <c r="B11" s="7" t="s">
        <v>409</v>
      </c>
      <c r="C11" s="7" t="n">
        <v>295</v>
      </c>
      <c r="D11" s="12" t="n">
        <v>-0.2294</v>
      </c>
      <c r="E11" s="12" t="n">
        <v>0.0753</v>
      </c>
      <c r="F11" s="12" t="n">
        <v>-0.229</v>
      </c>
      <c r="G11" s="12" t="n">
        <v>0.0719</v>
      </c>
      <c r="H11" s="12" t="n">
        <f aca="false">D11-F11</f>
        <v>-0.000399999999999984</v>
      </c>
      <c r="I11" s="6" t="n">
        <f aca="false">(D11-F11)/G11</f>
        <v>-0.00556328233657835</v>
      </c>
    </row>
    <row r="12" customFormat="false" ht="15" hidden="false" customHeight="false" outlineLevel="0" collapsed="false">
      <c r="A12" s="4" t="s">
        <v>413</v>
      </c>
      <c r="B12" s="7" t="s">
        <v>405</v>
      </c>
      <c r="C12" s="7" t="n">
        <v>321</v>
      </c>
      <c r="D12" s="12" t="n">
        <v>-0.1859</v>
      </c>
      <c r="E12" s="12" t="n">
        <v>0.0362</v>
      </c>
      <c r="F12" s="12" t="n">
        <v>-0.186</v>
      </c>
      <c r="G12" s="12" t="n">
        <v>0.0399</v>
      </c>
      <c r="H12" s="12" t="n">
        <f aca="false">D12-F12</f>
        <v>9.9999999999989E-005</v>
      </c>
      <c r="I12" s="6" t="n">
        <f aca="false">(D12-F12)/G12</f>
        <v>0.00250626566416013</v>
      </c>
    </row>
    <row r="13" customFormat="false" ht="15" hidden="false" customHeight="false" outlineLevel="0" collapsed="false">
      <c r="A13" s="4" t="s">
        <v>414</v>
      </c>
      <c r="B13" s="7" t="s">
        <v>409</v>
      </c>
      <c r="C13" s="7" t="n">
        <v>314</v>
      </c>
      <c r="D13" s="12" t="n">
        <v>-0.0945</v>
      </c>
      <c r="E13" s="12" t="n">
        <v>0.0795</v>
      </c>
      <c r="F13" s="12" t="n">
        <v>-0.0945</v>
      </c>
      <c r="G13" s="12" t="n">
        <v>0.0783</v>
      </c>
      <c r="H13" s="12" t="n">
        <f aca="false">D13-F13</f>
        <v>0</v>
      </c>
      <c r="I13" s="6" t="n">
        <f aca="false">(D13-F13)/G13</f>
        <v>0</v>
      </c>
    </row>
    <row r="14" customFormat="false" ht="15" hidden="false" customHeight="false" outlineLevel="0" collapsed="false">
      <c r="A14" s="4" t="s">
        <v>415</v>
      </c>
      <c r="B14" s="7" t="s">
        <v>409</v>
      </c>
      <c r="C14" s="7" t="n">
        <v>317</v>
      </c>
      <c r="D14" s="12" t="n">
        <v>0.0336</v>
      </c>
      <c r="E14" s="12" t="n">
        <v>0.071</v>
      </c>
      <c r="F14" s="12" t="n">
        <v>0.0336</v>
      </c>
      <c r="G14" s="12" t="n">
        <v>0.0677</v>
      </c>
      <c r="H14" s="12" t="n">
        <f aca="false">D14-F14</f>
        <v>0</v>
      </c>
      <c r="I14" s="6" t="n">
        <f aca="false">(D14-F14)/G14</f>
        <v>0</v>
      </c>
    </row>
    <row r="15" customFormat="false" ht="15" hidden="false" customHeight="false" outlineLevel="0" collapsed="false">
      <c r="A15" s="4" t="s">
        <v>416</v>
      </c>
      <c r="B15" s="7" t="s">
        <v>409</v>
      </c>
      <c r="C15" s="7" t="n">
        <v>321</v>
      </c>
      <c r="D15" s="12" t="n">
        <v>-0.837</v>
      </c>
      <c r="E15" s="12" t="n">
        <v>0.4215</v>
      </c>
      <c r="F15" s="12" t="n">
        <v>-0.837</v>
      </c>
      <c r="G15" s="12" t="n">
        <v>0.412</v>
      </c>
      <c r="H15" s="12" t="n">
        <f aca="false">D15-F15</f>
        <v>0</v>
      </c>
      <c r="I15" s="6" t="n">
        <f aca="false">(D15-F15)/G15</f>
        <v>0</v>
      </c>
    </row>
    <row r="16" customFormat="false" ht="15" hidden="false" customHeight="false" outlineLevel="0" collapsed="false">
      <c r="A16" s="4" t="s">
        <v>417</v>
      </c>
      <c r="B16" s="7" t="s">
        <v>405</v>
      </c>
      <c r="C16" s="7" t="n">
        <v>306</v>
      </c>
      <c r="D16" s="12" t="n">
        <v>0.7944</v>
      </c>
      <c r="E16" s="12" t="n">
        <v>0.1149</v>
      </c>
      <c r="F16" s="12" t="n">
        <v>0.794</v>
      </c>
      <c r="G16" s="12" t="n">
        <v>0.116</v>
      </c>
      <c r="H16" s="12" t="n">
        <f aca="false">D16-F16</f>
        <v>0.000399999999999956</v>
      </c>
      <c r="I16" s="6" t="n">
        <f aca="false">(D16-F16)/G16</f>
        <v>0.00344827586206859</v>
      </c>
    </row>
    <row r="17" customFormat="false" ht="15" hidden="false" customHeight="false" outlineLevel="0" collapsed="false">
      <c r="A17" s="4" t="s">
        <v>418</v>
      </c>
      <c r="B17" s="7" t="s">
        <v>405</v>
      </c>
      <c r="C17" s="7" t="n">
        <v>311</v>
      </c>
      <c r="D17" s="12" t="n">
        <v>0.5204</v>
      </c>
      <c r="E17" s="12" t="n">
        <v>0.1023</v>
      </c>
      <c r="F17" s="12" t="n">
        <v>0.52</v>
      </c>
      <c r="G17" s="12" t="n">
        <v>0.0956</v>
      </c>
      <c r="H17" s="12" t="n">
        <f aca="false">D17-F17</f>
        <v>0.000399999999999956</v>
      </c>
      <c r="I17" s="6" t="n">
        <f aca="false">(D17-F17)/G17</f>
        <v>0.00418410041840958</v>
      </c>
    </row>
    <row r="18" customFormat="false" ht="15" hidden="false" customHeight="false" outlineLevel="0" collapsed="false">
      <c r="A18" s="4" t="s">
        <v>419</v>
      </c>
      <c r="B18" s="7" t="s">
        <v>409</v>
      </c>
      <c r="C18" s="7" t="n">
        <v>322</v>
      </c>
      <c r="D18" s="12" t="n">
        <v>-1.3908</v>
      </c>
      <c r="E18" s="12" t="n">
        <v>0.502</v>
      </c>
      <c r="F18" s="12" t="n">
        <v>-1.391</v>
      </c>
      <c r="G18" s="12" t="n">
        <v>0.452</v>
      </c>
      <c r="H18" s="12" t="n">
        <f aca="false">D18-F18</f>
        <v>0.000199999999999978</v>
      </c>
      <c r="I18" s="6" t="n">
        <f aca="false">(D18-F18)/G18</f>
        <v>0.000442477876106146</v>
      </c>
    </row>
    <row r="19" customFormat="false" ht="15" hidden="false" customHeight="false" outlineLevel="0" collapsed="false">
      <c r="A19" s="4" t="s">
        <v>420</v>
      </c>
      <c r="B19" s="7" t="s">
        <v>409</v>
      </c>
      <c r="C19" s="7" t="n">
        <v>317</v>
      </c>
      <c r="D19" s="12" t="n">
        <v>-3.0368</v>
      </c>
      <c r="E19" s="12" t="n">
        <v>0.5773</v>
      </c>
      <c r="F19" s="12" t="n">
        <v>-3.037</v>
      </c>
      <c r="G19" s="12" t="n">
        <v>0.582</v>
      </c>
      <c r="H19" s="12" t="n">
        <f aca="false">D19-F19</f>
        <v>0.000199999999999978</v>
      </c>
      <c r="I19" s="6" t="n">
        <f aca="false">(D19-F19)/G19</f>
        <v>0.000343642611683811</v>
      </c>
    </row>
    <row r="20" customFormat="false" ht="15" hidden="false" customHeight="false" outlineLevel="0" collapsed="false">
      <c r="A20" s="4" t="s">
        <v>421</v>
      </c>
      <c r="B20" s="7" t="s">
        <v>409</v>
      </c>
      <c r="C20" s="7" t="n">
        <v>317</v>
      </c>
      <c r="D20" s="12" t="n">
        <v>0.2839</v>
      </c>
      <c r="E20" s="12" t="n">
        <v>0.0621</v>
      </c>
      <c r="F20" s="12" t="n">
        <v>0.284</v>
      </c>
      <c r="G20" s="12" t="n">
        <v>0.063</v>
      </c>
      <c r="H20" s="12" t="n">
        <f aca="false">D20-F20</f>
        <v>-9.9999999999989E-005</v>
      </c>
      <c r="I20" s="6" t="n">
        <f aca="false">(D20-F20)/G20</f>
        <v>-0.00158730158730141</v>
      </c>
    </row>
    <row r="21" customFormat="false" ht="15" hidden="false" customHeight="false" outlineLevel="0" collapsed="false">
      <c r="A21" s="4" t="s">
        <v>422</v>
      </c>
      <c r="B21" s="7" t="s">
        <v>409</v>
      </c>
      <c r="C21" s="7" t="n">
        <v>317</v>
      </c>
      <c r="D21" s="12" t="n">
        <v>-0.0799</v>
      </c>
      <c r="E21" s="12" t="n">
        <v>0.0573</v>
      </c>
      <c r="F21" s="12" t="n">
        <v>-0.0799</v>
      </c>
      <c r="G21" s="12" t="n">
        <v>0.0593</v>
      </c>
      <c r="H21" s="12" t="n">
        <f aca="false">D21-F21</f>
        <v>0</v>
      </c>
      <c r="I21" s="6" t="n">
        <f aca="false">(D21-F21)/G21</f>
        <v>0</v>
      </c>
    </row>
    <row r="22" customFormat="false" ht="15" hidden="false" customHeight="false" outlineLevel="0" collapsed="false">
      <c r="A22" s="4" t="s">
        <v>423</v>
      </c>
      <c r="B22" s="7" t="s">
        <v>409</v>
      </c>
      <c r="C22" s="7" t="n">
        <v>317</v>
      </c>
      <c r="D22" s="12" t="n">
        <v>0.2855</v>
      </c>
      <c r="E22" s="12" t="n">
        <v>0.0638</v>
      </c>
      <c r="F22" s="12" t="n">
        <v>0.285</v>
      </c>
      <c r="G22" s="12" t="n">
        <v>0.0608</v>
      </c>
      <c r="H22" s="12" t="n">
        <f aca="false">D22-F22</f>
        <v>0.0005</v>
      </c>
      <c r="I22" s="6" t="n">
        <f aca="false">(D22-F22)/G22</f>
        <v>0.00822368421052632</v>
      </c>
    </row>
    <row r="23" customFormat="false" ht="15" hidden="false" customHeight="false" outlineLevel="0" collapsed="false">
      <c r="A23" s="4" t="s">
        <v>424</v>
      </c>
      <c r="B23" s="7" t="s">
        <v>409</v>
      </c>
      <c r="C23" s="7" t="n">
        <v>317</v>
      </c>
      <c r="D23" s="12" t="n">
        <v>0.1693</v>
      </c>
      <c r="E23" s="12" t="n">
        <v>0.0773</v>
      </c>
      <c r="F23" s="12" t="n">
        <v>0.169</v>
      </c>
      <c r="G23" s="12" t="n">
        <v>0.0897</v>
      </c>
      <c r="H23" s="12" t="n">
        <f aca="false">D23-F23</f>
        <v>0.000299999999999995</v>
      </c>
      <c r="I23" s="6" t="n">
        <f aca="false">(D23-F23)/G23</f>
        <v>0.00334448160535111</v>
      </c>
    </row>
    <row r="25" customFormat="false" ht="15" hidden="false" customHeight="false" outlineLevel="0" collapsed="false">
      <c r="A25" s="13" t="s">
        <v>425</v>
      </c>
      <c r="B25" s="14"/>
      <c r="C25" s="14"/>
      <c r="D25" s="14"/>
      <c r="E25" s="14"/>
      <c r="F25" s="14"/>
      <c r="G25" s="14"/>
      <c r="H25" s="15" t="n">
        <f aca="false">MAX(MAX(H5:H23),-MIN(H5:H23))</f>
        <v>0.0005</v>
      </c>
      <c r="I25" s="16" t="n">
        <f aca="false">MAX(MAX(I5:I23),-MIN(I5:I23))</f>
        <v>0.00822368421052632</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2"/>
    <col collapsed="false" customWidth="true" hidden="false" outlineLevel="0" max="4" min="4" style="0" width="10"/>
    <col collapsed="false" customWidth="true" hidden="false" outlineLevel="0" max="6" min="5" style="0" width="12"/>
    <col collapsed="false" customWidth="true" hidden="false" outlineLevel="0" max="7" min="7" style="0" width="10"/>
    <col collapsed="false" customWidth="true" hidden="false" outlineLevel="0" max="8" min="8" style="0" width="16"/>
    <col collapsed="false" customWidth="true" hidden="false" outlineLevel="0" max="16" min="9" style="0" width="13"/>
  </cols>
  <sheetData>
    <row r="1" customFormat="false" ht="15" hidden="false" customHeight="false" outlineLevel="0" collapsed="false">
      <c r="A1" s="1" t="s">
        <v>426</v>
      </c>
    </row>
    <row r="2" customFormat="false" ht="97.5" hidden="false" customHeight="true" outlineLevel="0" collapsed="false">
      <c r="A2" s="2" t="s">
        <v>427</v>
      </c>
      <c r="B2" s="2"/>
      <c r="C2" s="2"/>
      <c r="D2" s="2"/>
      <c r="E2" s="2"/>
      <c r="F2" s="2"/>
      <c r="G2" s="2"/>
      <c r="H2" s="2"/>
      <c r="I2" s="2"/>
      <c r="J2" s="2"/>
      <c r="K2" s="2"/>
      <c r="L2" s="2"/>
    </row>
    <row r="4" customFormat="false" ht="15" hidden="false" customHeight="false" outlineLevel="0" collapsed="false">
      <c r="A4" s="8" t="s">
        <v>428</v>
      </c>
    </row>
    <row r="5" customFormat="false" ht="43.5" hidden="false" customHeight="true" outlineLevel="0" collapsed="false">
      <c r="A5" s="3" t="s">
        <v>429</v>
      </c>
      <c r="B5" s="3" t="s">
        <v>181</v>
      </c>
      <c r="C5" s="3" t="s">
        <v>430</v>
      </c>
      <c r="D5" s="3" t="s">
        <v>193</v>
      </c>
      <c r="E5" s="3" t="s">
        <v>183</v>
      </c>
      <c r="F5" s="3" t="s">
        <v>431</v>
      </c>
      <c r="G5" s="3" t="s">
        <v>195</v>
      </c>
      <c r="H5" s="3" t="s">
        <v>432</v>
      </c>
    </row>
    <row r="6" customFormat="false" ht="15" hidden="false" customHeight="false" outlineLevel="0" collapsed="false">
      <c r="A6" s="4" t="s">
        <v>433</v>
      </c>
      <c r="B6" s="7" t="n">
        <v>237</v>
      </c>
      <c r="C6" s="7" t="n">
        <v>257</v>
      </c>
      <c r="D6" s="17" t="n">
        <f aca="false">IF(ISNUMBER(B6),B6/C6,"")</f>
        <v>0.922178988326848</v>
      </c>
      <c r="E6" s="7" t="n">
        <v>104</v>
      </c>
      <c r="F6" s="7" t="n">
        <v>133</v>
      </c>
      <c r="G6" s="17" t="n">
        <f aca="false">IF(ISNUMBER(E6),E6/F6,"")</f>
        <v>0.781954887218045</v>
      </c>
      <c r="H6" s="18" t="n">
        <f aca="false">IF(AND(ISNUMBER(D6),ISNUMBER(G6)),100*(G6-D6),"")</f>
        <v>-14.0224101108803</v>
      </c>
    </row>
    <row r="7" customFormat="false" ht="15" hidden="false" customHeight="false" outlineLevel="0" collapsed="false">
      <c r="A7" s="4" t="s">
        <v>434</v>
      </c>
      <c r="B7" s="7" t="n">
        <v>18</v>
      </c>
      <c r="C7" s="7" t="n">
        <v>257</v>
      </c>
      <c r="D7" s="17" t="n">
        <f aca="false">IF(ISNUMBER(B7),B7/C7,"")</f>
        <v>0.0700389105058366</v>
      </c>
      <c r="E7" s="7" t="n">
        <v>10</v>
      </c>
      <c r="F7" s="7" t="n">
        <v>132</v>
      </c>
      <c r="G7" s="17" t="n">
        <f aca="false">IF(ISNUMBER(E7),E7/F7,"")</f>
        <v>0.0757575757575758</v>
      </c>
      <c r="H7" s="18" t="n">
        <f aca="false">IF(AND(ISNUMBER(D7),ISNUMBER(G7)),100*(G7-D7),"")</f>
        <v>0.571866525173918</v>
      </c>
    </row>
    <row r="8" customFormat="false" ht="15" hidden="false" customHeight="false" outlineLevel="0" collapsed="false">
      <c r="A8" s="4" t="s">
        <v>435</v>
      </c>
      <c r="B8" s="7" t="n">
        <v>52</v>
      </c>
      <c r="C8" s="7" t="n">
        <v>257</v>
      </c>
      <c r="D8" s="17" t="n">
        <f aca="false">IF(ISNUMBER(B8),B8/C8,"")</f>
        <v>0.202334630350195</v>
      </c>
      <c r="E8" s="7" t="n">
        <v>24</v>
      </c>
      <c r="F8" s="7" t="n">
        <v>133</v>
      </c>
      <c r="G8" s="17" t="n">
        <f aca="false">IF(ISNUMBER(E8),E8/F8,"")</f>
        <v>0.180451127819549</v>
      </c>
      <c r="H8" s="18" t="n">
        <f aca="false">IF(AND(ISNUMBER(D8),ISNUMBER(G8)),100*(G8-D8),"")</f>
        <v>-2.18835025306457</v>
      </c>
    </row>
    <row r="9" customFormat="false" ht="23.85" hidden="false" customHeight="false" outlineLevel="0" collapsed="false">
      <c r="A9" s="4" t="s">
        <v>436</v>
      </c>
      <c r="B9" s="7" t="n">
        <v>57</v>
      </c>
      <c r="C9" s="7" t="n">
        <v>257</v>
      </c>
      <c r="D9" s="17" t="n">
        <f aca="false">IF(ISNUMBER(B9),B9/C9,"")</f>
        <v>0.221789883268482</v>
      </c>
      <c r="E9" s="7" t="s">
        <v>156</v>
      </c>
      <c r="F9" s="7" t="n">
        <v>132</v>
      </c>
      <c r="G9" s="17" t="str">
        <f aca="false">IF(ISNUMBER(E9),E9/F9,"")</f>
        <v/>
      </c>
      <c r="H9" s="18" t="str">
        <f aca="false">IF(AND(ISNUMBER(D9),ISNUMBER(G9)),100*(G9-D9),"")</f>
        <v/>
      </c>
    </row>
    <row r="11" customFormat="false" ht="15" hidden="false" customHeight="false" outlineLevel="0" collapsed="false">
      <c r="A11" s="8" t="s">
        <v>437</v>
      </c>
    </row>
    <row r="12" customFormat="false" ht="30" hidden="false" customHeight="true" outlineLevel="0" collapsed="false">
      <c r="A12" s="3" t="s">
        <v>438</v>
      </c>
      <c r="B12" s="3" t="s">
        <v>181</v>
      </c>
      <c r="C12" s="3" t="s">
        <v>193</v>
      </c>
      <c r="D12" s="3" t="s">
        <v>183</v>
      </c>
      <c r="E12" s="3" t="s">
        <v>195</v>
      </c>
    </row>
    <row r="13" customFormat="false" ht="15" hidden="false" customHeight="false" outlineLevel="0" collapsed="false">
      <c r="A13" s="4" t="s">
        <v>439</v>
      </c>
      <c r="B13" s="7" t="n">
        <v>152</v>
      </c>
      <c r="C13" s="17" t="n">
        <f aca="false">IF(ISNUMBER(B13),B13/B$17,"")</f>
        <v>0.652360515021459</v>
      </c>
      <c r="D13" s="7" t="s">
        <v>440</v>
      </c>
      <c r="E13" s="17" t="str">
        <f aca="false">IF(ISNUMBER(D13),D13/D$17,"")</f>
        <v/>
      </c>
    </row>
    <row r="14" customFormat="false" ht="15" hidden="false" customHeight="false" outlineLevel="0" collapsed="false">
      <c r="A14" s="4" t="s">
        <v>441</v>
      </c>
      <c r="B14" s="7" t="n">
        <v>42</v>
      </c>
      <c r="C14" s="17" t="n">
        <f aca="false">IF(ISNUMBER(B14),B14/B$17,"")</f>
        <v>0.180257510729614</v>
      </c>
      <c r="D14" s="7" t="n">
        <v>89</v>
      </c>
      <c r="E14" s="17" t="n">
        <f aca="false">IF(ISNUMBER(D14),D14/D$17,"")</f>
        <v>0.864077669902913</v>
      </c>
    </row>
    <row r="15" customFormat="false" ht="15" hidden="false" customHeight="false" outlineLevel="0" collapsed="false">
      <c r="A15" s="4" t="s">
        <v>442</v>
      </c>
      <c r="B15" s="7" t="n">
        <v>39</v>
      </c>
      <c r="C15" s="17" t="n">
        <f aca="false">IF(ISNUMBER(B15),B15/B$17,"")</f>
        <v>0.167381974248927</v>
      </c>
      <c r="D15" s="7" t="s">
        <v>440</v>
      </c>
      <c r="E15" s="17" t="str">
        <f aca="false">IF(ISNUMBER(D15),D15/D$17,"")</f>
        <v/>
      </c>
    </row>
    <row r="16" customFormat="false" ht="35.05" hidden="false" customHeight="false" outlineLevel="0" collapsed="false">
      <c r="A16" s="4" t="s">
        <v>443</v>
      </c>
      <c r="B16" s="7" t="s">
        <v>444</v>
      </c>
      <c r="C16" s="17" t="str">
        <f aca="false">IF(ISNUMBER(B16),B16/B$17,"")</f>
        <v/>
      </c>
      <c r="D16" s="7" t="n">
        <v>14</v>
      </c>
      <c r="E16" s="17" t="n">
        <f aca="false">IF(ISNUMBER(D16),D16/D$17,"")</f>
        <v>0.135922330097087</v>
      </c>
    </row>
    <row r="17" customFormat="false" ht="15" hidden="false" customHeight="false" outlineLevel="0" collapsed="false">
      <c r="A17" s="13" t="s">
        <v>445</v>
      </c>
      <c r="B17" s="14" t="n">
        <v>233</v>
      </c>
      <c r="C17" s="14"/>
      <c r="D17" s="14" t="n">
        <v>103</v>
      </c>
      <c r="E17" s="14"/>
    </row>
    <row r="19" customFormat="false" ht="15" hidden="false" customHeight="false" outlineLevel="0" collapsed="false">
      <c r="A19" s="8" t="s">
        <v>446</v>
      </c>
    </row>
    <row r="20" customFormat="false" ht="55.5" hidden="false" customHeight="true" outlineLevel="0" collapsed="false">
      <c r="A20" s="3" t="s">
        <v>141</v>
      </c>
      <c r="B20" s="3" t="s">
        <v>447</v>
      </c>
      <c r="C20" s="3" t="s">
        <v>448</v>
      </c>
      <c r="D20" s="3" t="s">
        <v>449</v>
      </c>
      <c r="E20" s="3" t="s">
        <v>450</v>
      </c>
      <c r="F20" s="3" t="s">
        <v>451</v>
      </c>
      <c r="G20" s="3" t="s">
        <v>452</v>
      </c>
      <c r="H20" s="3" t="s">
        <v>453</v>
      </c>
      <c r="I20" s="3" t="s">
        <v>454</v>
      </c>
      <c r="J20" s="3" t="s">
        <v>455</v>
      </c>
      <c r="K20" s="3" t="s">
        <v>456</v>
      </c>
      <c r="L20" s="3" t="s">
        <v>457</v>
      </c>
      <c r="M20" s="3" t="s">
        <v>458</v>
      </c>
      <c r="N20" s="3" t="s">
        <v>459</v>
      </c>
      <c r="O20" s="3" t="s">
        <v>460</v>
      </c>
      <c r="P20" s="3" t="s">
        <v>461</v>
      </c>
    </row>
    <row r="21" customFormat="false" ht="15" hidden="false" customHeight="false" outlineLevel="0" collapsed="false">
      <c r="A21" s="13" t="s">
        <v>462</v>
      </c>
      <c r="B21" s="14" t="n">
        <v>152</v>
      </c>
      <c r="C21" s="14"/>
      <c r="D21" s="14"/>
      <c r="E21" s="14" t="n">
        <v>39</v>
      </c>
      <c r="F21" s="14"/>
      <c r="G21" s="14"/>
      <c r="H21" s="14" t="n">
        <v>42</v>
      </c>
      <c r="I21" s="14"/>
      <c r="J21" s="14"/>
      <c r="K21" s="14" t="n">
        <v>89</v>
      </c>
      <c r="L21" s="14"/>
      <c r="M21" s="14"/>
      <c r="N21" s="14" t="n">
        <v>14</v>
      </c>
      <c r="O21" s="14"/>
      <c r="P21" s="14"/>
    </row>
    <row r="22" customFormat="false" ht="15" hidden="false" customHeight="false" outlineLevel="0" collapsed="false">
      <c r="A22" s="4" t="s">
        <v>155</v>
      </c>
      <c r="B22" s="7" t="n">
        <v>82</v>
      </c>
      <c r="C22" s="7" t="n">
        <v>151</v>
      </c>
      <c r="D22" s="17" t="n">
        <f aca="false">IF(ISNUMBER(B22),B22/C22,"")</f>
        <v>0.543046357615894</v>
      </c>
      <c r="E22" s="7" t="s">
        <v>27</v>
      </c>
      <c r="F22" s="7" t="n">
        <v>37</v>
      </c>
      <c r="G22" s="17" t="str">
        <f aca="false">IF(ISNUMBER(E22),E22/F22,"")</f>
        <v/>
      </c>
      <c r="H22" s="7" t="n">
        <v>26</v>
      </c>
      <c r="I22" s="7" t="n">
        <v>42</v>
      </c>
      <c r="J22" s="17" t="n">
        <f aca="false">IF(ISNUMBER(H22),H22/I22,"")</f>
        <v>0.619047619047619</v>
      </c>
      <c r="K22" s="7" t="s">
        <v>178</v>
      </c>
      <c r="L22" s="7" t="n">
        <v>88</v>
      </c>
      <c r="M22" s="17" t="str">
        <f aca="false">IF(ISNUMBER(K22),K22/L22,"")</f>
        <v/>
      </c>
      <c r="N22" s="7" t="s">
        <v>178</v>
      </c>
      <c r="O22" s="7" t="n">
        <v>14</v>
      </c>
      <c r="P22" s="17" t="str">
        <f aca="false">IF(ISNUMBER(N22),N22/O22,"")</f>
        <v/>
      </c>
    </row>
    <row r="23" customFormat="false" ht="15" hidden="false" customHeight="false" outlineLevel="0" collapsed="false">
      <c r="A23" s="4" t="s">
        <v>158</v>
      </c>
      <c r="B23" s="7" t="n">
        <v>85</v>
      </c>
      <c r="C23" s="7" t="n">
        <v>151</v>
      </c>
      <c r="D23" s="17" t="n">
        <f aca="false">IF(ISNUMBER(B23),B23/C23,"")</f>
        <v>0.562913907284768</v>
      </c>
      <c r="E23" s="7" t="s">
        <v>27</v>
      </c>
      <c r="F23" s="7" t="n">
        <v>37</v>
      </c>
      <c r="G23" s="17" t="str">
        <f aca="false">IF(ISNUMBER(E23),E23/F23,"")</f>
        <v/>
      </c>
      <c r="H23" s="7" t="n">
        <v>24</v>
      </c>
      <c r="I23" s="7" t="n">
        <v>42</v>
      </c>
      <c r="J23" s="17" t="n">
        <f aca="false">IF(ISNUMBER(H23),H23/I23,"")</f>
        <v>0.571428571428571</v>
      </c>
      <c r="K23" s="7" t="s">
        <v>178</v>
      </c>
      <c r="L23" s="7" t="n">
        <v>88</v>
      </c>
      <c r="M23" s="17" t="str">
        <f aca="false">IF(ISNUMBER(K23),K23/L23,"")</f>
        <v/>
      </c>
      <c r="N23" s="7" t="s">
        <v>178</v>
      </c>
      <c r="O23" s="7" t="n">
        <v>14</v>
      </c>
      <c r="P23" s="17" t="str">
        <f aca="false">IF(ISNUMBER(N23),N23/O23,"")</f>
        <v/>
      </c>
    </row>
    <row r="24" customFormat="false" ht="15" hidden="false" customHeight="false" outlineLevel="0" collapsed="false">
      <c r="A24" s="4" t="s">
        <v>159</v>
      </c>
      <c r="B24" s="7" t="n">
        <v>29</v>
      </c>
      <c r="C24" s="7" t="n">
        <v>151</v>
      </c>
      <c r="D24" s="17" t="n">
        <f aca="false">IF(ISNUMBER(B24),B24/C24,"")</f>
        <v>0.19205298013245</v>
      </c>
      <c r="E24" s="7" t="s">
        <v>156</v>
      </c>
      <c r="F24" s="7" t="n">
        <v>39</v>
      </c>
      <c r="G24" s="17" t="str">
        <f aca="false">IF(ISNUMBER(E24),E24/F24,"")</f>
        <v/>
      </c>
      <c r="H24" s="7" t="s">
        <v>156</v>
      </c>
      <c r="I24" s="7" t="n">
        <v>42</v>
      </c>
      <c r="J24" s="17" t="str">
        <f aca="false">IF(ISNUMBER(H24),H24/I24,"")</f>
        <v/>
      </c>
      <c r="K24" s="7" t="s">
        <v>27</v>
      </c>
      <c r="L24" s="7" t="n">
        <v>87</v>
      </c>
      <c r="M24" s="17" t="str">
        <f aca="false">IF(ISNUMBER(K24),K24/L24,"")</f>
        <v/>
      </c>
      <c r="N24" s="7" t="n">
        <v>0</v>
      </c>
      <c r="O24" s="7" t="n">
        <v>12</v>
      </c>
      <c r="P24" s="17" t="n">
        <f aca="false">IF(ISNUMBER(N24),N24/O24,"")</f>
        <v>0</v>
      </c>
    </row>
    <row r="25" customFormat="false" ht="15" hidden="false" customHeight="false" outlineLevel="0" collapsed="false">
      <c r="A25" s="4" t="s">
        <v>160</v>
      </c>
      <c r="B25" s="7" t="n">
        <v>42</v>
      </c>
      <c r="C25" s="7" t="n">
        <v>151</v>
      </c>
      <c r="D25" s="17" t="n">
        <f aca="false">IF(ISNUMBER(B25),B25/C25,"")</f>
        <v>0.278145695364238</v>
      </c>
      <c r="E25" s="7" t="s">
        <v>156</v>
      </c>
      <c r="F25" s="7" t="n">
        <v>37</v>
      </c>
      <c r="G25" s="17" t="str">
        <f aca="false">IF(ISNUMBER(E25),E25/F25,"")</f>
        <v/>
      </c>
      <c r="H25" s="7" t="s">
        <v>156</v>
      </c>
      <c r="I25" s="7" t="n">
        <v>42</v>
      </c>
      <c r="J25" s="17" t="str">
        <f aca="false">IF(ISNUMBER(H25),H25/I25,"")</f>
        <v/>
      </c>
      <c r="K25" s="7" t="n">
        <v>32</v>
      </c>
      <c r="L25" s="7" t="n">
        <v>87</v>
      </c>
      <c r="M25" s="17" t="n">
        <f aca="false">IF(ISNUMBER(K25),K25/L25,"")</f>
        <v>0.367816091954023</v>
      </c>
      <c r="N25" s="7" t="s">
        <v>156</v>
      </c>
      <c r="O25" s="7" t="n">
        <v>13</v>
      </c>
      <c r="P25" s="17" t="str">
        <f aca="false">IF(ISNUMBER(N25),N25/O25,"")</f>
        <v/>
      </c>
    </row>
    <row r="26" customFormat="false" ht="15" hidden="false" customHeight="false" outlineLevel="0" collapsed="false">
      <c r="A26" s="4" t="s">
        <v>161</v>
      </c>
      <c r="B26" s="7" t="n">
        <v>101</v>
      </c>
      <c r="C26" s="7" t="n">
        <v>151</v>
      </c>
      <c r="D26" s="17" t="n">
        <f aca="false">IF(ISNUMBER(B26),B26/C26,"")</f>
        <v>0.66887417218543</v>
      </c>
      <c r="E26" s="7" t="n">
        <v>28</v>
      </c>
      <c r="F26" s="7" t="n">
        <v>39</v>
      </c>
      <c r="G26" s="17" t="n">
        <f aca="false">IF(ISNUMBER(E26),E26/F26,"")</f>
        <v>0.717948717948718</v>
      </c>
      <c r="H26" s="7" t="n">
        <v>31</v>
      </c>
      <c r="I26" s="7" t="n">
        <v>42</v>
      </c>
      <c r="J26" s="17" t="n">
        <f aca="false">IF(ISNUMBER(H26),H26/I26,"")</f>
        <v>0.738095238095238</v>
      </c>
      <c r="K26" s="7" t="n">
        <v>33</v>
      </c>
      <c r="L26" s="7" t="n">
        <v>88</v>
      </c>
      <c r="M26" s="17" t="n">
        <f aca="false">IF(ISNUMBER(K26),K26/L26,"")</f>
        <v>0.375</v>
      </c>
      <c r="N26" s="7" t="s">
        <v>156</v>
      </c>
      <c r="O26" s="7" t="n">
        <v>12</v>
      </c>
      <c r="P26" s="17" t="str">
        <f aca="false">IF(ISNUMBER(N26),N26/O26,"")</f>
        <v/>
      </c>
    </row>
    <row r="27" customFormat="false" ht="15" hidden="false" customHeight="false" outlineLevel="0" collapsed="false">
      <c r="A27" s="4" t="s">
        <v>162</v>
      </c>
      <c r="B27" s="7" t="n">
        <v>111</v>
      </c>
      <c r="C27" s="7" t="n">
        <v>151</v>
      </c>
      <c r="D27" s="17" t="n">
        <f aca="false">IF(ISNUMBER(B27),B27/C27,"")</f>
        <v>0.735099337748344</v>
      </c>
      <c r="E27" s="7" t="n">
        <v>29</v>
      </c>
      <c r="F27" s="7" t="n">
        <v>39</v>
      </c>
      <c r="G27" s="17" t="n">
        <f aca="false">IF(ISNUMBER(E27),E27/F27,"")</f>
        <v>0.743589743589744</v>
      </c>
      <c r="H27" s="7" t="n">
        <v>24</v>
      </c>
      <c r="I27" s="7" t="n">
        <v>42</v>
      </c>
      <c r="J27" s="17" t="n">
        <f aca="false">IF(ISNUMBER(H27),H27/I27,"")</f>
        <v>0.571428571428571</v>
      </c>
      <c r="K27" s="7" t="n">
        <v>63</v>
      </c>
      <c r="L27" s="7" t="n">
        <v>87</v>
      </c>
      <c r="M27" s="17" t="n">
        <f aca="false">IF(ISNUMBER(K27),K27/L27,"")</f>
        <v>0.724137931034483</v>
      </c>
      <c r="N27" s="7" t="s">
        <v>156</v>
      </c>
      <c r="O27" s="7" t="n">
        <v>12</v>
      </c>
      <c r="P27" s="17" t="str">
        <f aca="false">IF(ISNUMBER(N27),N27/O27,"")</f>
        <v/>
      </c>
    </row>
    <row r="28" customFormat="false" ht="15" hidden="false" customHeight="false" outlineLevel="0" collapsed="false">
      <c r="A28" s="4" t="s">
        <v>163</v>
      </c>
      <c r="B28" s="7" t="n">
        <v>46</v>
      </c>
      <c r="C28" s="7" t="n">
        <v>151</v>
      </c>
      <c r="D28" s="17" t="n">
        <f aca="false">IF(ISNUMBER(B28),B28/C28,"")</f>
        <v>0.304635761589404</v>
      </c>
      <c r="E28" s="7" t="s">
        <v>156</v>
      </c>
      <c r="F28" s="7" t="n">
        <v>39</v>
      </c>
      <c r="G28" s="17" t="str">
        <f aca="false">IF(ISNUMBER(E28),E28/F28,"")</f>
        <v/>
      </c>
      <c r="H28" s="7" t="n">
        <v>21</v>
      </c>
      <c r="I28" s="7" t="n">
        <v>42</v>
      </c>
      <c r="J28" s="17" t="n">
        <f aca="false">IF(ISNUMBER(H28),H28/I28,"")</f>
        <v>0.5</v>
      </c>
      <c r="K28" s="7" t="n">
        <v>34</v>
      </c>
      <c r="L28" s="7" t="n">
        <v>88</v>
      </c>
      <c r="M28" s="17" t="n">
        <f aca="false">IF(ISNUMBER(K28),K28/L28,"")</f>
        <v>0.386363636363636</v>
      </c>
      <c r="N28" s="7" t="s">
        <v>156</v>
      </c>
      <c r="O28" s="7" t="n">
        <v>13</v>
      </c>
      <c r="P28" s="17" t="str">
        <f aca="false">IF(ISNUMBER(N28),N28/O28,"")</f>
        <v/>
      </c>
    </row>
    <row r="29" customFormat="false" ht="15" hidden="false" customHeight="false" outlineLevel="0" collapsed="false">
      <c r="A29" s="4" t="s">
        <v>164</v>
      </c>
      <c r="B29" s="7" t="n">
        <v>97</v>
      </c>
      <c r="C29" s="7" t="n">
        <v>151</v>
      </c>
      <c r="D29" s="17" t="n">
        <f aca="false">IF(ISNUMBER(B29),B29/C29,"")</f>
        <v>0.642384105960265</v>
      </c>
      <c r="E29" s="7" t="n">
        <v>22</v>
      </c>
      <c r="F29" s="7" t="n">
        <v>39</v>
      </c>
      <c r="G29" s="17" t="n">
        <f aca="false">IF(ISNUMBER(E29),E29/F29,"")</f>
        <v>0.564102564102564</v>
      </c>
      <c r="H29" s="7" t="n">
        <v>31</v>
      </c>
      <c r="I29" s="7" t="n">
        <v>42</v>
      </c>
      <c r="J29" s="17" t="n">
        <f aca="false">IF(ISNUMBER(H29),H29/I29,"")</f>
        <v>0.738095238095238</v>
      </c>
      <c r="K29" s="7" t="n">
        <v>60</v>
      </c>
      <c r="L29" s="7" t="n">
        <v>87</v>
      </c>
      <c r="M29" s="17" t="n">
        <f aca="false">IF(ISNUMBER(K29),K29/L29,"")</f>
        <v>0.689655172413793</v>
      </c>
      <c r="N29" s="7" t="s">
        <v>156</v>
      </c>
      <c r="O29" s="7" t="n">
        <v>13</v>
      </c>
      <c r="P29" s="17" t="str">
        <f aca="false">IF(ISNUMBER(N29),N29/O29,"")</f>
        <v/>
      </c>
    </row>
    <row r="30" customFormat="false" ht="15" hidden="false" customHeight="false" outlineLevel="0" collapsed="false">
      <c r="A30" s="4" t="s">
        <v>165</v>
      </c>
      <c r="B30" s="7" t="n">
        <v>88</v>
      </c>
      <c r="C30" s="7" t="n">
        <v>151</v>
      </c>
      <c r="D30" s="17" t="n">
        <f aca="false">IF(ISNUMBER(B30),B30/C30,"")</f>
        <v>0.582781456953642</v>
      </c>
      <c r="E30" s="7" t="n">
        <v>17</v>
      </c>
      <c r="F30" s="7" t="n">
        <v>37</v>
      </c>
      <c r="G30" s="17" t="n">
        <f aca="false">IF(ISNUMBER(E30),E30/F30,"")</f>
        <v>0.45945945945946</v>
      </c>
      <c r="H30" s="7" t="n">
        <v>21</v>
      </c>
      <c r="I30" s="7" t="n">
        <v>42</v>
      </c>
      <c r="J30" s="17" t="n">
        <f aca="false">IF(ISNUMBER(H30),H30/I30,"")</f>
        <v>0.5</v>
      </c>
      <c r="K30" s="7" t="n">
        <v>41</v>
      </c>
      <c r="L30" s="7" t="n">
        <v>87</v>
      </c>
      <c r="M30" s="17" t="n">
        <f aca="false">IF(ISNUMBER(K30),K30/L30,"")</f>
        <v>0.471264367816092</v>
      </c>
      <c r="N30" s="7" t="s">
        <v>156</v>
      </c>
      <c r="O30" s="7" t="n">
        <v>13</v>
      </c>
      <c r="P30" s="17" t="str">
        <f aca="false">IF(ISNUMBER(N30),N30/O30,"")</f>
        <v/>
      </c>
    </row>
    <row r="31" customFormat="false" ht="15" hidden="false" customHeight="false" outlineLevel="0" collapsed="false">
      <c r="A31" s="4" t="s">
        <v>166</v>
      </c>
      <c r="B31" s="7" t="n">
        <v>48</v>
      </c>
      <c r="C31" s="7" t="n">
        <v>151</v>
      </c>
      <c r="D31" s="17" t="n">
        <f aca="false">IF(ISNUMBER(B31),B31/C31,"")</f>
        <v>0.317880794701987</v>
      </c>
      <c r="E31" s="7" t="n">
        <v>11</v>
      </c>
      <c r="F31" s="7" t="n">
        <v>37</v>
      </c>
      <c r="G31" s="17" t="n">
        <f aca="false">IF(ISNUMBER(E31),E31/F31,"")</f>
        <v>0.297297297297297</v>
      </c>
      <c r="H31" s="7" t="s">
        <v>156</v>
      </c>
      <c r="I31" s="7" t="n">
        <v>42</v>
      </c>
      <c r="J31" s="17" t="str">
        <f aca="false">IF(ISNUMBER(H31),H31/I31,"")</f>
        <v/>
      </c>
      <c r="K31" s="7" t="s">
        <v>27</v>
      </c>
      <c r="L31" s="7" t="n">
        <v>87</v>
      </c>
      <c r="M31" s="17" t="str">
        <f aca="false">IF(ISNUMBER(K31),K31/L31,"")</f>
        <v/>
      </c>
      <c r="N31" s="7" t="n">
        <v>0</v>
      </c>
      <c r="O31" s="7" t="n">
        <v>12</v>
      </c>
      <c r="P31" s="17" t="n">
        <f aca="false">IF(ISNUMBER(N31),N31/O31,"")</f>
        <v>0</v>
      </c>
    </row>
    <row r="32" customFormat="false" ht="15" hidden="false" customHeight="false" outlineLevel="0" collapsed="false">
      <c r="A32" s="4" t="s">
        <v>167</v>
      </c>
      <c r="B32" s="7" t="n">
        <v>36</v>
      </c>
      <c r="C32" s="7" t="n">
        <v>151</v>
      </c>
      <c r="D32" s="17" t="n">
        <f aca="false">IF(ISNUMBER(B32),B32/C32,"")</f>
        <v>0.23841059602649</v>
      </c>
      <c r="E32" s="7" t="s">
        <v>156</v>
      </c>
      <c r="F32" s="7" t="n">
        <v>38</v>
      </c>
      <c r="G32" s="17" t="str">
        <f aca="false">IF(ISNUMBER(E32),E32/F32,"")</f>
        <v/>
      </c>
      <c r="H32" s="7" t="s">
        <v>156</v>
      </c>
      <c r="I32" s="7" t="n">
        <v>42</v>
      </c>
      <c r="J32" s="17" t="str">
        <f aca="false">IF(ISNUMBER(H32),H32/I32,"")</f>
        <v/>
      </c>
      <c r="K32" s="7" t="n">
        <v>15</v>
      </c>
      <c r="L32" s="7" t="n">
        <v>87</v>
      </c>
      <c r="M32" s="17" t="n">
        <f aca="false">IF(ISNUMBER(K32),K32/L32,"")</f>
        <v>0.172413793103448</v>
      </c>
      <c r="N32" s="7" t="s">
        <v>156</v>
      </c>
      <c r="O32" s="7" t="n">
        <v>14</v>
      </c>
      <c r="P32" s="17" t="str">
        <f aca="false">IF(ISNUMBER(N32),N32/O32,"")</f>
        <v/>
      </c>
    </row>
    <row r="34" customFormat="false" ht="15" hidden="false" customHeight="false" outlineLevel="0" collapsed="false">
      <c r="A34" s="8" t="s">
        <v>463</v>
      </c>
    </row>
    <row r="35" customFormat="false" ht="30" hidden="false" customHeight="true" outlineLevel="0" collapsed="false">
      <c r="A35" s="2" t="s">
        <v>464</v>
      </c>
      <c r="B35" s="2"/>
      <c r="C35" s="2"/>
      <c r="D35" s="2"/>
      <c r="E35" s="2"/>
      <c r="F35" s="2"/>
      <c r="G35" s="2"/>
      <c r="H35" s="2"/>
      <c r="I35" s="2"/>
      <c r="J35" s="2"/>
      <c r="K35" s="2"/>
      <c r="L35" s="2"/>
    </row>
    <row r="36" customFormat="false" ht="30" hidden="false" customHeight="true" outlineLevel="0" collapsed="false">
      <c r="A36" s="3" t="s">
        <v>116</v>
      </c>
      <c r="B36" s="3" t="s">
        <v>465</v>
      </c>
      <c r="C36" s="3" t="s">
        <v>206</v>
      </c>
      <c r="D36" s="3" t="s">
        <v>466</v>
      </c>
      <c r="E36" s="3" t="s">
        <v>467</v>
      </c>
      <c r="F36" s="3" t="s">
        <v>468</v>
      </c>
      <c r="G36" s="3" t="s">
        <v>469</v>
      </c>
      <c r="H36" s="3" t="s">
        <v>470</v>
      </c>
    </row>
    <row r="37" customFormat="false" ht="15" hidden="false" customHeight="false" outlineLevel="0" collapsed="false">
      <c r="A37" s="4" t="s">
        <v>471</v>
      </c>
      <c r="B37" s="7" t="s">
        <v>139</v>
      </c>
      <c r="C37" s="7" t="n">
        <v>254</v>
      </c>
      <c r="D37" s="6" t="n">
        <v>4.88</v>
      </c>
      <c r="E37" s="6" t="n">
        <v>2.74</v>
      </c>
      <c r="F37" s="18" t="n">
        <v>3</v>
      </c>
      <c r="G37" s="18" t="n">
        <v>5</v>
      </c>
      <c r="H37" s="18" t="n">
        <v>7</v>
      </c>
    </row>
    <row r="38" customFormat="false" ht="15" hidden="false" customHeight="false" outlineLevel="0" collapsed="false">
      <c r="A38" s="4" t="s">
        <v>471</v>
      </c>
      <c r="B38" s="7" t="s">
        <v>140</v>
      </c>
      <c r="C38" s="7" t="n">
        <v>128</v>
      </c>
      <c r="D38" s="6" t="n">
        <v>4.37</v>
      </c>
      <c r="E38" s="6" t="n">
        <v>2.6</v>
      </c>
      <c r="F38" s="18" t="n">
        <v>3</v>
      </c>
      <c r="G38" s="18" t="n">
        <v>5</v>
      </c>
      <c r="H38" s="18" t="n">
        <v>6</v>
      </c>
    </row>
    <row r="39" customFormat="false" ht="15" hidden="false" customHeight="false" outlineLevel="0" collapsed="false">
      <c r="A39" s="4" t="s">
        <v>472</v>
      </c>
      <c r="B39" s="7" t="s">
        <v>139</v>
      </c>
      <c r="C39" s="7" t="n">
        <v>116</v>
      </c>
      <c r="D39" s="6" t="n">
        <v>5.17</v>
      </c>
      <c r="E39" s="6" t="n">
        <v>2.99</v>
      </c>
      <c r="F39" s="18" t="n">
        <v>3</v>
      </c>
      <c r="G39" s="18" t="n">
        <v>5</v>
      </c>
      <c r="H39" s="18" t="n">
        <v>8</v>
      </c>
    </row>
    <row r="40" customFormat="false" ht="15" hidden="false" customHeight="false" outlineLevel="0" collapsed="false">
      <c r="A40" s="4" t="s">
        <v>472</v>
      </c>
      <c r="B40" s="7" t="s">
        <v>140</v>
      </c>
      <c r="C40" s="7" t="n">
        <v>94</v>
      </c>
      <c r="D40" s="6" t="n">
        <v>4.46</v>
      </c>
      <c r="E40" s="6" t="n">
        <v>2.6</v>
      </c>
      <c r="F40" s="18" t="n">
        <v>3</v>
      </c>
      <c r="G40" s="18" t="n">
        <v>5</v>
      </c>
      <c r="H40" s="18" t="n">
        <v>6</v>
      </c>
    </row>
  </sheetData>
  <mergeCells count="2">
    <mergeCell ref="A2:L2"/>
    <mergeCell ref="A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7" min="3" style="0" width="11"/>
    <col collapsed="false" customWidth="true" hidden="false" outlineLevel="0" max="8" min="8" style="0" width="9"/>
    <col collapsed="false" customWidth="true" hidden="false" outlineLevel="0" max="11" min="9" style="0" width="11"/>
    <col collapsed="false" customWidth="true" hidden="false" outlineLevel="0" max="12" min="12" style="0" width="9"/>
    <col collapsed="false" customWidth="true" hidden="false" outlineLevel="0" max="15" min="13" style="0" width="11"/>
    <col collapsed="false" customWidth="true" hidden="false" outlineLevel="0" max="16" min="16" style="0" width="9"/>
    <col collapsed="false" customWidth="true" hidden="false" outlineLevel="0" max="18" min="17" style="0" width="13"/>
  </cols>
  <sheetData>
    <row r="1" customFormat="false" ht="15" hidden="false" customHeight="false" outlineLevel="0" collapsed="false">
      <c r="A1" s="1" t="s">
        <v>473</v>
      </c>
    </row>
    <row r="2" customFormat="false" ht="70.5" hidden="false" customHeight="true" outlineLevel="0" collapsed="false">
      <c r="A2" s="2" t="s">
        <v>474</v>
      </c>
      <c r="B2" s="2"/>
      <c r="C2" s="2"/>
      <c r="D2" s="2"/>
      <c r="E2" s="2"/>
      <c r="F2" s="2"/>
      <c r="G2" s="2"/>
      <c r="H2" s="2"/>
      <c r="I2" s="2"/>
      <c r="J2" s="2"/>
      <c r="K2" s="2"/>
      <c r="L2" s="2"/>
      <c r="M2" s="2"/>
      <c r="N2" s="2"/>
      <c r="O2" s="2"/>
      <c r="P2" s="2"/>
      <c r="Q2" s="2"/>
      <c r="R2" s="2"/>
    </row>
    <row r="4" customFormat="false" ht="69.75" hidden="false" customHeight="true" outlineLevel="0" collapsed="false">
      <c r="A4" s="3" t="s">
        <v>3</v>
      </c>
      <c r="B4" s="3" t="s">
        <v>475</v>
      </c>
      <c r="C4" s="3" t="s">
        <v>476</v>
      </c>
      <c r="D4" s="3" t="s">
        <v>477</v>
      </c>
      <c r="E4" s="3" t="s">
        <v>478</v>
      </c>
      <c r="F4" s="3" t="s">
        <v>479</v>
      </c>
      <c r="G4" s="3" t="s">
        <v>480</v>
      </c>
      <c r="H4" s="3" t="s">
        <v>481</v>
      </c>
      <c r="I4" s="3" t="s">
        <v>482</v>
      </c>
      <c r="J4" s="3" t="s">
        <v>483</v>
      </c>
      <c r="K4" s="3" t="s">
        <v>484</v>
      </c>
      <c r="L4" s="3" t="s">
        <v>485</v>
      </c>
      <c r="M4" s="3" t="s">
        <v>486</v>
      </c>
      <c r="N4" s="3" t="s">
        <v>487</v>
      </c>
      <c r="O4" s="3" t="s">
        <v>488</v>
      </c>
      <c r="P4" s="3" t="s">
        <v>489</v>
      </c>
    </row>
    <row r="5" customFormat="false" ht="15" hidden="false" customHeight="false" outlineLevel="0" collapsed="false">
      <c r="A5" s="4" t="s">
        <v>18</v>
      </c>
      <c r="B5" s="7" t="s">
        <v>490</v>
      </c>
      <c r="C5" s="5" t="n">
        <v>0.239</v>
      </c>
      <c r="D5" s="5" t="n">
        <v>0.117</v>
      </c>
      <c r="E5" s="5" t="n">
        <v>0.293</v>
      </c>
      <c r="F5" s="5" t="n">
        <v>0.07</v>
      </c>
      <c r="G5" s="5" t="n">
        <v>0.078</v>
      </c>
      <c r="H5" s="7" t="str">
        <f aca="false">IF(ABS(E5-C5)&gt;1.96*D5,"yes","no")</f>
        <v>no</v>
      </c>
      <c r="I5" s="5" t="n">
        <v>0.297</v>
      </c>
      <c r="J5" s="5" t="n">
        <v>0.08</v>
      </c>
      <c r="K5" s="5" t="n">
        <v>0.088</v>
      </c>
      <c r="L5" s="7" t="str">
        <f aca="false">IF(ABS(I5-C5)&gt;1.96*D5,"yes","no")</f>
        <v>no</v>
      </c>
      <c r="M5" s="5" t="n">
        <v>0.317</v>
      </c>
      <c r="N5" s="5" t="n">
        <v>0.111</v>
      </c>
      <c r="O5" s="5" t="n">
        <v>0.15</v>
      </c>
      <c r="P5" s="7" t="str">
        <f aca="false">IF(ABS(M5-C5)&gt;1.96*D5,"yes","no")</f>
        <v>no</v>
      </c>
    </row>
    <row r="6" customFormat="false" ht="15" hidden="false" customHeight="false" outlineLevel="0" collapsed="false">
      <c r="A6" s="4" t="s">
        <v>26</v>
      </c>
      <c r="B6" s="7" t="s">
        <v>490</v>
      </c>
      <c r="C6" s="5" t="n">
        <v>0.298</v>
      </c>
      <c r="D6" s="5" t="n">
        <v>0.092</v>
      </c>
      <c r="E6" s="5" t="n">
        <v>0.382</v>
      </c>
      <c r="F6" s="5" t="n">
        <v>0.059</v>
      </c>
      <c r="G6" s="5" t="n">
        <v>0.067</v>
      </c>
      <c r="H6" s="7" t="str">
        <f aca="false">IF(ABS(E6-C6)&gt;1.96*D6,"yes","no")</f>
        <v>no</v>
      </c>
      <c r="I6" s="5" t="n">
        <v>0.324</v>
      </c>
      <c r="J6" s="5" t="n">
        <v>0.073</v>
      </c>
      <c r="K6" s="5" t="n">
        <v>0.067</v>
      </c>
      <c r="L6" s="7" t="str">
        <f aca="false">IF(ABS(I6-C6)&gt;1.96*D6,"yes","no")</f>
        <v>no</v>
      </c>
      <c r="M6" s="5" t="n">
        <v>0.317</v>
      </c>
      <c r="N6" s="5" t="n">
        <v>0.115</v>
      </c>
      <c r="O6" s="5" t="n">
        <v>0.129</v>
      </c>
      <c r="P6" s="7" t="str">
        <f aca="false">IF(ABS(M6-C6)&gt;1.96*D6,"yes","no")</f>
        <v>no</v>
      </c>
    </row>
    <row r="7" customFormat="false" ht="15" hidden="false" customHeight="false" outlineLevel="0" collapsed="false">
      <c r="A7" s="4" t="s">
        <v>29</v>
      </c>
      <c r="B7" s="7" t="s">
        <v>490</v>
      </c>
      <c r="C7" s="5" t="n">
        <v>0.437</v>
      </c>
      <c r="D7" s="5" t="n">
        <v>0.098</v>
      </c>
      <c r="E7" s="5" t="n">
        <v>0.474</v>
      </c>
      <c r="F7" s="5" t="n">
        <v>0.064</v>
      </c>
      <c r="G7" s="5" t="n">
        <v>0.066</v>
      </c>
      <c r="H7" s="7" t="str">
        <f aca="false">IF(ABS(E7-C7)&gt;1.96*D7,"yes","no")</f>
        <v>no</v>
      </c>
      <c r="I7" s="5" t="n">
        <v>0.481</v>
      </c>
      <c r="J7" s="5" t="n">
        <v>0.074</v>
      </c>
      <c r="K7" s="5" t="n">
        <v>0.073</v>
      </c>
      <c r="L7" s="7" t="str">
        <f aca="false">IF(ABS(I7-C7)&gt;1.96*D7,"yes","no")</f>
        <v>no</v>
      </c>
      <c r="M7" s="5" t="n">
        <v>0.469</v>
      </c>
      <c r="N7" s="5" t="n">
        <v>0.125</v>
      </c>
      <c r="O7" s="5" t="n">
        <v>0.142</v>
      </c>
      <c r="P7" s="7" t="str">
        <f aca="false">IF(ABS(M7-C7)&gt;1.96*D7,"yes","no")</f>
        <v>no</v>
      </c>
    </row>
    <row r="8" customFormat="false" ht="15" hidden="false" customHeight="false" outlineLevel="0" collapsed="false">
      <c r="A8" s="4" t="s">
        <v>38</v>
      </c>
      <c r="B8" s="7" t="s">
        <v>490</v>
      </c>
      <c r="C8" s="5" t="n">
        <v>0.627</v>
      </c>
      <c r="D8" s="5" t="n">
        <v>0.262</v>
      </c>
      <c r="E8" s="5" t="n">
        <v>0.747</v>
      </c>
      <c r="F8" s="5" t="n">
        <v>0.119</v>
      </c>
      <c r="G8" s="5" t="n">
        <v>0.139</v>
      </c>
      <c r="H8" s="7" t="str">
        <f aca="false">IF(ABS(E8-C8)&gt;1.96*D8,"yes","no")</f>
        <v>no</v>
      </c>
      <c r="I8" s="5" t="n">
        <v>0.781</v>
      </c>
      <c r="J8" s="5" t="n">
        <v>0.147</v>
      </c>
      <c r="K8" s="5" t="n">
        <v>0.182</v>
      </c>
      <c r="L8" s="7" t="str">
        <f aca="false">IF(ABS(I8-C8)&gt;1.96*D8,"yes","no")</f>
        <v>no</v>
      </c>
      <c r="M8" s="5" t="n">
        <v>0.874</v>
      </c>
      <c r="N8" s="5" t="n">
        <v>0.283</v>
      </c>
      <c r="O8" s="5" t="n">
        <v>0.283</v>
      </c>
      <c r="P8" s="7" t="str">
        <f aca="false">IF(ABS(M8-C8)&gt;1.96*D8,"yes","no")</f>
        <v>no</v>
      </c>
    </row>
    <row r="9" customFormat="false" ht="15" hidden="false" customHeight="false" outlineLevel="0" collapsed="false">
      <c r="A9" s="4" t="s">
        <v>41</v>
      </c>
      <c r="B9" s="7" t="s">
        <v>490</v>
      </c>
      <c r="C9" s="5" t="n">
        <v>-3.189</v>
      </c>
      <c r="D9" s="5" t="n">
        <v>0.479</v>
      </c>
      <c r="E9" s="5" t="n">
        <v>-3.16</v>
      </c>
      <c r="F9" s="5" t="n">
        <v>0.412</v>
      </c>
      <c r="G9" s="5" t="n">
        <v>0.398</v>
      </c>
      <c r="H9" s="7" t="str">
        <f aca="false">IF(ABS(E9-C9)&gt;1.96*D9,"yes","no")</f>
        <v>no</v>
      </c>
      <c r="I9" s="5" t="n">
        <v>-3.198</v>
      </c>
      <c r="J9" s="5" t="n">
        <v>0.448</v>
      </c>
      <c r="K9" s="5" t="n">
        <v>0.412</v>
      </c>
      <c r="L9" s="7" t="str">
        <f aca="false">IF(ABS(I9-C9)&gt;1.96*D9,"yes","no")</f>
        <v>no</v>
      </c>
      <c r="M9" s="5" t="n">
        <v>-3.237</v>
      </c>
      <c r="N9" s="5" t="n">
        <v>0.559</v>
      </c>
      <c r="O9" s="5" t="n">
        <v>0.635</v>
      </c>
      <c r="P9" s="7" t="str">
        <f aca="false">IF(ABS(M9-C9)&gt;1.96*D9,"yes","no")</f>
        <v>no</v>
      </c>
    </row>
    <row r="10" customFormat="false" ht="15" hidden="false" customHeight="false" outlineLevel="0" collapsed="false">
      <c r="A10" s="4" t="s">
        <v>61</v>
      </c>
      <c r="B10" s="7" t="s">
        <v>491</v>
      </c>
      <c r="C10" s="5" t="n">
        <v>-0.211</v>
      </c>
      <c r="D10" s="5" t="n">
        <v>0.062</v>
      </c>
      <c r="E10" s="5" t="n">
        <v>-0.176</v>
      </c>
      <c r="F10" s="5" t="n">
        <v>0.049</v>
      </c>
      <c r="G10" s="5" t="n">
        <v>0.051</v>
      </c>
      <c r="H10" s="7" t="str">
        <f aca="false">IF(ABS(E10-C10)&gt;1.96*D10,"yes","no")</f>
        <v>no</v>
      </c>
      <c r="I10" s="5" t="n">
        <v>-0.184</v>
      </c>
      <c r="J10" s="5" t="n">
        <v>0.052</v>
      </c>
      <c r="K10" s="5" t="n">
        <v>0.055</v>
      </c>
      <c r="L10" s="7" t="str">
        <f aca="false">IF(ABS(I10-C10)&gt;1.96*D10,"yes","no")</f>
        <v>no</v>
      </c>
      <c r="M10" s="5" t="n">
        <v>-0.184</v>
      </c>
      <c r="N10" s="5" t="n">
        <v>0.062</v>
      </c>
      <c r="O10" s="5" t="n">
        <v>0.093</v>
      </c>
      <c r="P10" s="7" t="str">
        <f aca="false">IF(ABS(M10-C10)&gt;1.96*D10,"yes","no")</f>
        <v>no</v>
      </c>
    </row>
    <row r="11" customFormat="false" ht="15" hidden="false" customHeight="false" outlineLevel="0" collapsed="false">
      <c r="A11" s="4" t="s">
        <v>79</v>
      </c>
      <c r="B11" s="7" t="s">
        <v>491</v>
      </c>
      <c r="C11" s="5" t="n">
        <v>-0.218</v>
      </c>
      <c r="D11" s="5" t="n">
        <v>0.09</v>
      </c>
      <c r="E11" s="5" t="n">
        <v>-0.239</v>
      </c>
      <c r="F11" s="5" t="n">
        <v>0.068</v>
      </c>
      <c r="G11" s="5" t="n">
        <v>0.073</v>
      </c>
      <c r="H11" s="7" t="str">
        <f aca="false">IF(ABS(E11-C11)&gt;1.96*D11,"yes","no")</f>
        <v>no</v>
      </c>
      <c r="I11" s="5" t="n">
        <v>-0.242</v>
      </c>
      <c r="J11" s="5" t="n">
        <v>0.078</v>
      </c>
      <c r="K11" s="5" t="n">
        <v>0.079</v>
      </c>
      <c r="L11" s="7" t="str">
        <f aca="false">IF(ABS(I11-C11)&gt;1.96*D11,"yes","no")</f>
        <v>no</v>
      </c>
      <c r="M11" s="5" t="n">
        <v>-0.194</v>
      </c>
      <c r="N11" s="5" t="n">
        <v>0.117</v>
      </c>
      <c r="O11" s="5" t="n">
        <v>0.133</v>
      </c>
      <c r="P11" s="7" t="str">
        <f aca="false">IF(ABS(M11-C11)&gt;1.96*D11,"yes","no")</f>
        <v>no</v>
      </c>
    </row>
    <row r="12" customFormat="false" ht="15" hidden="false" customHeight="false" outlineLevel="0" collapsed="false">
      <c r="A12" s="4" t="s">
        <v>63</v>
      </c>
      <c r="B12" s="7" t="s">
        <v>491</v>
      </c>
      <c r="C12" s="5" t="n">
        <v>-0.003</v>
      </c>
      <c r="D12" s="5" t="n">
        <v>0.052</v>
      </c>
      <c r="E12" s="5" t="n">
        <v>-0.04</v>
      </c>
      <c r="F12" s="5" t="n">
        <v>0.042</v>
      </c>
      <c r="G12" s="5"/>
      <c r="H12" s="7" t="str">
        <f aca="false">IF(ABS(E12-C12)&gt;1.96*D12,"yes","no")</f>
        <v>no</v>
      </c>
      <c r="I12" s="5" t="n">
        <v>-0.012</v>
      </c>
      <c r="J12" s="5" t="n">
        <v>0.045</v>
      </c>
      <c r="K12" s="5"/>
      <c r="L12" s="7" t="str">
        <f aca="false">IF(ABS(I12-C12)&gt;1.96*D12,"yes","no")</f>
        <v>no</v>
      </c>
      <c r="M12" s="5" t="n">
        <v>-0.033</v>
      </c>
      <c r="N12" s="5" t="n">
        <v>0.054</v>
      </c>
      <c r="O12" s="5"/>
      <c r="P12" s="7" t="str">
        <f aca="false">IF(ABS(M12-C12)&gt;1.96*D12,"yes","no")</f>
        <v>no</v>
      </c>
    </row>
    <row r="13" customFormat="false" ht="15" hidden="false" customHeight="false" outlineLevel="0" collapsed="false">
      <c r="A13" s="4" t="s">
        <v>65</v>
      </c>
      <c r="B13" s="7" t="s">
        <v>491</v>
      </c>
      <c r="C13" s="5" t="n">
        <v>-0.146</v>
      </c>
      <c r="D13" s="5" t="n">
        <v>0.088</v>
      </c>
      <c r="E13" s="5" t="n">
        <v>-0.088</v>
      </c>
      <c r="F13" s="5" t="n">
        <v>0.059</v>
      </c>
      <c r="G13" s="5"/>
      <c r="H13" s="7" t="str">
        <f aca="false">IF(ABS(E13-C13)&gt;1.96*D13,"yes","no")</f>
        <v>no</v>
      </c>
      <c r="I13" s="5" t="n">
        <v>-0.104</v>
      </c>
      <c r="J13" s="5" t="n">
        <v>0.072</v>
      </c>
      <c r="K13" s="5"/>
      <c r="L13" s="7" t="str">
        <f aca="false">IF(ABS(I13-C13)&gt;1.96*D13,"yes","no")</f>
        <v>no</v>
      </c>
      <c r="M13" s="5" t="n">
        <v>-0.089</v>
      </c>
      <c r="N13" s="5" t="n">
        <v>0.102</v>
      </c>
      <c r="O13" s="5"/>
      <c r="P13" s="7" t="str">
        <f aca="false">IF(ABS(M13-C13)&gt;1.96*D13,"yes","no")</f>
        <v>no</v>
      </c>
    </row>
    <row r="14" customFormat="false" ht="15" hidden="false" customHeight="false" outlineLevel="0" collapsed="false">
      <c r="A14" s="4" t="s">
        <v>67</v>
      </c>
      <c r="B14" s="7" t="s">
        <v>491</v>
      </c>
      <c r="C14" s="5" t="n">
        <v>-0.265</v>
      </c>
      <c r="D14" s="5" t="n">
        <v>0.733</v>
      </c>
      <c r="E14" s="5" t="n">
        <v>-0.629</v>
      </c>
      <c r="F14" s="5" t="n">
        <v>0.411</v>
      </c>
      <c r="G14" s="5"/>
      <c r="H14" s="7" t="str">
        <f aca="false">IF(ABS(E14-C14)&gt;1.96*D14,"yes","no")</f>
        <v>no</v>
      </c>
      <c r="I14" s="5" t="n">
        <v>-0.582</v>
      </c>
      <c r="J14" s="5" t="n">
        <v>0.538</v>
      </c>
      <c r="K14" s="5"/>
      <c r="L14" s="7" t="str">
        <f aca="false">IF(ABS(I14-C14)&gt;1.96*D14,"yes","no")</f>
        <v>no</v>
      </c>
      <c r="M14" s="5" t="n">
        <v>-0.403</v>
      </c>
      <c r="N14" s="5" t="n">
        <v>0.823</v>
      </c>
      <c r="O14" s="5"/>
      <c r="P14" s="7" t="str">
        <f aca="false">IF(ABS(M14-C14)&gt;1.96*D14,"yes","no")</f>
        <v>no</v>
      </c>
    </row>
    <row r="15" customFormat="false" ht="15" hidden="false" customHeight="false" outlineLevel="0" collapsed="false">
      <c r="A15" s="4" t="s">
        <v>33</v>
      </c>
      <c r="B15" s="7" t="s">
        <v>491</v>
      </c>
      <c r="C15" s="5" t="n">
        <v>0.145</v>
      </c>
      <c r="D15" s="5" t="n">
        <v>0.1</v>
      </c>
      <c r="E15" s="5" t="n">
        <v>0.103</v>
      </c>
      <c r="F15" s="5" t="n">
        <v>0.067</v>
      </c>
      <c r="G15" s="5"/>
      <c r="H15" s="7" t="str">
        <f aca="false">IF(ABS(E15-C15)&gt;1.96*D15,"yes","no")</f>
        <v>no</v>
      </c>
      <c r="I15" s="5" t="n">
        <v>0.127</v>
      </c>
      <c r="J15" s="5" t="n">
        <v>0.082</v>
      </c>
      <c r="K15" s="5"/>
      <c r="L15" s="7" t="str">
        <f aca="false">IF(ABS(I15-C15)&gt;1.96*D15,"yes","no")</f>
        <v>no</v>
      </c>
      <c r="M15" s="5" t="n">
        <v>0.196</v>
      </c>
      <c r="N15" s="5" t="n">
        <v>0.128</v>
      </c>
      <c r="O15" s="5"/>
      <c r="P15" s="7" t="str">
        <f aca="false">IF(ABS(M15-C15)&gt;1.96*D15,"yes","no")</f>
        <v>no</v>
      </c>
    </row>
    <row r="16" customFormat="false" ht="15" hidden="false" customHeight="false" outlineLevel="0" collapsed="false">
      <c r="A16" s="4" t="s">
        <v>71</v>
      </c>
      <c r="B16" s="7" t="s">
        <v>491</v>
      </c>
      <c r="C16" s="5" t="n">
        <v>0.172</v>
      </c>
      <c r="D16" s="5" t="n">
        <v>0.113</v>
      </c>
      <c r="E16" s="5" t="n">
        <v>0.166</v>
      </c>
      <c r="F16" s="5" t="n">
        <v>0.067</v>
      </c>
      <c r="G16" s="5"/>
      <c r="H16" s="7" t="str">
        <f aca="false">IF(ABS(E16-C16)&gt;1.96*D16,"yes","no")</f>
        <v>no</v>
      </c>
      <c r="I16" s="5" t="n">
        <v>0.189</v>
      </c>
      <c r="J16" s="5" t="n">
        <v>0.081</v>
      </c>
      <c r="K16" s="5"/>
      <c r="L16" s="7" t="str">
        <f aca="false">IF(ABS(I16-C16)&gt;1.96*D16,"yes","no")</f>
        <v>no</v>
      </c>
      <c r="M16" s="5" t="n">
        <v>0.205</v>
      </c>
      <c r="N16" s="5" t="n">
        <v>0.127</v>
      </c>
      <c r="O16" s="5"/>
      <c r="P16" s="7" t="str">
        <f aca="false">IF(ABS(M16-C16)&gt;1.96*D16,"yes","no")</f>
        <v>no</v>
      </c>
    </row>
    <row r="17" customFormat="false" ht="15" hidden="false" customHeight="false" outlineLevel="0" collapsed="false">
      <c r="A17" s="4" t="s">
        <v>73</v>
      </c>
      <c r="B17" s="7" t="s">
        <v>491</v>
      </c>
      <c r="C17" s="5" t="n">
        <v>-0.088</v>
      </c>
      <c r="D17" s="5" t="n">
        <v>0.093</v>
      </c>
      <c r="E17" s="5" t="n">
        <v>-0.074</v>
      </c>
      <c r="F17" s="5" t="n">
        <v>0.061</v>
      </c>
      <c r="G17" s="5"/>
      <c r="H17" s="7" t="str">
        <f aca="false">IF(ABS(E17-C17)&gt;1.96*D17,"yes","no")</f>
        <v>no</v>
      </c>
      <c r="I17" s="5" t="n">
        <v>-0.091</v>
      </c>
      <c r="J17" s="5" t="n">
        <v>0.077</v>
      </c>
      <c r="K17" s="5"/>
      <c r="L17" s="7" t="str">
        <f aca="false">IF(ABS(I17-C17)&gt;1.96*D17,"yes","no")</f>
        <v>no</v>
      </c>
      <c r="M17" s="5" t="n">
        <v>-0.102</v>
      </c>
      <c r="N17" s="5" t="n">
        <v>0.102</v>
      </c>
      <c r="O17" s="5"/>
      <c r="P17" s="7" t="str">
        <f aca="false">IF(ABS(M17-C17)&gt;1.96*D17,"yes","no")</f>
        <v>no</v>
      </c>
    </row>
    <row r="18" customFormat="false" ht="15" hidden="false" customHeight="false" outlineLevel="0" collapsed="false">
      <c r="A18" s="4" t="s">
        <v>75</v>
      </c>
      <c r="B18" s="7" t="s">
        <v>491</v>
      </c>
      <c r="C18" s="5" t="n">
        <v>0.016</v>
      </c>
      <c r="D18" s="5" t="n">
        <v>0.101</v>
      </c>
      <c r="E18" s="5" t="n">
        <v>0.007</v>
      </c>
      <c r="F18" s="5" t="n">
        <v>0.064</v>
      </c>
      <c r="G18" s="5"/>
      <c r="H18" s="7" t="str">
        <f aca="false">IF(ABS(E18-C18)&gt;1.96*D18,"yes","no")</f>
        <v>no</v>
      </c>
      <c r="I18" s="5" t="n">
        <v>0.006</v>
      </c>
      <c r="J18" s="5" t="n">
        <v>0.076</v>
      </c>
      <c r="K18" s="5"/>
      <c r="L18" s="7" t="str">
        <f aca="false">IF(ABS(I18-C18)&gt;1.96*D18,"yes","no")</f>
        <v>no</v>
      </c>
      <c r="M18" s="5" t="n">
        <v>0.012</v>
      </c>
      <c r="N18" s="5" t="n">
        <v>0.109</v>
      </c>
      <c r="O18" s="5"/>
      <c r="P18" s="7" t="str">
        <f aca="false">IF(ABS(M18-C18)&gt;1.96*D18,"yes","no")</f>
        <v>no</v>
      </c>
    </row>
    <row r="19" customFormat="false" ht="15" hidden="false" customHeight="false" outlineLevel="0" collapsed="false">
      <c r="A19" s="4" t="s">
        <v>77</v>
      </c>
      <c r="B19" s="7" t="s">
        <v>491</v>
      </c>
      <c r="C19" s="5" t="n">
        <v>-0.188</v>
      </c>
      <c r="D19" s="5" t="n">
        <v>0.111</v>
      </c>
      <c r="E19" s="5" t="n">
        <v>-0.275</v>
      </c>
      <c r="F19" s="5" t="n">
        <v>0.074</v>
      </c>
      <c r="G19" s="5"/>
      <c r="H19" s="7" t="str">
        <f aca="false">IF(ABS(E19-C19)&gt;1.96*D19,"yes","no")</f>
        <v>no</v>
      </c>
      <c r="I19" s="5" t="n">
        <v>-0.243</v>
      </c>
      <c r="J19" s="5" t="n">
        <v>0.091</v>
      </c>
      <c r="K19" s="5"/>
      <c r="L19" s="7" t="str">
        <f aca="false">IF(ABS(I19-C19)&gt;1.96*D19,"yes","no")</f>
        <v>no</v>
      </c>
      <c r="M19" s="5" t="n">
        <v>-0.233</v>
      </c>
      <c r="N19" s="5" t="n">
        <v>0.127</v>
      </c>
      <c r="O19" s="5"/>
      <c r="P19" s="7" t="str">
        <f aca="false">IF(ABS(M19-C19)&gt;1.96*D19,"yes","no")</f>
        <v>no</v>
      </c>
    </row>
    <row r="20" customFormat="false" ht="15" hidden="false" customHeight="false" outlineLevel="0" collapsed="false">
      <c r="A20" s="4" t="s">
        <v>81</v>
      </c>
      <c r="B20" s="7" t="s">
        <v>491</v>
      </c>
      <c r="C20" s="5" t="n">
        <v>0.027</v>
      </c>
      <c r="D20" s="5" t="n">
        <v>0.102</v>
      </c>
      <c r="E20" s="5" t="n">
        <v>-0.014</v>
      </c>
      <c r="F20" s="5" t="n">
        <v>0.071</v>
      </c>
      <c r="G20" s="5"/>
      <c r="H20" s="7" t="str">
        <f aca="false">IF(ABS(E20-C20)&gt;1.96*D20,"yes","no")</f>
        <v>no</v>
      </c>
      <c r="I20" s="5" t="n">
        <v>-0.048</v>
      </c>
      <c r="J20" s="5" t="n">
        <v>0.084</v>
      </c>
      <c r="K20" s="5"/>
      <c r="L20" s="7" t="str">
        <f aca="false">IF(ABS(I20-C20)&gt;1.96*D20,"yes","no")</f>
        <v>no</v>
      </c>
      <c r="M20" s="5" t="n">
        <v>-0.017</v>
      </c>
      <c r="N20" s="5" t="n">
        <v>0.117</v>
      </c>
      <c r="O20" s="5"/>
      <c r="P20" s="7" t="str">
        <f aca="false">IF(ABS(M20-C20)&gt;1.96*D20,"yes","no")</f>
        <v>no</v>
      </c>
    </row>
    <row r="21" customFormat="false" ht="23.85" hidden="false" customHeight="false" outlineLevel="0" collapsed="false">
      <c r="A21" s="4" t="s">
        <v>35</v>
      </c>
      <c r="B21" s="7" t="s">
        <v>491</v>
      </c>
      <c r="C21" s="5" t="n">
        <v>0.085</v>
      </c>
      <c r="D21" s="5" t="n">
        <v>0.123</v>
      </c>
      <c r="E21" s="5" t="n">
        <v>0.04</v>
      </c>
      <c r="F21" s="5" t="n">
        <v>0.078</v>
      </c>
      <c r="G21" s="5"/>
      <c r="H21" s="7" t="str">
        <f aca="false">IF(ABS(E21-C21)&gt;1.96*D21,"yes","no")</f>
        <v>no</v>
      </c>
      <c r="I21" s="5" t="n">
        <v>0.045</v>
      </c>
      <c r="J21" s="5" t="n">
        <v>0.095</v>
      </c>
      <c r="K21" s="5"/>
      <c r="L21" s="7" t="str">
        <f aca="false">IF(ABS(I21-C21)&gt;1.96*D21,"yes","no")</f>
        <v>no</v>
      </c>
      <c r="M21" s="5" t="n">
        <v>0.033</v>
      </c>
      <c r="N21" s="5" t="n">
        <v>0.135</v>
      </c>
      <c r="O21" s="5"/>
      <c r="P21" s="7" t="str">
        <f aca="false">IF(ABS(M21-C21)&gt;1.96*D21,"yes","no")</f>
        <v>no</v>
      </c>
    </row>
    <row r="22" customFormat="false" ht="15" hidden="false" customHeight="false" outlineLevel="0" collapsed="false">
      <c r="A22" s="4" t="s">
        <v>84</v>
      </c>
      <c r="B22" s="7" t="s">
        <v>491</v>
      </c>
      <c r="C22" s="5" t="n">
        <v>-0.104</v>
      </c>
      <c r="D22" s="5" t="n">
        <v>0.112</v>
      </c>
      <c r="E22" s="5" t="n">
        <v>-0.149</v>
      </c>
      <c r="F22" s="5" t="n">
        <v>0.076</v>
      </c>
      <c r="G22" s="5"/>
      <c r="H22" s="7" t="str">
        <f aca="false">IF(ABS(E22-C22)&gt;1.96*D22,"yes","no")</f>
        <v>no</v>
      </c>
      <c r="I22" s="5" t="n">
        <v>-0.148</v>
      </c>
      <c r="J22" s="5" t="n">
        <v>0.087</v>
      </c>
      <c r="K22" s="5"/>
      <c r="L22" s="7" t="str">
        <f aca="false">IF(ABS(I22-C22)&gt;1.96*D22,"yes","no")</f>
        <v>no</v>
      </c>
      <c r="M22" s="5" t="n">
        <v>-0.168</v>
      </c>
      <c r="N22" s="5" t="n">
        <v>0.121</v>
      </c>
      <c r="O22" s="5"/>
      <c r="P22" s="7" t="str">
        <f aca="false">IF(ABS(M22-C22)&gt;1.96*D22,"yes","no")</f>
        <v>no</v>
      </c>
    </row>
    <row r="23" customFormat="false" ht="15" hidden="false" customHeight="false" outlineLevel="0" collapsed="false">
      <c r="A23" s="4" t="s">
        <v>86</v>
      </c>
      <c r="B23" s="7" t="s">
        <v>491</v>
      </c>
      <c r="C23" s="5" t="n">
        <v>-0.017</v>
      </c>
      <c r="D23" s="5" t="n">
        <v>0.102</v>
      </c>
      <c r="E23" s="5" t="n">
        <v>-0.095</v>
      </c>
      <c r="F23" s="5" t="n">
        <v>0.064</v>
      </c>
      <c r="G23" s="5"/>
      <c r="H23" s="7" t="str">
        <f aca="false">IF(ABS(E23-C23)&gt;1.96*D23,"yes","no")</f>
        <v>no</v>
      </c>
      <c r="I23" s="5" t="n">
        <v>-0.098</v>
      </c>
      <c r="J23" s="5" t="n">
        <v>0.075</v>
      </c>
      <c r="K23" s="5"/>
      <c r="L23" s="7" t="str">
        <f aca="false">IF(ABS(I23-C23)&gt;1.96*D23,"yes","no")</f>
        <v>no</v>
      </c>
      <c r="M23" s="5" t="n">
        <v>-0.113</v>
      </c>
      <c r="N23" s="5" t="n">
        <v>0.115</v>
      </c>
      <c r="O23" s="5"/>
      <c r="P23" s="7" t="str">
        <f aca="false">IF(ABS(M23-C23)&gt;1.96*D23,"yes","no")</f>
        <v>no</v>
      </c>
    </row>
    <row r="24" customFormat="false" ht="23.85" hidden="false" customHeight="false" outlineLevel="0" collapsed="false">
      <c r="A24" s="4" t="s">
        <v>88</v>
      </c>
      <c r="B24" s="7" t="s">
        <v>491</v>
      </c>
      <c r="C24" s="5" t="n">
        <v>-0.097</v>
      </c>
      <c r="D24" s="5" t="n">
        <v>0.098</v>
      </c>
      <c r="E24" s="5" t="n">
        <v>-0.088</v>
      </c>
      <c r="F24" s="5" t="n">
        <v>0.062</v>
      </c>
      <c r="G24" s="5"/>
      <c r="H24" s="7" t="str">
        <f aca="false">IF(ABS(E24-C24)&gt;1.96*D24,"yes","no")</f>
        <v>no</v>
      </c>
      <c r="I24" s="5" t="n">
        <v>-0.054</v>
      </c>
      <c r="J24" s="5" t="n">
        <v>0.071</v>
      </c>
      <c r="K24" s="5"/>
      <c r="L24" s="7" t="str">
        <f aca="false">IF(ABS(I24-C24)&gt;1.96*D24,"yes","no")</f>
        <v>no</v>
      </c>
      <c r="M24" s="5" t="n">
        <v>-0.035</v>
      </c>
      <c r="N24" s="5" t="n">
        <v>0.09</v>
      </c>
      <c r="O24" s="5"/>
      <c r="P24" s="7" t="str">
        <f aca="false">IF(ABS(M24-C24)&gt;1.96*D24,"yes","no")</f>
        <v>no</v>
      </c>
    </row>
    <row r="25" customFormat="false" ht="15" hidden="false" customHeight="false" outlineLevel="0" collapsed="false">
      <c r="A25" s="4" t="s">
        <v>98</v>
      </c>
      <c r="B25" s="7" t="s">
        <v>492</v>
      </c>
      <c r="C25" s="5" t="n">
        <v>0.318</v>
      </c>
      <c r="D25" s="5" t="n">
        <v>0.199</v>
      </c>
      <c r="E25" s="5" t="n">
        <v>0.271</v>
      </c>
      <c r="F25" s="5" t="n">
        <v>0.127</v>
      </c>
      <c r="G25" s="5" t="n">
        <v>0.125</v>
      </c>
      <c r="H25" s="7" t="str">
        <f aca="false">IF(ABS(E25-C25)&gt;1.96*D25,"yes","no")</f>
        <v>no</v>
      </c>
      <c r="I25" s="5" t="n">
        <v>0.335</v>
      </c>
      <c r="J25" s="5" t="n">
        <v>0.154</v>
      </c>
      <c r="K25" s="5" t="n">
        <v>0.143</v>
      </c>
      <c r="L25" s="7" t="str">
        <f aca="false">IF(ABS(I25-C25)&gt;1.96*D25,"yes","no")</f>
        <v>no</v>
      </c>
      <c r="M25" s="5" t="n">
        <v>0.401</v>
      </c>
      <c r="N25" s="5" t="n">
        <v>0.239</v>
      </c>
      <c r="O25" s="5" t="n">
        <v>0.273</v>
      </c>
      <c r="P25" s="7" t="str">
        <f aca="false">IF(ABS(M25-C25)&gt;1.96*D25,"yes","no")</f>
        <v>no</v>
      </c>
    </row>
    <row r="26" customFormat="false" ht="15" hidden="false" customHeight="false" outlineLevel="0" collapsed="false">
      <c r="A26" s="4" t="s">
        <v>101</v>
      </c>
      <c r="B26" s="7" t="s">
        <v>492</v>
      </c>
      <c r="C26" s="5" t="n">
        <v>-0.321</v>
      </c>
      <c r="D26" s="5" t="n">
        <v>0.257</v>
      </c>
      <c r="E26" s="5" t="n">
        <v>-0.476</v>
      </c>
      <c r="F26" s="5" t="n">
        <v>0.164</v>
      </c>
      <c r="G26" s="5" t="n">
        <v>0.164</v>
      </c>
      <c r="H26" s="7" t="str">
        <f aca="false">IF(ABS(E26-C26)&gt;1.96*D26,"yes","no")</f>
        <v>no</v>
      </c>
      <c r="I26" s="5" t="n">
        <v>-0.449</v>
      </c>
      <c r="J26" s="5" t="n">
        <v>0.201</v>
      </c>
      <c r="K26" s="5" t="n">
        <v>0.187</v>
      </c>
      <c r="L26" s="7" t="str">
        <f aca="false">IF(ABS(I26-C26)&gt;1.96*D26,"yes","no")</f>
        <v>no</v>
      </c>
      <c r="M26" s="5" t="n">
        <v>-0.381</v>
      </c>
      <c r="N26" s="5" t="n">
        <v>0.322</v>
      </c>
      <c r="O26" s="5" t="n">
        <v>0.345</v>
      </c>
      <c r="P26" s="7" t="str">
        <f aca="false">IF(ABS(M26-C26)&gt;1.96*D26,"yes","no")</f>
        <v>no</v>
      </c>
    </row>
    <row r="27" customFormat="false" ht="15" hidden="false" customHeight="false" outlineLevel="0" collapsed="false">
      <c r="A27" s="4" t="s">
        <v>104</v>
      </c>
      <c r="B27" s="7" t="s">
        <v>492</v>
      </c>
      <c r="C27" s="5" t="n">
        <v>-0.045</v>
      </c>
      <c r="D27" s="5" t="n">
        <v>0.215</v>
      </c>
      <c r="E27" s="5" t="n">
        <v>-0.081</v>
      </c>
      <c r="F27" s="5" t="n">
        <v>0.14</v>
      </c>
      <c r="G27" s="5" t="n">
        <v>0.142</v>
      </c>
      <c r="H27" s="7" t="str">
        <f aca="false">IF(ABS(E27-C27)&gt;1.96*D27,"yes","no")</f>
        <v>no</v>
      </c>
      <c r="I27" s="5" t="n">
        <v>-0.148</v>
      </c>
      <c r="J27" s="5" t="n">
        <v>0.172</v>
      </c>
      <c r="K27" s="5" t="n">
        <v>0.16</v>
      </c>
      <c r="L27" s="7" t="str">
        <f aca="false">IF(ABS(I27-C27)&gt;1.96*D27,"yes","no")</f>
        <v>no</v>
      </c>
      <c r="M27" s="5" t="n">
        <v>-0.096</v>
      </c>
      <c r="N27" s="5" t="n">
        <v>0.276</v>
      </c>
      <c r="O27" s="5" t="n">
        <v>0.301</v>
      </c>
      <c r="P27" s="7" t="str">
        <f aca="false">IF(ABS(M27-C27)&gt;1.96*D27,"yes","no")</f>
        <v>no</v>
      </c>
    </row>
    <row r="28" customFormat="false" ht="15" hidden="false" customHeight="false" outlineLevel="0" collapsed="false">
      <c r="A28" s="4" t="s">
        <v>106</v>
      </c>
      <c r="B28" s="7" t="s">
        <v>492</v>
      </c>
      <c r="C28" s="5" t="n">
        <v>0.176</v>
      </c>
      <c r="D28" s="5" t="n">
        <v>0.236</v>
      </c>
      <c r="E28" s="5" t="n">
        <v>0.102</v>
      </c>
      <c r="F28" s="5" t="n">
        <v>0.142</v>
      </c>
      <c r="G28" s="5" t="n">
        <v>0.143</v>
      </c>
      <c r="H28" s="7" t="str">
        <f aca="false">IF(ABS(E28-C28)&gt;1.96*D28,"yes","no")</f>
        <v>no</v>
      </c>
      <c r="I28" s="5" t="n">
        <v>0.11</v>
      </c>
      <c r="J28" s="5" t="n">
        <v>0.174</v>
      </c>
      <c r="K28" s="5" t="n">
        <v>0.163</v>
      </c>
      <c r="L28" s="7" t="str">
        <f aca="false">IF(ABS(I28-C28)&gt;1.96*D28,"yes","no")</f>
        <v>no</v>
      </c>
      <c r="M28" s="5" t="n">
        <v>0.185</v>
      </c>
      <c r="N28" s="5" t="n">
        <v>0.291</v>
      </c>
      <c r="O28" s="5" t="n">
        <v>0.328</v>
      </c>
      <c r="P28" s="7" t="str">
        <f aca="false">IF(ABS(M28-C28)&gt;1.96*D28,"yes","no")</f>
        <v>no</v>
      </c>
    </row>
    <row r="30" customFormat="false" ht="15" hidden="false" customHeight="false" outlineLevel="0" collapsed="false">
      <c r="A30" s="13" t="s">
        <v>493</v>
      </c>
      <c r="B30" s="14"/>
      <c r="C30" s="14"/>
      <c r="D30" s="14"/>
      <c r="E30" s="14"/>
      <c r="F30" s="14"/>
      <c r="G30" s="14"/>
      <c r="H30" s="14" t="n">
        <f aca="false">COUNTIF(H5:H28,"yes")</f>
        <v>0</v>
      </c>
      <c r="I30" s="14"/>
      <c r="J30" s="14"/>
      <c r="K30" s="14"/>
      <c r="L30" s="14" t="n">
        <f aca="false">COUNTIF(L5:L28,"yes")</f>
        <v>0</v>
      </c>
      <c r="M30" s="14"/>
      <c r="N30" s="14"/>
      <c r="O30" s="14"/>
      <c r="P30" s="14" t="n">
        <f aca="false">COUNTIF(P5:P28,"yes")</f>
        <v>0</v>
      </c>
    </row>
    <row r="32" customFormat="false" ht="15" hidden="false" customHeight="false" outlineLevel="0" collapsed="false">
      <c r="A32" s="8" t="s">
        <v>494</v>
      </c>
    </row>
    <row r="33" customFormat="false" ht="30" hidden="false" customHeight="true" outlineLevel="0" collapsed="false">
      <c r="A33" s="3" t="s">
        <v>495</v>
      </c>
      <c r="B33" s="3" t="s">
        <v>496</v>
      </c>
      <c r="C33" s="3" t="s">
        <v>497</v>
      </c>
      <c r="D33" s="3" t="s">
        <v>498</v>
      </c>
    </row>
    <row r="34" customFormat="false" ht="15" hidden="false" customHeight="false" outlineLevel="0" collapsed="false">
      <c r="A34" s="4" t="s">
        <v>499</v>
      </c>
      <c r="B34" s="5" t="n">
        <v>0.148</v>
      </c>
      <c r="C34" s="5" t="n">
        <v>0.782</v>
      </c>
      <c r="D34" s="5" t="n">
        <v>0</v>
      </c>
    </row>
    <row r="35" customFormat="false" ht="15" hidden="false" customHeight="false" outlineLevel="0" collapsed="false">
      <c r="A35" s="4" t="s">
        <v>500</v>
      </c>
      <c r="B35" s="5" t="n">
        <v>0.094</v>
      </c>
      <c r="C35" s="5" t="n">
        <v>0.847</v>
      </c>
      <c r="D35" s="5" t="n">
        <v>0.006</v>
      </c>
    </row>
    <row r="36" customFormat="false" ht="15" hidden="false" customHeight="false" outlineLevel="0" collapsed="false">
      <c r="A36" s="4" t="s">
        <v>501</v>
      </c>
      <c r="B36" s="5" t="n">
        <v>0.082</v>
      </c>
      <c r="C36" s="5" t="n">
        <v>0.96</v>
      </c>
      <c r="D36" s="5" t="n">
        <v>0.045</v>
      </c>
    </row>
    <row r="38" customFormat="false" ht="15" hidden="false" customHeight="false" outlineLevel="0" collapsed="false">
      <c r="A38" s="8" t="s">
        <v>502</v>
      </c>
    </row>
    <row r="39" customFormat="false" ht="43.5" hidden="false" customHeight="true" outlineLevel="0" collapsed="false">
      <c r="A39" s="3" t="s">
        <v>495</v>
      </c>
      <c r="B39" s="3" t="s">
        <v>503</v>
      </c>
      <c r="C39" s="3" t="s">
        <v>504</v>
      </c>
      <c r="D39" s="3" t="s">
        <v>505</v>
      </c>
      <c r="E39" s="3" t="s">
        <v>506</v>
      </c>
      <c r="F39" s="3" t="s">
        <v>507</v>
      </c>
    </row>
    <row r="40" customFormat="false" ht="15" hidden="false" customHeight="false" outlineLevel="0" collapsed="false">
      <c r="A40" s="4" t="s">
        <v>508</v>
      </c>
      <c r="B40" s="5" t="n">
        <v>0.85</v>
      </c>
      <c r="C40" s="5" t="n">
        <v>0.003</v>
      </c>
      <c r="D40" s="5" t="n">
        <v>0.15</v>
      </c>
      <c r="E40" s="7" t="n">
        <v>90</v>
      </c>
      <c r="F40" s="7" t="s">
        <v>27</v>
      </c>
    </row>
    <row r="41" customFormat="false" ht="15" hidden="false" customHeight="false" outlineLevel="0" collapsed="false">
      <c r="A41" s="4" t="s">
        <v>499</v>
      </c>
      <c r="B41" s="5" t="n">
        <v>0.848</v>
      </c>
      <c r="C41" s="5" t="n">
        <v>0.003</v>
      </c>
      <c r="D41" s="5" t="n">
        <v>0.153</v>
      </c>
      <c r="E41" s="7" t="n">
        <v>77</v>
      </c>
      <c r="F41" s="7" t="s">
        <v>27</v>
      </c>
    </row>
    <row r="42" customFormat="false" ht="15" hidden="false" customHeight="false" outlineLevel="0" collapsed="false">
      <c r="A42" s="4" t="s">
        <v>500</v>
      </c>
      <c r="B42" s="5" t="n">
        <v>0.846</v>
      </c>
      <c r="C42" s="5" t="n">
        <v>0.005</v>
      </c>
      <c r="D42" s="5" t="n">
        <v>0.153</v>
      </c>
      <c r="E42" s="7"/>
      <c r="F42" s="7"/>
    </row>
    <row r="43" customFormat="false" ht="15" hidden="false" customHeight="false" outlineLevel="0" collapsed="false">
      <c r="A43" s="4" t="s">
        <v>501</v>
      </c>
      <c r="B43" s="5" t="n">
        <v>0.845</v>
      </c>
      <c r="C43" s="5" t="n">
        <v>0.006</v>
      </c>
      <c r="D43" s="5" t="n">
        <v>0.154</v>
      </c>
      <c r="E43" s="7"/>
      <c r="F43" s="7"/>
    </row>
    <row r="45" customFormat="false" ht="15" hidden="false" customHeight="false" outlineLevel="0" collapsed="false">
      <c r="A45" s="8" t="s">
        <v>509</v>
      </c>
    </row>
    <row r="46" customFormat="false" ht="24" hidden="false" customHeight="true" outlineLevel="0" collapsed="false">
      <c r="A46" s="3" t="s">
        <v>269</v>
      </c>
      <c r="B46" s="3" t="s">
        <v>510</v>
      </c>
    </row>
    <row r="47" customFormat="false" ht="15" hidden="false" customHeight="false" outlineLevel="0" collapsed="false">
      <c r="A47" s="4" t="s">
        <v>277</v>
      </c>
      <c r="B47" s="5" t="n">
        <v>0.03</v>
      </c>
    </row>
    <row r="48" customFormat="false" ht="15" hidden="false" customHeight="false" outlineLevel="0" collapsed="false">
      <c r="A48" s="4" t="s">
        <v>278</v>
      </c>
      <c r="B48" s="5" t="n">
        <v>0.009</v>
      </c>
    </row>
    <row r="49" customFormat="false" ht="15" hidden="false" customHeight="false" outlineLevel="0" collapsed="false">
      <c r="A49" s="4" t="s">
        <v>279</v>
      </c>
      <c r="B49" s="5" t="n">
        <v>0.015</v>
      </c>
    </row>
    <row r="50" customFormat="false" ht="15" hidden="false" customHeight="false" outlineLevel="0" collapsed="false">
      <c r="A50" s="4" t="s">
        <v>281</v>
      </c>
      <c r="B50" s="5" t="n">
        <v>0</v>
      </c>
    </row>
    <row r="51" customFormat="false" ht="15" hidden="false" customHeight="false" outlineLevel="0" collapsed="false">
      <c r="A51" s="4" t="s">
        <v>280</v>
      </c>
      <c r="B51" s="5" t="n">
        <v>0.009</v>
      </c>
    </row>
    <row r="52" customFormat="false" ht="15" hidden="false" customHeight="false" outlineLevel="0" collapsed="false">
      <c r="A52" s="4" t="s">
        <v>282</v>
      </c>
      <c r="B52" s="5" t="n">
        <v>0.022</v>
      </c>
    </row>
    <row r="53" customFormat="false" ht="15" hidden="false" customHeight="false" outlineLevel="0" collapsed="false">
      <c r="A53" s="4" t="s">
        <v>276</v>
      </c>
      <c r="B53" s="5" t="n">
        <v>0.074</v>
      </c>
    </row>
    <row r="54" customFormat="false" ht="15" hidden="false" customHeight="false" outlineLevel="0" collapsed="false">
      <c r="A54" s="4" t="s">
        <v>275</v>
      </c>
      <c r="B54" s="5" t="n">
        <v>0.152</v>
      </c>
    </row>
    <row r="55" customFormat="false" ht="15" hidden="false" customHeight="false" outlineLevel="0" collapsed="false">
      <c r="A55" s="4" t="s">
        <v>284</v>
      </c>
      <c r="B55" s="5" t="n">
        <v>0.005</v>
      </c>
    </row>
    <row r="57" customFormat="false" ht="15" hidden="false" customHeight="false" outlineLevel="0" collapsed="false">
      <c r="A57" s="8" t="s">
        <v>511</v>
      </c>
    </row>
    <row r="58" customFormat="false" ht="24" hidden="false" customHeight="true" outlineLevel="0" collapsed="false">
      <c r="A58" s="3" t="s">
        <v>269</v>
      </c>
      <c r="B58" s="3" t="s">
        <v>512</v>
      </c>
      <c r="C58" s="3" t="s">
        <v>513</v>
      </c>
    </row>
    <row r="59" customFormat="false" ht="15" hidden="false" customHeight="false" outlineLevel="0" collapsed="false">
      <c r="A59" s="4" t="s">
        <v>276</v>
      </c>
      <c r="B59" s="7" t="n">
        <v>0</v>
      </c>
      <c r="C59" s="5" t="n">
        <v>0.314</v>
      </c>
    </row>
    <row r="60" customFormat="false" ht="15" hidden="false" customHeight="false" outlineLevel="0" collapsed="false">
      <c r="A60" s="4" t="s">
        <v>276</v>
      </c>
      <c r="B60" s="7" t="n">
        <v>1</v>
      </c>
      <c r="C60" s="5" t="n">
        <v>0.538</v>
      </c>
    </row>
    <row r="61" customFormat="false" ht="15" hidden="false" customHeight="false" outlineLevel="0" collapsed="false">
      <c r="A61" s="4" t="s">
        <v>275</v>
      </c>
      <c r="B61" s="7" t="n">
        <v>0</v>
      </c>
      <c r="C61" s="5" t="n">
        <v>0.269</v>
      </c>
    </row>
    <row r="62" customFormat="false" ht="15" hidden="false" customHeight="false" outlineLevel="0" collapsed="false">
      <c r="A62" s="4" t="s">
        <v>275</v>
      </c>
      <c r="B62" s="7" t="n">
        <v>1</v>
      </c>
      <c r="C62" s="5" t="n">
        <v>0.582</v>
      </c>
    </row>
    <row r="64" customFormat="false" ht="15" hidden="false" customHeight="false" outlineLevel="0" collapsed="false">
      <c r="A64" s="8" t="s">
        <v>514</v>
      </c>
    </row>
    <row r="65" customFormat="false" ht="39.75" hidden="false" customHeight="true" outlineLevel="0" collapsed="false">
      <c r="A65" s="3" t="s">
        <v>515</v>
      </c>
      <c r="B65" s="3" t="s">
        <v>116</v>
      </c>
      <c r="C65" s="3" t="s">
        <v>516</v>
      </c>
      <c r="D65" s="3" t="s">
        <v>517</v>
      </c>
      <c r="E65" s="3" t="s">
        <v>518</v>
      </c>
      <c r="F65" s="3" t="s">
        <v>519</v>
      </c>
    </row>
    <row r="66" customFormat="false" ht="15" hidden="false" customHeight="false" outlineLevel="0" collapsed="false">
      <c r="A66" s="4" t="s">
        <v>520</v>
      </c>
      <c r="B66" s="4" t="s">
        <v>216</v>
      </c>
      <c r="C66" s="5" t="n">
        <v>0.562</v>
      </c>
      <c r="D66" s="5" t="n">
        <v>0.008</v>
      </c>
      <c r="E66" s="5" t="n">
        <v>0.564</v>
      </c>
      <c r="F66" s="5" t="n">
        <v>0.009</v>
      </c>
    </row>
    <row r="67" customFormat="false" ht="15" hidden="false" customHeight="false" outlineLevel="0" collapsed="false">
      <c r="A67" s="4" t="s">
        <v>521</v>
      </c>
      <c r="B67" s="4" t="s">
        <v>216</v>
      </c>
      <c r="C67" s="5" t="n">
        <v>0.858</v>
      </c>
      <c r="D67" s="5" t="n">
        <v>0.004</v>
      </c>
      <c r="E67" s="5" t="n">
        <v>0.849</v>
      </c>
      <c r="F67" s="5" t="n">
        <v>0.004</v>
      </c>
    </row>
    <row r="68" customFormat="false" ht="15" hidden="false" customHeight="false" outlineLevel="0" collapsed="false">
      <c r="A68" s="4" t="s">
        <v>522</v>
      </c>
      <c r="B68" s="4" t="s">
        <v>216</v>
      </c>
      <c r="C68" s="5" t="n">
        <v>0.845</v>
      </c>
      <c r="D68" s="5" t="n">
        <v>0.005</v>
      </c>
      <c r="E68" s="5" t="n">
        <v>0.86</v>
      </c>
      <c r="F68" s="5" t="n">
        <v>0.004</v>
      </c>
    </row>
    <row r="69" customFormat="false" ht="23.85" hidden="false" customHeight="false" outlineLevel="0" collapsed="false">
      <c r="A69" s="4" t="s">
        <v>520</v>
      </c>
      <c r="B69" s="4" t="s">
        <v>523</v>
      </c>
      <c r="C69" s="5" t="n">
        <v>0.579</v>
      </c>
      <c r="D69" s="5" t="n">
        <v>0.008</v>
      </c>
      <c r="E69" s="5" t="n">
        <v>0.551</v>
      </c>
      <c r="F69" s="5" t="n">
        <v>0.011</v>
      </c>
    </row>
    <row r="70" customFormat="false" ht="23.85" hidden="false" customHeight="false" outlineLevel="0" collapsed="false">
      <c r="A70" s="4" t="s">
        <v>520</v>
      </c>
      <c r="B70" s="4" t="s">
        <v>524</v>
      </c>
      <c r="C70" s="5" t="n">
        <v>0.573</v>
      </c>
      <c r="D70" s="5" t="n">
        <v>0.018</v>
      </c>
      <c r="E70" s="5" t="n">
        <v>0.542</v>
      </c>
      <c r="F70" s="5" t="n">
        <v>0.013</v>
      </c>
    </row>
  </sheetData>
  <mergeCells count="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4"/>
    <col collapsed="false" customWidth="true" hidden="false" outlineLevel="0" max="3" min="3" style="0" width="16"/>
    <col collapsed="false" customWidth="true" hidden="false" outlineLevel="0" max="4" min="4" style="0" width="12"/>
    <col collapsed="false" customWidth="true" hidden="false" outlineLevel="0" max="5" min="5" style="0" width="40"/>
    <col collapsed="false" customWidth="true" hidden="false" outlineLevel="0" max="8" min="6" style="0" width="13"/>
  </cols>
  <sheetData>
    <row r="1" customFormat="false" ht="15" hidden="false" customHeight="false" outlineLevel="0" collapsed="false">
      <c r="A1" s="1" t="s">
        <v>525</v>
      </c>
    </row>
    <row r="2" customFormat="false" ht="138" hidden="false" customHeight="true" outlineLevel="0" collapsed="false">
      <c r="A2" s="2" t="s">
        <v>526</v>
      </c>
      <c r="B2" s="2"/>
      <c r="C2" s="2"/>
      <c r="D2" s="2"/>
      <c r="E2" s="2"/>
      <c r="F2" s="2"/>
      <c r="G2" s="2"/>
      <c r="H2" s="2"/>
    </row>
    <row r="4" customFormat="false" ht="30" hidden="false" customHeight="true" outlineLevel="0" collapsed="false">
      <c r="A4" s="3" t="s">
        <v>527</v>
      </c>
      <c r="B4" s="3" t="s">
        <v>528</v>
      </c>
      <c r="C4" s="3" t="s">
        <v>529</v>
      </c>
      <c r="D4" s="3" t="s">
        <v>402</v>
      </c>
      <c r="E4" s="3" t="s">
        <v>17</v>
      </c>
    </row>
    <row r="5" customFormat="false" ht="15" hidden="false" customHeight="false" outlineLevel="0" collapsed="false">
      <c r="A5" s="4" t="s">
        <v>530</v>
      </c>
      <c r="B5" s="5" t="n">
        <v>209</v>
      </c>
      <c r="C5" s="5" t="n">
        <v>209</v>
      </c>
      <c r="D5" s="5" t="n">
        <f aca="false">IF(AND(ISNUMBER(B5),ISNUMBER(C5)),C5-B5,"")</f>
        <v>0</v>
      </c>
      <c r="E5" s="4" t="s">
        <v>531</v>
      </c>
    </row>
    <row r="6" customFormat="false" ht="15" hidden="false" customHeight="false" outlineLevel="0" collapsed="false">
      <c r="A6" s="4" t="s">
        <v>532</v>
      </c>
      <c r="B6" s="5" t="s">
        <v>133</v>
      </c>
      <c r="C6" s="5" t="s">
        <v>133</v>
      </c>
      <c r="D6" s="5" t="str">
        <f aca="false">IF(AND(ISNUMBER(B6),ISNUMBER(C6)),C6-B6,"")</f>
        <v/>
      </c>
      <c r="E6" s="4" t="s">
        <v>531</v>
      </c>
    </row>
    <row r="7" customFormat="false" ht="15" hidden="false" customHeight="false" outlineLevel="0" collapsed="false">
      <c r="A7" s="4" t="s">
        <v>533</v>
      </c>
      <c r="B7" s="5" t="n">
        <v>1.244</v>
      </c>
      <c r="C7" s="5" t="n">
        <v>1.244</v>
      </c>
      <c r="D7" s="5" t="n">
        <f aca="false">IF(AND(ISNUMBER(B7),ISNUMBER(C7)),C7-B7,"")</f>
        <v>0</v>
      </c>
      <c r="E7" s="4" t="s">
        <v>531</v>
      </c>
    </row>
    <row r="8" customFormat="false" ht="15" hidden="false" customHeight="false" outlineLevel="0" collapsed="false">
      <c r="A8" s="4" t="s">
        <v>534</v>
      </c>
      <c r="B8" s="5" t="n">
        <v>0.219</v>
      </c>
      <c r="C8" s="5" t="n">
        <v>0.219</v>
      </c>
      <c r="D8" s="5" t="n">
        <f aca="false">IF(AND(ISNUMBER(B8),ISNUMBER(C8)),C8-B8,"")</f>
        <v>0</v>
      </c>
      <c r="E8" s="4" t="s">
        <v>531</v>
      </c>
    </row>
    <row r="9" customFormat="false" ht="15" hidden="false" customHeight="false" outlineLevel="0" collapsed="false">
      <c r="A9" s="4" t="s">
        <v>535</v>
      </c>
      <c r="B9" s="5" t="n">
        <v>-1.763</v>
      </c>
      <c r="C9" s="5" t="n">
        <v>-1.763</v>
      </c>
      <c r="D9" s="5" t="n">
        <f aca="false">IF(AND(ISNUMBER(B9),ISNUMBER(C9)),C9-B9,"")</f>
        <v>0</v>
      </c>
      <c r="E9" s="4" t="s">
        <v>531</v>
      </c>
    </row>
    <row r="10" customFormat="false" ht="15" hidden="false" customHeight="false" outlineLevel="0" collapsed="false">
      <c r="A10" s="4" t="s">
        <v>536</v>
      </c>
      <c r="B10" s="5" t="n">
        <v>-1.232</v>
      </c>
      <c r="C10" s="5" t="n">
        <v>-1.232</v>
      </c>
      <c r="D10" s="5" t="n">
        <f aca="false">IF(AND(ISNUMBER(B10),ISNUMBER(C10)),C10-B10,"")</f>
        <v>0</v>
      </c>
      <c r="E10" s="4" t="s">
        <v>531</v>
      </c>
    </row>
    <row r="11" customFormat="false" ht="15" hidden="false" customHeight="false" outlineLevel="0" collapsed="false">
      <c r="A11" s="4" t="s">
        <v>537</v>
      </c>
      <c r="B11" s="5" t="n">
        <v>0.581</v>
      </c>
      <c r="C11" s="5" t="n">
        <v>0.581</v>
      </c>
      <c r="D11" s="5" t="n">
        <f aca="false">IF(AND(ISNUMBER(B11),ISNUMBER(C11)),C11-B11,"")</f>
        <v>0</v>
      </c>
      <c r="E11" s="4" t="s">
        <v>531</v>
      </c>
    </row>
    <row r="12" customFormat="false" ht="15" hidden="false" customHeight="false" outlineLevel="0" collapsed="false">
      <c r="A12" s="4" t="s">
        <v>538</v>
      </c>
      <c r="B12" s="5" t="n">
        <v>-0.032</v>
      </c>
      <c r="C12" s="5" t="n">
        <v>-0.032</v>
      </c>
      <c r="D12" s="5" t="n">
        <f aca="false">IF(AND(ISNUMBER(B12),ISNUMBER(C12)),C12-B12,"")</f>
        <v>0</v>
      </c>
      <c r="E12" s="4" t="s">
        <v>531</v>
      </c>
    </row>
    <row r="13" customFormat="false" ht="15" hidden="false" customHeight="false" outlineLevel="0" collapsed="false">
      <c r="A13" s="4" t="s">
        <v>539</v>
      </c>
      <c r="B13" s="5" t="n">
        <v>1.935</v>
      </c>
      <c r="C13" s="5" t="n">
        <v>1.935</v>
      </c>
      <c r="D13" s="5" t="n">
        <f aca="false">IF(AND(ISNUMBER(B13),ISNUMBER(C13)),C13-B13,"")</f>
        <v>0</v>
      </c>
      <c r="E13" s="4" t="s">
        <v>531</v>
      </c>
    </row>
    <row r="14" customFormat="false" ht="15" hidden="false" customHeight="false" outlineLevel="0" collapsed="false">
      <c r="A14" s="4" t="s">
        <v>540</v>
      </c>
      <c r="B14" s="5" t="n">
        <v>1.736</v>
      </c>
      <c r="C14" s="5" t="n">
        <v>1.736</v>
      </c>
      <c r="D14" s="5" t="n">
        <f aca="false">IF(AND(ISNUMBER(B14),ISNUMBER(C14)),C14-B14,"")</f>
        <v>0</v>
      </c>
      <c r="E14" s="4" t="s">
        <v>531</v>
      </c>
    </row>
    <row r="15" customFormat="false" ht="15" hidden="false" customHeight="false" outlineLevel="0" collapsed="false">
      <c r="A15" s="4" t="s">
        <v>541</v>
      </c>
      <c r="B15" s="5" t="n">
        <v>2.046</v>
      </c>
      <c r="C15" s="5" t="n">
        <v>2.046</v>
      </c>
      <c r="D15" s="5" t="n">
        <f aca="false">IF(AND(ISNUMBER(B15),ISNUMBER(C15)),C15-B15,"")</f>
        <v>0</v>
      </c>
      <c r="E15" s="4" t="s">
        <v>531</v>
      </c>
    </row>
    <row r="16" customFormat="false" ht="15" hidden="false" customHeight="false" outlineLevel="0" collapsed="false">
      <c r="A16" s="4" t="s">
        <v>542</v>
      </c>
      <c r="B16" s="5" t="n">
        <v>-1.123</v>
      </c>
      <c r="C16" s="5" t="n">
        <v>-1.123</v>
      </c>
      <c r="D16" s="5" t="n">
        <f aca="false">IF(AND(ISNUMBER(B16),ISNUMBER(C16)),C16-B16,"")</f>
        <v>0</v>
      </c>
      <c r="E16" s="4" t="s">
        <v>531</v>
      </c>
    </row>
    <row r="17" customFormat="false" ht="15" hidden="false" customHeight="false" outlineLevel="0" collapsed="false">
      <c r="A17" s="4" t="s">
        <v>543</v>
      </c>
      <c r="B17" s="5" t="n">
        <v>0.35</v>
      </c>
      <c r="C17" s="5" t="n">
        <v>0.35</v>
      </c>
      <c r="D17" s="5" t="n">
        <f aca="false">IF(AND(ISNUMBER(B17),ISNUMBER(C17)),C17-B17,"")</f>
        <v>0</v>
      </c>
      <c r="E17" s="4" t="s">
        <v>531</v>
      </c>
    </row>
    <row r="18" customFormat="false" ht="15" hidden="false" customHeight="false" outlineLevel="0" collapsed="false">
      <c r="A18" s="4" t="s">
        <v>516</v>
      </c>
      <c r="B18" s="5" t="n">
        <v>0.872</v>
      </c>
      <c r="C18" s="5" t="n">
        <v>0.872</v>
      </c>
      <c r="D18" s="5" t="n">
        <f aca="false">IF(AND(ISNUMBER(B18),ISNUMBER(C18)),C18-B18,"")</f>
        <v>0</v>
      </c>
      <c r="E18" s="4" t="s">
        <v>531</v>
      </c>
    </row>
    <row r="19" customFormat="false" ht="15" hidden="false" customHeight="false" outlineLevel="0" collapsed="false">
      <c r="A19" s="4" t="s">
        <v>544</v>
      </c>
      <c r="B19" s="5" t="n">
        <v>93</v>
      </c>
      <c r="C19" s="5" t="n">
        <v>93</v>
      </c>
      <c r="D19" s="5" t="n">
        <f aca="false">IF(AND(ISNUMBER(B19),ISNUMBER(C19)),C19-B19,"")</f>
        <v>0</v>
      </c>
      <c r="E19" s="4" t="s">
        <v>531</v>
      </c>
    </row>
    <row r="20" customFormat="false" ht="15" hidden="false" customHeight="false" outlineLevel="0" collapsed="false">
      <c r="A20" s="4" t="s">
        <v>507</v>
      </c>
      <c r="B20" s="5" t="s">
        <v>27</v>
      </c>
      <c r="C20" s="5" t="s">
        <v>27</v>
      </c>
      <c r="D20" s="5" t="str">
        <f aca="false">IF(AND(ISNUMBER(B20),ISNUMBER(C20)),C20-B20,"")</f>
        <v/>
      </c>
      <c r="E20" s="4" t="s">
        <v>531</v>
      </c>
    </row>
    <row r="21" customFormat="false" ht="15" hidden="false" customHeight="false" outlineLevel="0" collapsed="false">
      <c r="A21" s="4" t="s">
        <v>545</v>
      </c>
      <c r="B21" s="5" t="n">
        <v>116</v>
      </c>
      <c r="C21" s="5" t="n">
        <v>116</v>
      </c>
      <c r="D21" s="5" t="n">
        <f aca="false">IF(AND(ISNUMBER(B21),ISNUMBER(C21)),C21-B21,"")</f>
        <v>0</v>
      </c>
      <c r="E21" s="4" t="s">
        <v>531</v>
      </c>
    </row>
    <row r="22" customFormat="false" ht="15" hidden="false" customHeight="false" outlineLevel="0" collapsed="false">
      <c r="A22" s="4" t="s">
        <v>546</v>
      </c>
      <c r="B22" s="5" t="n">
        <v>95</v>
      </c>
      <c r="C22" s="5" t="n">
        <v>95</v>
      </c>
      <c r="D22" s="5" t="n">
        <f aca="false">IF(AND(ISNUMBER(B22),ISNUMBER(C22)),C22-B22,"")</f>
        <v>0</v>
      </c>
      <c r="E22" s="4" t="s">
        <v>531</v>
      </c>
    </row>
    <row r="23" customFormat="false" ht="15" hidden="false" customHeight="false" outlineLevel="0" collapsed="false">
      <c r="A23" s="4" t="s">
        <v>547</v>
      </c>
      <c r="B23" s="5" t="n">
        <v>53.4</v>
      </c>
      <c r="C23" s="5" t="n">
        <v>53.4</v>
      </c>
      <c r="D23" s="5" t="n">
        <f aca="false">IF(AND(ISNUMBER(B23),ISNUMBER(C23)),C23-B23,"")</f>
        <v>0</v>
      </c>
      <c r="E23" s="4" t="s">
        <v>531</v>
      </c>
    </row>
    <row r="24" customFormat="false" ht="15" hidden="false" customHeight="false" outlineLevel="0" collapsed="false">
      <c r="A24" s="4" t="s">
        <v>548</v>
      </c>
      <c r="B24" s="5" t="n">
        <v>0.47</v>
      </c>
      <c r="C24" s="5" t="n">
        <v>0.47</v>
      </c>
      <c r="D24" s="5" t="n">
        <f aca="false">IF(AND(ISNUMBER(B24),ISNUMBER(C24)),C24-B24,"")</f>
        <v>0</v>
      </c>
      <c r="E24" s="4" t="s">
        <v>531</v>
      </c>
    </row>
    <row r="25" customFormat="false" ht="15" hidden="false" customHeight="false" outlineLevel="0" collapsed="false">
      <c r="A25" s="4" t="s">
        <v>549</v>
      </c>
      <c r="B25" s="5" t="n">
        <v>-0.14</v>
      </c>
      <c r="C25" s="5" t="n">
        <v>-0.14</v>
      </c>
      <c r="D25" s="5" t="n">
        <f aca="false">IF(AND(ISNUMBER(B25),ISNUMBER(C25)),C25-B25,"")</f>
        <v>0</v>
      </c>
      <c r="E25" s="4" t="s">
        <v>531</v>
      </c>
    </row>
    <row r="26" customFormat="false" ht="15" hidden="false" customHeight="false" outlineLevel="0" collapsed="false">
      <c r="A26" s="4" t="s">
        <v>550</v>
      </c>
      <c r="B26" s="5" t="n">
        <v>0</v>
      </c>
      <c r="C26" s="5" t="n">
        <v>0</v>
      </c>
      <c r="D26" s="5" t="n">
        <f aca="false">IF(AND(ISNUMBER(B26),ISNUMBER(C26)),C26-B26,"")</f>
        <v>0</v>
      </c>
      <c r="E26" s="4" t="s">
        <v>531</v>
      </c>
    </row>
    <row r="27" customFormat="false" ht="15" hidden="false" customHeight="false" outlineLevel="0" collapsed="false">
      <c r="A27" s="4" t="s">
        <v>551</v>
      </c>
      <c r="B27" s="5" t="n">
        <v>0.3</v>
      </c>
      <c r="C27" s="5" t="n">
        <v>0.3</v>
      </c>
      <c r="D27" s="5" t="n">
        <f aca="false">IF(AND(ISNUMBER(B27),ISNUMBER(C27)),C27-B27,"")</f>
        <v>0</v>
      </c>
      <c r="E27" s="4" t="s">
        <v>531</v>
      </c>
    </row>
    <row r="28" customFormat="false" ht="15" hidden="false" customHeight="false" outlineLevel="0" collapsed="false">
      <c r="A28" s="4" t="s">
        <v>552</v>
      </c>
      <c r="B28" s="5" t="n">
        <v>0.15</v>
      </c>
      <c r="C28" s="5" t="n">
        <v>0.15</v>
      </c>
      <c r="D28" s="5" t="n">
        <f aca="false">IF(AND(ISNUMBER(B28),ISNUMBER(C28)),C28-B28,"")</f>
        <v>0</v>
      </c>
      <c r="E28" s="4" t="s">
        <v>531</v>
      </c>
    </row>
    <row r="29" customFormat="false" ht="15" hidden="false" customHeight="false" outlineLevel="0" collapsed="false">
      <c r="A29" s="4" t="s">
        <v>553</v>
      </c>
      <c r="B29" s="5" t="n">
        <v>0</v>
      </c>
      <c r="C29" s="5" t="n">
        <v>0</v>
      </c>
      <c r="D29" s="5" t="n">
        <f aca="false">IF(AND(ISNUMBER(B29),ISNUMBER(C29)),C29-B29,"")</f>
        <v>0</v>
      </c>
      <c r="E29" s="4" t="s">
        <v>531</v>
      </c>
    </row>
    <row r="30" customFormat="false" ht="15" hidden="false" customHeight="false" outlineLevel="0" collapsed="false">
      <c r="A30" s="4" t="s">
        <v>554</v>
      </c>
      <c r="B30" s="5" t="n">
        <v>0.18</v>
      </c>
      <c r="C30" s="5" t="n">
        <v>0.18</v>
      </c>
      <c r="D30" s="5" t="n">
        <f aca="false">IF(AND(ISNUMBER(B30),ISNUMBER(C30)),C30-B30,"")</f>
        <v>0</v>
      </c>
      <c r="E30" s="4" t="s">
        <v>531</v>
      </c>
    </row>
    <row r="31" customFormat="false" ht="23.85" hidden="false" customHeight="false" outlineLevel="0" collapsed="false">
      <c r="A31" s="4" t="s">
        <v>555</v>
      </c>
      <c r="B31" s="5" t="n">
        <v>0.19</v>
      </c>
      <c r="C31" s="5" t="n">
        <v>0.18</v>
      </c>
      <c r="D31" s="5" t="n">
        <f aca="false">IF(AND(ISNUMBER(B31),ISNUMBER(C31)),C31-B31,"")</f>
        <v>-0.01</v>
      </c>
      <c r="E31" s="4" t="s">
        <v>556</v>
      </c>
    </row>
    <row r="32" customFormat="false" ht="15" hidden="false" customHeight="false" outlineLevel="0" collapsed="false">
      <c r="A32" s="4" t="s">
        <v>557</v>
      </c>
      <c r="B32" s="5" t="n">
        <v>0</v>
      </c>
      <c r="C32" s="5" t="n">
        <v>0</v>
      </c>
      <c r="D32" s="5" t="n">
        <f aca="false">IF(AND(ISNUMBER(B32),ISNUMBER(C32)),C32-B32,"")</f>
        <v>0</v>
      </c>
      <c r="E32" s="4" t="s">
        <v>531</v>
      </c>
    </row>
    <row r="33" customFormat="false" ht="15" hidden="false" customHeight="false" outlineLevel="0" collapsed="false">
      <c r="A33" s="4" t="s">
        <v>558</v>
      </c>
      <c r="B33" s="5" t="n">
        <v>0.24</v>
      </c>
      <c r="C33" s="5" t="n">
        <v>0.24</v>
      </c>
      <c r="D33" s="5" t="n">
        <f aca="false">IF(AND(ISNUMBER(B33),ISNUMBER(C33)),C33-B33,"")</f>
        <v>0</v>
      </c>
      <c r="E33" s="4" t="s">
        <v>531</v>
      </c>
    </row>
    <row r="34" customFormat="false" ht="15" hidden="false" customHeight="false" outlineLevel="0" collapsed="false">
      <c r="A34" s="4" t="s">
        <v>559</v>
      </c>
      <c r="B34" s="5" t="n">
        <v>0.26</v>
      </c>
      <c r="C34" s="5" t="n">
        <v>0.26</v>
      </c>
      <c r="D34" s="5" t="n">
        <f aca="false">IF(AND(ISNUMBER(B34),ISNUMBER(C34)),C34-B34,"")</f>
        <v>0</v>
      </c>
      <c r="E34" s="4" t="s">
        <v>531</v>
      </c>
    </row>
    <row r="35" customFormat="false" ht="15" hidden="false" customHeight="false" outlineLevel="0" collapsed="false">
      <c r="A35" s="4" t="s">
        <v>560</v>
      </c>
      <c r="B35" s="5" t="n">
        <v>0</v>
      </c>
      <c r="C35" s="5" t="n">
        <v>0</v>
      </c>
      <c r="D35" s="5" t="n">
        <f aca="false">IF(AND(ISNUMBER(B35),ISNUMBER(C35)),C35-B35,"")</f>
        <v>0</v>
      </c>
      <c r="E35" s="4" t="s">
        <v>531</v>
      </c>
    </row>
    <row r="36" customFormat="false" ht="23.85" hidden="false" customHeight="false" outlineLevel="0" collapsed="false">
      <c r="A36" s="4" t="s">
        <v>561</v>
      </c>
      <c r="B36" s="5" t="n">
        <v>-0.05</v>
      </c>
      <c r="C36" s="5" t="n">
        <v>-0.04</v>
      </c>
      <c r="D36" s="5" t="n">
        <f aca="false">IF(AND(ISNUMBER(B36),ISNUMBER(C36)),C36-B36,"")</f>
        <v>0.01</v>
      </c>
      <c r="E36" s="4" t="s">
        <v>556</v>
      </c>
    </row>
    <row r="37" customFormat="false" ht="15" hidden="false" customHeight="false" outlineLevel="0" collapsed="false">
      <c r="A37" s="4" t="s">
        <v>562</v>
      </c>
      <c r="B37" s="5" t="n">
        <v>0.15</v>
      </c>
      <c r="C37" s="5" t="n">
        <v>0.15</v>
      </c>
      <c r="D37" s="5" t="n">
        <f aca="false">IF(AND(ISNUMBER(B37),ISNUMBER(C37)),C37-B37,"")</f>
        <v>0</v>
      </c>
      <c r="E37" s="4" t="s">
        <v>531</v>
      </c>
    </row>
    <row r="38" customFormat="false" ht="15" hidden="false" customHeight="false" outlineLevel="0" collapsed="false">
      <c r="A38" s="4" t="s">
        <v>563</v>
      </c>
      <c r="B38" s="5" t="n">
        <v>0</v>
      </c>
      <c r="C38" s="5" t="n">
        <v>0</v>
      </c>
      <c r="D38" s="5" t="n">
        <f aca="false">IF(AND(ISNUMBER(B38),ISNUMBER(C38)),C38-B38,"")</f>
        <v>0</v>
      </c>
      <c r="E38" s="4" t="s">
        <v>531</v>
      </c>
    </row>
    <row r="39" customFormat="false" ht="15" hidden="false" customHeight="false" outlineLevel="0" collapsed="false">
      <c r="A39" s="4" t="s">
        <v>564</v>
      </c>
      <c r="B39" s="5" t="n">
        <v>0.04</v>
      </c>
      <c r="C39" s="5" t="n">
        <v>0.04</v>
      </c>
      <c r="D39" s="5" t="n">
        <f aca="false">IF(AND(ISNUMBER(B39),ISNUMBER(C39)),C39-B39,"")</f>
        <v>0</v>
      </c>
      <c r="E39" s="4" t="s">
        <v>531</v>
      </c>
    </row>
    <row r="40" customFormat="false" ht="23.85" hidden="false" customHeight="false" outlineLevel="0" collapsed="false">
      <c r="A40" s="4" t="s">
        <v>565</v>
      </c>
      <c r="B40" s="5" t="n">
        <v>0.08</v>
      </c>
      <c r="C40" s="5" t="n">
        <v>0.09</v>
      </c>
      <c r="D40" s="5" t="n">
        <f aca="false">IF(AND(ISNUMBER(B40),ISNUMBER(C40)),C40-B40,"")</f>
        <v>0.01</v>
      </c>
      <c r="E40" s="4" t="s">
        <v>556</v>
      </c>
    </row>
    <row r="41" customFormat="false" ht="15" hidden="false" customHeight="false" outlineLevel="0" collapsed="false">
      <c r="A41" s="4" t="s">
        <v>566</v>
      </c>
      <c r="B41" s="5" t="n">
        <v>0</v>
      </c>
      <c r="C41" s="5" t="n">
        <v>0</v>
      </c>
      <c r="D41" s="5" t="n">
        <f aca="false">IF(AND(ISNUMBER(B41),ISNUMBER(C41)),C41-B41,"")</f>
        <v>0</v>
      </c>
      <c r="E41" s="4" t="s">
        <v>531</v>
      </c>
    </row>
    <row r="42" customFormat="false" ht="15" hidden="false" customHeight="false" outlineLevel="0" collapsed="false">
      <c r="A42" s="4" t="s">
        <v>567</v>
      </c>
      <c r="B42" s="5" t="n">
        <v>0.05</v>
      </c>
      <c r="C42" s="5" t="n">
        <v>0.05</v>
      </c>
      <c r="D42" s="5" t="n">
        <f aca="false">IF(AND(ISNUMBER(B42),ISNUMBER(C42)),C42-B42,"")</f>
        <v>0</v>
      </c>
      <c r="E42" s="4" t="s">
        <v>531</v>
      </c>
    </row>
    <row r="43" customFormat="false" ht="15" hidden="false" customHeight="false" outlineLevel="0" collapsed="false">
      <c r="A43" s="4" t="s">
        <v>568</v>
      </c>
      <c r="B43" s="5" t="n">
        <v>0.1</v>
      </c>
      <c r="C43" s="5" t="n">
        <v>0.1</v>
      </c>
      <c r="D43" s="5" t="n">
        <f aca="false">IF(AND(ISNUMBER(B43),ISNUMBER(C43)),C43-B43,"")</f>
        <v>0</v>
      </c>
      <c r="E43" s="4" t="s">
        <v>531</v>
      </c>
    </row>
    <row r="44" customFormat="false" ht="15" hidden="false" customHeight="false" outlineLevel="0" collapsed="false">
      <c r="A44" s="4" t="s">
        <v>569</v>
      </c>
      <c r="B44" s="5" t="n">
        <v>0</v>
      </c>
      <c r="C44" s="5" t="n">
        <v>0</v>
      </c>
      <c r="D44" s="5" t="n">
        <f aca="false">IF(AND(ISNUMBER(B44),ISNUMBER(C44)),C44-B44,"")</f>
        <v>0</v>
      </c>
      <c r="E44" s="4" t="s">
        <v>531</v>
      </c>
    </row>
    <row r="45" customFormat="false" ht="15" hidden="false" customHeight="false" outlineLevel="0" collapsed="false">
      <c r="A45" s="4" t="s">
        <v>570</v>
      </c>
      <c r="B45" s="5" t="n">
        <v>0.26</v>
      </c>
      <c r="C45" s="5" t="n">
        <v>0.26</v>
      </c>
      <c r="D45" s="5" t="n">
        <f aca="false">IF(AND(ISNUMBER(B45),ISNUMBER(C45)),C45-B45,"")</f>
        <v>0</v>
      </c>
      <c r="E45" s="4" t="s">
        <v>531</v>
      </c>
    </row>
    <row r="46" customFormat="false" ht="15" hidden="false" customHeight="false" outlineLevel="0" collapsed="false">
      <c r="A46" s="4" t="s">
        <v>571</v>
      </c>
      <c r="B46" s="5" t="n">
        <v>0.12</v>
      </c>
      <c r="C46" s="5" t="n">
        <v>0.12</v>
      </c>
      <c r="D46" s="5" t="n">
        <f aca="false">IF(AND(ISNUMBER(B46),ISNUMBER(C46)),C46-B46,"")</f>
        <v>0</v>
      </c>
      <c r="E46" s="4" t="s">
        <v>531</v>
      </c>
    </row>
    <row r="47" customFormat="false" ht="15" hidden="false" customHeight="false" outlineLevel="0" collapsed="false">
      <c r="A47" s="4" t="s">
        <v>572</v>
      </c>
      <c r="B47" s="5" t="n">
        <v>0</v>
      </c>
      <c r="C47" s="5" t="n">
        <v>0</v>
      </c>
      <c r="D47" s="5" t="n">
        <f aca="false">IF(AND(ISNUMBER(B47),ISNUMBER(C47)),C47-B47,"")</f>
        <v>0</v>
      </c>
      <c r="E47" s="4" t="s">
        <v>531</v>
      </c>
    </row>
    <row r="48" customFormat="false" ht="15" hidden="false" customHeight="false" outlineLevel="0" collapsed="false">
      <c r="A48" s="4" t="s">
        <v>573</v>
      </c>
      <c r="B48" s="5" t="n">
        <v>-0.13</v>
      </c>
      <c r="C48" s="5" t="n">
        <v>-0.13</v>
      </c>
      <c r="D48" s="5" t="n">
        <f aca="false">IF(AND(ISNUMBER(B48),ISNUMBER(C48)),C48-B48,"")</f>
        <v>0</v>
      </c>
      <c r="E48" s="4" t="s">
        <v>531</v>
      </c>
    </row>
    <row r="49" customFormat="false" ht="15" hidden="false" customHeight="false" outlineLevel="0" collapsed="false">
      <c r="A49" s="4" t="s">
        <v>574</v>
      </c>
      <c r="B49" s="5" t="n">
        <v>-0.01</v>
      </c>
      <c r="C49" s="5" t="n">
        <v>-0.01</v>
      </c>
      <c r="D49" s="5" t="n">
        <f aca="false">IF(AND(ISNUMBER(B49),ISNUMBER(C49)),C49-B49,"")</f>
        <v>0</v>
      </c>
      <c r="E49" s="4" t="s">
        <v>531</v>
      </c>
    </row>
    <row r="50" customFormat="false" ht="15" hidden="false" customHeight="false" outlineLevel="0" collapsed="false">
      <c r="A50" s="4" t="s">
        <v>575</v>
      </c>
      <c r="B50" s="5" t="n">
        <v>0</v>
      </c>
      <c r="C50" s="5" t="n">
        <v>0</v>
      </c>
      <c r="D50" s="5" t="n">
        <f aca="false">IF(AND(ISNUMBER(B50),ISNUMBER(C50)),C50-B50,"")</f>
        <v>0</v>
      </c>
      <c r="E50" s="4" t="s">
        <v>531</v>
      </c>
    </row>
    <row r="51" customFormat="false" ht="15" hidden="false" customHeight="false" outlineLevel="0" collapsed="false">
      <c r="A51" s="4" t="s">
        <v>576</v>
      </c>
      <c r="B51" s="5" t="n">
        <v>0.82</v>
      </c>
      <c r="C51" s="5" t="n">
        <v>0.82</v>
      </c>
      <c r="D51" s="5" t="n">
        <f aca="false">IF(AND(ISNUMBER(B51),ISNUMBER(C51)),C51-B51,"")</f>
        <v>0</v>
      </c>
      <c r="E51" s="4" t="s">
        <v>531</v>
      </c>
    </row>
    <row r="52" customFormat="false" ht="15" hidden="false" customHeight="false" outlineLevel="0" collapsed="false">
      <c r="A52" s="4" t="s">
        <v>577</v>
      </c>
      <c r="B52" s="5" t="n">
        <v>0.77</v>
      </c>
      <c r="C52" s="5" t="n">
        <v>0.77</v>
      </c>
      <c r="D52" s="5" t="n">
        <f aca="false">IF(AND(ISNUMBER(B52),ISNUMBER(C52)),C52-B52,"")</f>
        <v>0</v>
      </c>
      <c r="E52" s="4" t="s">
        <v>531</v>
      </c>
    </row>
    <row r="53" customFormat="false" ht="15" hidden="false" customHeight="false" outlineLevel="0" collapsed="false">
      <c r="A53" s="4" t="s">
        <v>578</v>
      </c>
      <c r="B53" s="5" t="n">
        <v>0.77</v>
      </c>
      <c r="C53" s="5" t="n">
        <v>0.77</v>
      </c>
      <c r="D53" s="5" t="n">
        <f aca="false">IF(AND(ISNUMBER(B53),ISNUMBER(C53)),C53-B53,"")</f>
        <v>0</v>
      </c>
      <c r="E53" s="4" t="s">
        <v>531</v>
      </c>
    </row>
    <row r="54" customFormat="false" ht="15" hidden="false" customHeight="false" outlineLevel="0" collapsed="false">
      <c r="A54" s="4" t="s">
        <v>579</v>
      </c>
      <c r="B54" s="5" t="n">
        <v>0.04</v>
      </c>
      <c r="C54" s="5" t="n">
        <v>0.04</v>
      </c>
      <c r="D54" s="5" t="n">
        <f aca="false">IF(AND(ISNUMBER(B54),ISNUMBER(C54)),C54-B54,"")</f>
        <v>0</v>
      </c>
      <c r="E54" s="4" t="s">
        <v>531</v>
      </c>
    </row>
    <row r="55" customFormat="false" ht="15" hidden="false" customHeight="false" outlineLevel="0" collapsed="false">
      <c r="A55" s="4" t="s">
        <v>580</v>
      </c>
      <c r="B55" s="5" t="n">
        <v>0.07</v>
      </c>
      <c r="C55" s="5" t="n">
        <v>0.07</v>
      </c>
      <c r="D55" s="5" t="n">
        <f aca="false">IF(AND(ISNUMBER(B55),ISNUMBER(C55)),C55-B55,"")</f>
        <v>0</v>
      </c>
      <c r="E55" s="4" t="s">
        <v>531</v>
      </c>
    </row>
    <row r="56" customFormat="false" ht="15" hidden="false" customHeight="false" outlineLevel="0" collapsed="false">
      <c r="A56" s="4" t="s">
        <v>581</v>
      </c>
      <c r="B56" s="5" t="n">
        <v>0</v>
      </c>
      <c r="C56" s="5" t="n">
        <v>0</v>
      </c>
      <c r="D56" s="5" t="n">
        <f aca="false">IF(AND(ISNUMBER(B56),ISNUMBER(C56)),C56-B56,"")</f>
        <v>0</v>
      </c>
      <c r="E56" s="4" t="s">
        <v>531</v>
      </c>
    </row>
    <row r="57" customFormat="false" ht="15" hidden="false" customHeight="false" outlineLevel="0" collapsed="false">
      <c r="A57" s="4" t="s">
        <v>582</v>
      </c>
      <c r="B57" s="5" t="n">
        <v>0.41</v>
      </c>
      <c r="C57" s="5" t="n">
        <v>0.41</v>
      </c>
      <c r="D57" s="5" t="n">
        <f aca="false">IF(AND(ISNUMBER(B57),ISNUMBER(C57)),C57-B57,"")</f>
        <v>0</v>
      </c>
      <c r="E57" s="4" t="s">
        <v>531</v>
      </c>
    </row>
    <row r="58" customFormat="false" ht="15" hidden="false" customHeight="false" outlineLevel="0" collapsed="false">
      <c r="A58" s="4" t="s">
        <v>583</v>
      </c>
      <c r="B58" s="5" t="n">
        <v>0.3</v>
      </c>
      <c r="C58" s="5" t="n">
        <v>0.3</v>
      </c>
      <c r="D58" s="5" t="n">
        <f aca="false">IF(AND(ISNUMBER(B58),ISNUMBER(C58)),C58-B58,"")</f>
        <v>0</v>
      </c>
      <c r="E58" s="4" t="s">
        <v>531</v>
      </c>
    </row>
    <row r="59" customFormat="false" ht="15" hidden="false" customHeight="false" outlineLevel="0" collapsed="false">
      <c r="A59" s="4" t="s">
        <v>584</v>
      </c>
      <c r="B59" s="5" t="n">
        <v>0.26</v>
      </c>
      <c r="C59" s="5" t="n">
        <v>0.26</v>
      </c>
      <c r="D59" s="5" t="n">
        <f aca="false">IF(AND(ISNUMBER(B59),ISNUMBER(C59)),C59-B59,"")</f>
        <v>0</v>
      </c>
      <c r="E59" s="4" t="s">
        <v>531</v>
      </c>
    </row>
    <row r="60" customFormat="false" ht="15" hidden="false" customHeight="false" outlineLevel="0" collapsed="false">
      <c r="A60" s="4" t="s">
        <v>585</v>
      </c>
      <c r="B60" s="5" t="n">
        <v>0.22</v>
      </c>
      <c r="C60" s="5" t="n">
        <v>0.22</v>
      </c>
      <c r="D60" s="5" t="n">
        <f aca="false">IF(AND(ISNUMBER(B60),ISNUMBER(C60)),C60-B60,"")</f>
        <v>0</v>
      </c>
      <c r="E60" s="4" t="s">
        <v>531</v>
      </c>
    </row>
    <row r="61" customFormat="false" ht="15" hidden="false" customHeight="false" outlineLevel="0" collapsed="false">
      <c r="A61" s="4" t="s">
        <v>586</v>
      </c>
      <c r="B61" s="5" t="n">
        <v>0.24</v>
      </c>
      <c r="C61" s="5" t="n">
        <v>0.24</v>
      </c>
      <c r="D61" s="5" t="n">
        <f aca="false">IF(AND(ISNUMBER(B61),ISNUMBER(C61)),C61-B61,"")</f>
        <v>0</v>
      </c>
      <c r="E61" s="4" t="s">
        <v>531</v>
      </c>
    </row>
    <row r="62" customFormat="false" ht="15" hidden="false" customHeight="false" outlineLevel="0" collapsed="false">
      <c r="A62" s="4" t="s">
        <v>587</v>
      </c>
      <c r="B62" s="5" t="n">
        <v>0.15</v>
      </c>
      <c r="C62" s="5" t="n">
        <v>0.15</v>
      </c>
      <c r="D62" s="5" t="n">
        <f aca="false">IF(AND(ISNUMBER(B62),ISNUMBER(C62)),C62-B62,"")</f>
        <v>0</v>
      </c>
      <c r="E62" s="4" t="s">
        <v>531</v>
      </c>
    </row>
    <row r="63" customFormat="false" ht="15" hidden="false" customHeight="false" outlineLevel="0" collapsed="false">
      <c r="A63" s="4" t="s">
        <v>588</v>
      </c>
      <c r="B63" s="5" t="n">
        <v>0.14</v>
      </c>
      <c r="C63" s="5" t="n">
        <v>0.14</v>
      </c>
      <c r="D63" s="5" t="n">
        <f aca="false">IF(AND(ISNUMBER(B63),ISNUMBER(C63)),C63-B63,"")</f>
        <v>0</v>
      </c>
      <c r="E63" s="4" t="s">
        <v>531</v>
      </c>
    </row>
    <row r="64" customFormat="false" ht="15" hidden="false" customHeight="false" outlineLevel="0" collapsed="false">
      <c r="A64" s="4" t="s">
        <v>589</v>
      </c>
      <c r="B64" s="5" t="n">
        <v>0.09</v>
      </c>
      <c r="C64" s="5" t="n">
        <v>0.09</v>
      </c>
      <c r="D64" s="5" t="n">
        <f aca="false">IF(AND(ISNUMBER(B64),ISNUMBER(C64)),C64-B64,"")</f>
        <v>0</v>
      </c>
      <c r="E64" s="4" t="s">
        <v>531</v>
      </c>
    </row>
    <row r="65" customFormat="false" ht="15" hidden="false" customHeight="false" outlineLevel="0" collapsed="false">
      <c r="A65" s="4" t="s">
        <v>590</v>
      </c>
      <c r="B65" s="5" t="n">
        <v>0.07</v>
      </c>
      <c r="C65" s="5" t="n">
        <v>0.07</v>
      </c>
      <c r="D65" s="5" t="n">
        <f aca="false">IF(AND(ISNUMBER(B65),ISNUMBER(C65)),C65-B65,"")</f>
        <v>0</v>
      </c>
      <c r="E65" s="4" t="s">
        <v>531</v>
      </c>
    </row>
    <row r="66" customFormat="false" ht="15" hidden="false" customHeight="false" outlineLevel="0" collapsed="false">
      <c r="A66" s="4" t="s">
        <v>591</v>
      </c>
      <c r="B66" s="5" t="n">
        <v>0.26</v>
      </c>
      <c r="C66" s="5" t="n">
        <v>0.26</v>
      </c>
      <c r="D66" s="5" t="n">
        <f aca="false">IF(AND(ISNUMBER(B66),ISNUMBER(C66)),C66-B66,"")</f>
        <v>0</v>
      </c>
      <c r="E66" s="4" t="s">
        <v>531</v>
      </c>
    </row>
    <row r="67" customFormat="false" ht="15" hidden="false" customHeight="false" outlineLevel="0" collapsed="false">
      <c r="A67" s="4" t="s">
        <v>592</v>
      </c>
      <c r="B67" s="5" t="n">
        <v>0.33</v>
      </c>
      <c r="C67" s="5" t="n">
        <v>0.33</v>
      </c>
      <c r="D67" s="5" t="n">
        <f aca="false">IF(AND(ISNUMBER(B67),ISNUMBER(C67)),C67-B67,"")</f>
        <v>0</v>
      </c>
      <c r="E67" s="4" t="s">
        <v>531</v>
      </c>
    </row>
    <row r="68" customFormat="false" ht="15" hidden="false" customHeight="false" outlineLevel="0" collapsed="false">
      <c r="A68" s="4" t="s">
        <v>593</v>
      </c>
      <c r="B68" s="5" t="n">
        <v>0.39</v>
      </c>
      <c r="C68" s="5" t="n">
        <v>0.39</v>
      </c>
      <c r="D68" s="5" t="n">
        <f aca="false">IF(AND(ISNUMBER(B68),ISNUMBER(C68)),C68-B68,"")</f>
        <v>0</v>
      </c>
      <c r="E68" s="4" t="s">
        <v>531</v>
      </c>
    </row>
    <row r="69" customFormat="false" ht="15" hidden="false" customHeight="false" outlineLevel="0" collapsed="false">
      <c r="A69" s="4" t="s">
        <v>594</v>
      </c>
      <c r="B69" s="5" t="n">
        <v>0.18</v>
      </c>
      <c r="C69" s="5" t="n">
        <v>0.18</v>
      </c>
      <c r="D69" s="5" t="n">
        <f aca="false">IF(AND(ISNUMBER(B69),ISNUMBER(C69)),C69-B69,"")</f>
        <v>0</v>
      </c>
      <c r="E69" s="4" t="s">
        <v>531</v>
      </c>
    </row>
    <row r="70" customFormat="false" ht="15" hidden="false" customHeight="false" outlineLevel="0" collapsed="false">
      <c r="A70" s="4" t="s">
        <v>595</v>
      </c>
      <c r="B70" s="5" t="n">
        <v>0.31</v>
      </c>
      <c r="C70" s="5" t="n">
        <v>0.31</v>
      </c>
      <c r="D70" s="5" t="n">
        <f aca="false">IF(AND(ISNUMBER(B70),ISNUMBER(C70)),C70-B70,"")</f>
        <v>0</v>
      </c>
      <c r="E70" s="4" t="s">
        <v>531</v>
      </c>
    </row>
    <row r="71" customFormat="false" ht="15" hidden="false" customHeight="false" outlineLevel="0" collapsed="false">
      <c r="A71" s="4" t="s">
        <v>596</v>
      </c>
      <c r="B71" s="5" t="n">
        <v>0.27</v>
      </c>
      <c r="C71" s="5" t="n">
        <v>0.27</v>
      </c>
      <c r="D71" s="5" t="n">
        <f aca="false">IF(AND(ISNUMBER(B71),ISNUMBER(C71)),C71-B71,"")</f>
        <v>0</v>
      </c>
      <c r="E71" s="4" t="s">
        <v>531</v>
      </c>
    </row>
    <row r="72" customFormat="false" ht="15" hidden="false" customHeight="false" outlineLevel="0" collapsed="false">
      <c r="A72" s="4" t="s">
        <v>597</v>
      </c>
      <c r="B72" s="5" t="n">
        <v>0.21</v>
      </c>
      <c r="C72" s="5" t="n">
        <v>0.21</v>
      </c>
      <c r="D72" s="5" t="n">
        <f aca="false">IF(AND(ISNUMBER(B72),ISNUMBER(C72)),C72-B72,"")</f>
        <v>0</v>
      </c>
      <c r="E72" s="4" t="s">
        <v>531</v>
      </c>
    </row>
    <row r="73" customFormat="false" ht="15" hidden="false" customHeight="false" outlineLevel="0" collapsed="false">
      <c r="A73" s="4" t="s">
        <v>598</v>
      </c>
      <c r="B73" s="5" t="n">
        <v>0.18</v>
      </c>
      <c r="C73" s="5" t="n">
        <v>0.18</v>
      </c>
      <c r="D73" s="5" t="n">
        <f aca="false">IF(AND(ISNUMBER(B73),ISNUMBER(C73)),C73-B73,"")</f>
        <v>0</v>
      </c>
      <c r="E73" s="4" t="s">
        <v>531</v>
      </c>
    </row>
    <row r="74" customFormat="false" ht="15" hidden="false" customHeight="false" outlineLevel="0" collapsed="false">
      <c r="A74" s="4" t="s">
        <v>599</v>
      </c>
      <c r="B74" s="5" t="n">
        <v>0.2</v>
      </c>
      <c r="C74" s="5" t="n">
        <v>0.2</v>
      </c>
      <c r="D74" s="5" t="n">
        <f aca="false">IF(AND(ISNUMBER(B74),ISNUMBER(C74)),C74-B74,"")</f>
        <v>0</v>
      </c>
      <c r="E74" s="4" t="s">
        <v>531</v>
      </c>
    </row>
    <row r="75" customFormat="false" ht="15" hidden="false" customHeight="false" outlineLevel="0" collapsed="false">
      <c r="A75" s="4" t="s">
        <v>600</v>
      </c>
      <c r="B75" s="5" t="n">
        <v>-0.02</v>
      </c>
      <c r="C75" s="5" t="n">
        <v>-0.02</v>
      </c>
      <c r="D75" s="5" t="n">
        <f aca="false">IF(AND(ISNUMBER(B75),ISNUMBER(C75)),C75-B75,"")</f>
        <v>0</v>
      </c>
      <c r="E75" s="4" t="s">
        <v>531</v>
      </c>
    </row>
    <row r="76" customFormat="false" ht="23.85" hidden="false" customHeight="false" outlineLevel="0" collapsed="false">
      <c r="A76" s="4" t="s">
        <v>601</v>
      </c>
      <c r="B76" s="5" t="n">
        <v>-0.05</v>
      </c>
      <c r="C76" s="5" t="n">
        <v>-0.06</v>
      </c>
      <c r="D76" s="5" t="n">
        <f aca="false">IF(AND(ISNUMBER(B76),ISNUMBER(C76)),C76-B76,"")</f>
        <v>-0.01</v>
      </c>
      <c r="E76" s="4" t="s">
        <v>556</v>
      </c>
    </row>
    <row r="77" customFormat="false" ht="15" hidden="false" customHeight="false" outlineLevel="0" collapsed="false">
      <c r="A77" s="4" t="s">
        <v>602</v>
      </c>
      <c r="B77" s="5" t="n">
        <v>-0.2</v>
      </c>
      <c r="C77" s="5" t="n">
        <v>-0.2</v>
      </c>
      <c r="D77" s="5" t="n">
        <f aca="false">IF(AND(ISNUMBER(B77),ISNUMBER(C77)),C77-B77,"")</f>
        <v>0</v>
      </c>
      <c r="E77" s="4" t="s">
        <v>531</v>
      </c>
    </row>
    <row r="78" customFormat="false" ht="15" hidden="false" customHeight="false" outlineLevel="0" collapsed="false">
      <c r="A78" s="4" t="s">
        <v>603</v>
      </c>
      <c r="B78" s="5" t="n">
        <v>0.324</v>
      </c>
      <c r="C78" s="5" t="n">
        <v>0.324</v>
      </c>
      <c r="D78" s="5" t="n">
        <f aca="false">IF(AND(ISNUMBER(B78),ISNUMBER(C78)),C78-B78,"")</f>
        <v>0</v>
      </c>
      <c r="E78" s="4" t="s">
        <v>531</v>
      </c>
    </row>
    <row r="79" customFormat="false" ht="23.85" hidden="false" customHeight="false" outlineLevel="0" collapsed="false">
      <c r="A79" s="4" t="s">
        <v>604</v>
      </c>
      <c r="B79" s="5" t="n">
        <v>0.071</v>
      </c>
      <c r="C79" s="5" t="n">
        <v>0.076</v>
      </c>
      <c r="D79" s="5" t="n">
        <f aca="false">IF(AND(ISNUMBER(B79),ISNUMBER(C79)),C79-B79,"")</f>
        <v>0.005</v>
      </c>
      <c r="E79" s="4" t="s">
        <v>605</v>
      </c>
    </row>
    <row r="80" customFormat="false" ht="15" hidden="false" customHeight="false" outlineLevel="0" collapsed="false">
      <c r="A80" s="4" t="s">
        <v>606</v>
      </c>
      <c r="B80" s="5" t="n">
        <v>0.297</v>
      </c>
      <c r="C80" s="5" t="n">
        <v>0.297</v>
      </c>
      <c r="D80" s="5" t="n">
        <f aca="false">IF(AND(ISNUMBER(B80),ISNUMBER(C80)),C80-B80,"")</f>
        <v>0</v>
      </c>
      <c r="E80" s="4" t="s">
        <v>531</v>
      </c>
    </row>
    <row r="81" customFormat="false" ht="23.85" hidden="false" customHeight="false" outlineLevel="0" collapsed="false">
      <c r="A81" s="4" t="s">
        <v>607</v>
      </c>
      <c r="B81" s="5" t="n">
        <v>0.09</v>
      </c>
      <c r="C81" s="5" t="n">
        <v>0.094</v>
      </c>
      <c r="D81" s="5" t="n">
        <f aca="false">IF(AND(ISNUMBER(B81),ISNUMBER(C81)),C81-B81,"")</f>
        <v>0.004</v>
      </c>
      <c r="E81" s="4" t="s">
        <v>605</v>
      </c>
    </row>
    <row r="82" customFormat="false" ht="15" hidden="false" customHeight="false" outlineLevel="0" collapsed="false">
      <c r="A82" s="4" t="s">
        <v>608</v>
      </c>
      <c r="B82" s="5" t="n">
        <v>0.285</v>
      </c>
      <c r="C82" s="5" t="n">
        <v>0.285</v>
      </c>
      <c r="D82" s="5" t="n">
        <f aca="false">IF(AND(ISNUMBER(B82),ISNUMBER(C82)),C82-B82,"")</f>
        <v>0</v>
      </c>
      <c r="E82" s="4" t="s">
        <v>531</v>
      </c>
    </row>
    <row r="83" customFormat="false" ht="23.85" hidden="false" customHeight="false" outlineLevel="0" collapsed="false">
      <c r="A83" s="4" t="s">
        <v>609</v>
      </c>
      <c r="B83" s="5" t="n">
        <v>0.099</v>
      </c>
      <c r="C83" s="5" t="n">
        <v>0.102</v>
      </c>
      <c r="D83" s="5" t="n">
        <f aca="false">IF(AND(ISNUMBER(B83),ISNUMBER(C83)),C83-B83,"")</f>
        <v>0.00299999999999999</v>
      </c>
      <c r="E83" s="4" t="s">
        <v>605</v>
      </c>
    </row>
    <row r="84" customFormat="false" ht="15" hidden="false" customHeight="false" outlineLevel="0" collapsed="false">
      <c r="A84" s="4" t="s">
        <v>610</v>
      </c>
      <c r="B84" s="5" t="n">
        <v>0.239</v>
      </c>
      <c r="C84" s="5" t="n">
        <v>0.239</v>
      </c>
      <c r="D84" s="5" t="n">
        <f aca="false">IF(AND(ISNUMBER(B84),ISNUMBER(C84)),C84-B84,"")</f>
        <v>0</v>
      </c>
      <c r="E84" s="4" t="s">
        <v>531</v>
      </c>
    </row>
    <row r="85" customFormat="false" ht="23.85" hidden="false" customHeight="false" outlineLevel="0" collapsed="false">
      <c r="A85" s="4" t="s">
        <v>611</v>
      </c>
      <c r="B85" s="5" t="n">
        <v>0.117</v>
      </c>
      <c r="C85" s="5" t="n">
        <v>0.117</v>
      </c>
      <c r="D85" s="5" t="n">
        <f aca="false">IF(AND(ISNUMBER(B85),ISNUMBER(C85)),C85-B85,"")</f>
        <v>0</v>
      </c>
      <c r="E85" s="4" t="s">
        <v>605</v>
      </c>
    </row>
    <row r="86" customFormat="false" ht="15" hidden="false" customHeight="false" outlineLevel="0" collapsed="false">
      <c r="A86" s="4" t="s">
        <v>612</v>
      </c>
      <c r="B86" s="5" t="n">
        <v>0.268</v>
      </c>
      <c r="C86" s="5" t="n">
        <v>0.268</v>
      </c>
      <c r="D86" s="5" t="n">
        <f aca="false">IF(AND(ISNUMBER(B86),ISNUMBER(C86)),C86-B86,"")</f>
        <v>0</v>
      </c>
      <c r="E86" s="4" t="s">
        <v>531</v>
      </c>
    </row>
    <row r="87" customFormat="false" ht="23.85" hidden="false" customHeight="false" outlineLevel="0" collapsed="false">
      <c r="A87" s="4" t="s">
        <v>613</v>
      </c>
      <c r="B87" s="5" t="n">
        <v>0.104</v>
      </c>
      <c r="C87" s="5" t="n">
        <v>0.105</v>
      </c>
      <c r="D87" s="5" t="n">
        <f aca="false">IF(AND(ISNUMBER(B87),ISNUMBER(C87)),C87-B87,"")</f>
        <v>0.001</v>
      </c>
      <c r="E87" s="4" t="s">
        <v>605</v>
      </c>
    </row>
    <row r="88" customFormat="false" ht="15" hidden="false" customHeight="false" outlineLevel="0" collapsed="false">
      <c r="A88" s="4" t="s">
        <v>614</v>
      </c>
      <c r="B88" s="5" t="n">
        <v>0.095</v>
      </c>
      <c r="C88" s="5" t="n">
        <v>0.095</v>
      </c>
      <c r="D88" s="5" t="n">
        <f aca="false">IF(AND(ISNUMBER(B88),ISNUMBER(C88)),C88-B88,"")</f>
        <v>0</v>
      </c>
      <c r="E88" s="4" t="s">
        <v>531</v>
      </c>
    </row>
    <row r="89" customFormat="false" ht="23.85" hidden="false" customHeight="false" outlineLevel="0" collapsed="false">
      <c r="A89" s="4" t="s">
        <v>615</v>
      </c>
      <c r="B89" s="5" t="n">
        <v>0.077</v>
      </c>
      <c r="C89" s="5" t="n">
        <v>0.076</v>
      </c>
      <c r="D89" s="5" t="n">
        <f aca="false">IF(AND(ISNUMBER(B89),ISNUMBER(C89)),C89-B89,"")</f>
        <v>-0.001</v>
      </c>
      <c r="E89" s="4" t="s">
        <v>605</v>
      </c>
    </row>
    <row r="90" customFormat="false" ht="15" hidden="false" customHeight="false" outlineLevel="0" collapsed="false">
      <c r="A90" s="4" t="s">
        <v>616</v>
      </c>
      <c r="B90" s="5" t="n">
        <v>0.086</v>
      </c>
      <c r="C90" s="5" t="n">
        <v>0.086</v>
      </c>
      <c r="D90" s="5" t="n">
        <f aca="false">IF(AND(ISNUMBER(B90),ISNUMBER(C90)),C90-B90,"")</f>
        <v>0</v>
      </c>
      <c r="E90" s="4" t="s">
        <v>531</v>
      </c>
    </row>
    <row r="91" customFormat="false" ht="23.85" hidden="false" customHeight="false" outlineLevel="0" collapsed="false">
      <c r="A91" s="4" t="s">
        <v>617</v>
      </c>
      <c r="B91" s="5" t="n">
        <v>0.088</v>
      </c>
      <c r="C91" s="5" t="n">
        <v>0.082</v>
      </c>
      <c r="D91" s="5" t="n">
        <f aca="false">IF(AND(ISNUMBER(B91),ISNUMBER(C91)),C91-B91,"")</f>
        <v>-0.00599999999999999</v>
      </c>
      <c r="E91" s="4" t="s">
        <v>605</v>
      </c>
    </row>
    <row r="92" customFormat="false" ht="15" hidden="false" customHeight="false" outlineLevel="0" collapsed="false">
      <c r="A92" s="4" t="s">
        <v>618</v>
      </c>
      <c r="B92" s="5" t="n">
        <v>0.11</v>
      </c>
      <c r="C92" s="5" t="n">
        <v>0.11</v>
      </c>
      <c r="D92" s="5" t="n">
        <f aca="false">IF(AND(ISNUMBER(B92),ISNUMBER(C92)),C92-B92,"")</f>
        <v>0</v>
      </c>
      <c r="E92" s="4" t="s">
        <v>531</v>
      </c>
    </row>
    <row r="93" customFormat="false" ht="23.85" hidden="false" customHeight="false" outlineLevel="0" collapsed="false">
      <c r="A93" s="4" t="s">
        <v>619</v>
      </c>
      <c r="B93" s="5" t="n">
        <v>0.096</v>
      </c>
      <c r="C93" s="5" t="n">
        <v>0.098</v>
      </c>
      <c r="D93" s="5" t="n">
        <f aca="false">IF(AND(ISNUMBER(B93),ISNUMBER(C93)),C93-B93,"")</f>
        <v>0.002</v>
      </c>
      <c r="E93" s="4" t="s">
        <v>605</v>
      </c>
    </row>
    <row r="94" customFormat="false" ht="15" hidden="false" customHeight="false" outlineLevel="0" collapsed="false">
      <c r="A94" s="4" t="s">
        <v>620</v>
      </c>
      <c r="B94" s="5" t="n">
        <v>0.168</v>
      </c>
      <c r="C94" s="5" t="n">
        <v>0.168</v>
      </c>
      <c r="D94" s="5" t="n">
        <f aca="false">IF(AND(ISNUMBER(B94),ISNUMBER(C94)),C94-B94,"")</f>
        <v>0</v>
      </c>
      <c r="E94" s="4" t="s">
        <v>531</v>
      </c>
    </row>
    <row r="95" customFormat="false" ht="23.85" hidden="false" customHeight="false" outlineLevel="0" collapsed="false">
      <c r="A95" s="4" t="s">
        <v>621</v>
      </c>
      <c r="B95" s="5" t="n">
        <v>0.106</v>
      </c>
      <c r="C95" s="5" t="n">
        <v>0.108</v>
      </c>
      <c r="D95" s="5" t="n">
        <f aca="false">IF(AND(ISNUMBER(B95),ISNUMBER(C95)),C95-B95,"")</f>
        <v>0.002</v>
      </c>
      <c r="E95" s="4" t="s">
        <v>605</v>
      </c>
    </row>
    <row r="96" customFormat="false" ht="15" hidden="false" customHeight="false" outlineLevel="0" collapsed="false">
      <c r="A96" s="4" t="s">
        <v>622</v>
      </c>
      <c r="B96" s="5" t="n">
        <v>0.149</v>
      </c>
      <c r="C96" s="5" t="n">
        <v>0.149</v>
      </c>
      <c r="D96" s="5" t="n">
        <f aca="false">IF(AND(ISNUMBER(B96),ISNUMBER(C96)),C96-B96,"")</f>
        <v>0</v>
      </c>
      <c r="E96" s="4" t="s">
        <v>531</v>
      </c>
    </row>
    <row r="97" customFormat="false" ht="23.85" hidden="false" customHeight="false" outlineLevel="0" collapsed="false">
      <c r="A97" s="4" t="s">
        <v>623</v>
      </c>
      <c r="B97" s="5" t="n">
        <v>0.096</v>
      </c>
      <c r="C97" s="5" t="n">
        <v>0.102</v>
      </c>
      <c r="D97" s="5" t="n">
        <f aca="false">IF(AND(ISNUMBER(B97),ISNUMBER(C97)),C97-B97,"")</f>
        <v>0.00599999999999999</v>
      </c>
      <c r="E97" s="4" t="s">
        <v>605</v>
      </c>
    </row>
    <row r="98" customFormat="false" ht="15" hidden="false" customHeight="false" outlineLevel="0" collapsed="false">
      <c r="A98" s="4" t="s">
        <v>624</v>
      </c>
      <c r="B98" s="5" t="n">
        <v>0.093</v>
      </c>
      <c r="C98" s="5" t="n">
        <v>0.093</v>
      </c>
      <c r="D98" s="5" t="n">
        <f aca="false">IF(AND(ISNUMBER(B98),ISNUMBER(C98)),C98-B98,"")</f>
        <v>0</v>
      </c>
      <c r="E98" s="4" t="s">
        <v>531</v>
      </c>
    </row>
    <row r="99" customFormat="false" ht="23.85" hidden="false" customHeight="false" outlineLevel="0" collapsed="false">
      <c r="A99" s="4" t="s">
        <v>625</v>
      </c>
      <c r="B99" s="5" t="n">
        <v>0.067</v>
      </c>
      <c r="C99" s="5" t="n">
        <v>0.067</v>
      </c>
      <c r="D99" s="5" t="n">
        <f aca="false">IF(AND(ISNUMBER(B99),ISNUMBER(C99)),C99-B99,"")</f>
        <v>0</v>
      </c>
      <c r="E99" s="4" t="s">
        <v>605</v>
      </c>
    </row>
    <row r="100" customFormat="false" ht="15" hidden="false" customHeight="false" outlineLevel="0" collapsed="false">
      <c r="A100" s="4" t="s">
        <v>626</v>
      </c>
      <c r="B100" s="5" t="n">
        <v>0.12</v>
      </c>
      <c r="C100" s="5" t="n">
        <v>0.12</v>
      </c>
      <c r="D100" s="5" t="n">
        <f aca="false">IF(AND(ISNUMBER(B100),ISNUMBER(C100)),C100-B100,"")</f>
        <v>0</v>
      </c>
      <c r="E100" s="4" t="s">
        <v>531</v>
      </c>
    </row>
    <row r="101" customFormat="false" ht="23.85" hidden="false" customHeight="false" outlineLevel="0" collapsed="false">
      <c r="A101" s="4" t="s">
        <v>627</v>
      </c>
      <c r="B101" s="5" t="n">
        <v>0.082</v>
      </c>
      <c r="C101" s="5" t="n">
        <v>0.077</v>
      </c>
      <c r="D101" s="5" t="n">
        <f aca="false">IF(AND(ISNUMBER(B101),ISNUMBER(C101)),C101-B101,"")</f>
        <v>-0.005</v>
      </c>
      <c r="E101" s="4" t="s">
        <v>605</v>
      </c>
    </row>
    <row r="102" customFormat="false" ht="15" hidden="false" customHeight="false" outlineLevel="0" collapsed="false">
      <c r="A102" s="4" t="s">
        <v>628</v>
      </c>
      <c r="B102" s="5" t="n">
        <v>0.18</v>
      </c>
      <c r="C102" s="5" t="n">
        <v>0.18</v>
      </c>
      <c r="D102" s="5" t="n">
        <f aca="false">IF(AND(ISNUMBER(B102),ISNUMBER(C102)),C102-B102,"")</f>
        <v>0</v>
      </c>
      <c r="E102" s="4" t="s">
        <v>531</v>
      </c>
    </row>
    <row r="103" customFormat="false" ht="23.85" hidden="false" customHeight="false" outlineLevel="0" collapsed="false">
      <c r="A103" s="4" t="s">
        <v>629</v>
      </c>
      <c r="B103" s="5" t="n">
        <v>0.091</v>
      </c>
      <c r="C103" s="5" t="n">
        <v>0.089</v>
      </c>
      <c r="D103" s="5" t="n">
        <f aca="false">IF(AND(ISNUMBER(B103),ISNUMBER(C103)),C103-B103,"")</f>
        <v>-0.002</v>
      </c>
      <c r="E103" s="4" t="s">
        <v>605</v>
      </c>
    </row>
    <row r="104" customFormat="false" ht="15" hidden="false" customHeight="false" outlineLevel="0" collapsed="false">
      <c r="A104" s="4" t="s">
        <v>630</v>
      </c>
      <c r="B104" s="5" t="n">
        <v>0.219</v>
      </c>
      <c r="C104" s="5" t="n">
        <v>0.219</v>
      </c>
      <c r="D104" s="5" t="n">
        <f aca="false">IF(AND(ISNUMBER(B104),ISNUMBER(C104)),C104-B104,"")</f>
        <v>0</v>
      </c>
      <c r="E104" s="4" t="s">
        <v>531</v>
      </c>
    </row>
    <row r="105" customFormat="false" ht="23.85" hidden="false" customHeight="false" outlineLevel="0" collapsed="false">
      <c r="A105" s="4" t="s">
        <v>631</v>
      </c>
      <c r="B105" s="5" t="n">
        <v>0.104</v>
      </c>
      <c r="C105" s="5" t="n">
        <v>0.097</v>
      </c>
      <c r="D105" s="5" t="n">
        <f aca="false">IF(AND(ISNUMBER(B105),ISNUMBER(C105)),C105-B105,"")</f>
        <v>-0.00699999999999999</v>
      </c>
      <c r="E105" s="4" t="s">
        <v>605</v>
      </c>
    </row>
    <row r="106" customFormat="false" ht="15" hidden="false" customHeight="false" outlineLevel="0" collapsed="false">
      <c r="A106" s="4" t="s">
        <v>632</v>
      </c>
      <c r="B106" s="5" t="n">
        <v>0.198</v>
      </c>
      <c r="C106" s="5" t="n">
        <v>0.198</v>
      </c>
      <c r="D106" s="5" t="n">
        <f aca="false">IF(AND(ISNUMBER(B106),ISNUMBER(C106)),C106-B106,"")</f>
        <v>0</v>
      </c>
      <c r="E106" s="4" t="s">
        <v>531</v>
      </c>
    </row>
    <row r="107" customFormat="false" ht="23.85" hidden="false" customHeight="false" outlineLevel="0" collapsed="false">
      <c r="A107" s="4" t="s">
        <v>633</v>
      </c>
      <c r="B107" s="5" t="n">
        <v>0.087</v>
      </c>
      <c r="C107" s="5" t="n">
        <v>0.087</v>
      </c>
      <c r="D107" s="5" t="n">
        <f aca="false">IF(AND(ISNUMBER(B107),ISNUMBER(C107)),C107-B107,"")</f>
        <v>0</v>
      </c>
      <c r="E107" s="4" t="s">
        <v>605</v>
      </c>
    </row>
    <row r="108" customFormat="false" ht="15" hidden="false" customHeight="false" outlineLevel="0" collapsed="false">
      <c r="A108" s="4" t="s">
        <v>634</v>
      </c>
      <c r="B108" s="5" t="s">
        <v>27</v>
      </c>
      <c r="C108" s="5" t="s">
        <v>27</v>
      </c>
      <c r="D108" s="5" t="str">
        <f aca="false">IF(AND(ISNUMBER(B108),ISNUMBER(C108)),C108-B108,"")</f>
        <v/>
      </c>
      <c r="E108" s="4" t="s">
        <v>531</v>
      </c>
    </row>
    <row r="109" customFormat="false" ht="23.85" hidden="false" customHeight="false" outlineLevel="0" collapsed="false">
      <c r="A109" s="4" t="s">
        <v>635</v>
      </c>
      <c r="B109" s="5" t="s">
        <v>27</v>
      </c>
      <c r="C109" s="5" t="s">
        <v>27</v>
      </c>
      <c r="D109" s="5" t="str">
        <f aca="false">IF(AND(ISNUMBER(B109),ISNUMBER(C109)),C109-B109,"")</f>
        <v/>
      </c>
      <c r="E109" s="4" t="s">
        <v>605</v>
      </c>
    </row>
    <row r="110" customFormat="false" ht="15" hidden="false" customHeight="false" outlineLevel="0" collapsed="false">
      <c r="A110" s="4" t="s">
        <v>636</v>
      </c>
      <c r="B110" s="5" t="n">
        <v>0.396</v>
      </c>
      <c r="C110" s="5" t="n">
        <v>0.396</v>
      </c>
      <c r="D110" s="5" t="n">
        <f aca="false">IF(AND(ISNUMBER(B110),ISNUMBER(C110)),C110-B110,"")</f>
        <v>0</v>
      </c>
      <c r="E110" s="4" t="s">
        <v>531</v>
      </c>
    </row>
    <row r="111" customFormat="false" ht="23.85" hidden="false" customHeight="false" outlineLevel="0" collapsed="false">
      <c r="A111" s="4" t="s">
        <v>637</v>
      </c>
      <c r="B111" s="5" t="n">
        <v>0.065</v>
      </c>
      <c r="C111" s="5" t="n">
        <v>0.066</v>
      </c>
      <c r="D111" s="5" t="n">
        <f aca="false">IF(AND(ISNUMBER(B111),ISNUMBER(C111)),C111-B111,"")</f>
        <v>0.001</v>
      </c>
      <c r="E111" s="4" t="s">
        <v>605</v>
      </c>
    </row>
    <row r="112" customFormat="false" ht="15" hidden="false" customHeight="false" outlineLevel="0" collapsed="false">
      <c r="A112" s="4" t="s">
        <v>638</v>
      </c>
      <c r="B112" s="5" t="n">
        <v>0.383</v>
      </c>
      <c r="C112" s="5" t="n">
        <v>0.383</v>
      </c>
      <c r="D112" s="5" t="n">
        <f aca="false">IF(AND(ISNUMBER(B112),ISNUMBER(C112)),C112-B112,"")</f>
        <v>0</v>
      </c>
      <c r="E112" s="4" t="s">
        <v>531</v>
      </c>
    </row>
    <row r="113" customFormat="false" ht="23.85" hidden="false" customHeight="false" outlineLevel="0" collapsed="false">
      <c r="A113" s="4" t="s">
        <v>639</v>
      </c>
      <c r="B113" s="5" t="n">
        <v>0.078</v>
      </c>
      <c r="C113" s="5" t="n">
        <v>0.081</v>
      </c>
      <c r="D113" s="5" t="n">
        <f aca="false">IF(AND(ISNUMBER(B113),ISNUMBER(C113)),C113-B113,"")</f>
        <v>0.003</v>
      </c>
      <c r="E113" s="4" t="s">
        <v>605</v>
      </c>
    </row>
    <row r="114" customFormat="false" ht="15" hidden="false" customHeight="false" outlineLevel="0" collapsed="false">
      <c r="A114" s="4" t="s">
        <v>640</v>
      </c>
      <c r="B114" s="5" t="n">
        <v>0.298</v>
      </c>
      <c r="C114" s="5" t="n">
        <v>0.298</v>
      </c>
      <c r="D114" s="5" t="n">
        <f aca="false">IF(AND(ISNUMBER(B114),ISNUMBER(C114)),C114-B114,"")</f>
        <v>0</v>
      </c>
      <c r="E114" s="4" t="s">
        <v>531</v>
      </c>
    </row>
    <row r="115" customFormat="false" ht="23.85" hidden="false" customHeight="false" outlineLevel="0" collapsed="false">
      <c r="A115" s="4" t="s">
        <v>641</v>
      </c>
      <c r="B115" s="5" t="n">
        <v>0.092</v>
      </c>
      <c r="C115" s="5" t="n">
        <v>0.095</v>
      </c>
      <c r="D115" s="5" t="n">
        <f aca="false">IF(AND(ISNUMBER(B115),ISNUMBER(C115)),C115-B115,"")</f>
        <v>0.003</v>
      </c>
      <c r="E115" s="4" t="s">
        <v>605</v>
      </c>
    </row>
    <row r="116" customFormat="false" ht="15" hidden="false" customHeight="false" outlineLevel="0" collapsed="false">
      <c r="A116" s="4" t="s">
        <v>642</v>
      </c>
      <c r="B116" s="5" t="n">
        <v>0.316</v>
      </c>
      <c r="C116" s="5" t="n">
        <v>0.316</v>
      </c>
      <c r="D116" s="5" t="n">
        <f aca="false">IF(AND(ISNUMBER(B116),ISNUMBER(C116)),C116-B116,"")</f>
        <v>0</v>
      </c>
      <c r="E116" s="4" t="s">
        <v>531</v>
      </c>
    </row>
    <row r="117" customFormat="false" ht="23.85" hidden="false" customHeight="false" outlineLevel="0" collapsed="false">
      <c r="A117" s="4" t="s">
        <v>643</v>
      </c>
      <c r="B117" s="5" t="n">
        <v>0.083</v>
      </c>
      <c r="C117" s="5" t="n">
        <v>0.085</v>
      </c>
      <c r="D117" s="5" t="n">
        <f aca="false">IF(AND(ISNUMBER(B117),ISNUMBER(C117)),C117-B117,"")</f>
        <v>0.002</v>
      </c>
      <c r="E117" s="4" t="s">
        <v>605</v>
      </c>
    </row>
    <row r="118" customFormat="false" ht="15" hidden="false" customHeight="false" outlineLevel="0" collapsed="false">
      <c r="A118" s="4" t="s">
        <v>644</v>
      </c>
      <c r="B118" s="5" t="n">
        <v>0.51</v>
      </c>
      <c r="C118" s="5" t="n">
        <v>0.51</v>
      </c>
      <c r="D118" s="5" t="n">
        <f aca="false">IF(AND(ISNUMBER(B118),ISNUMBER(C118)),C118-B118,"")</f>
        <v>0</v>
      </c>
      <c r="E118" s="4" t="s">
        <v>531</v>
      </c>
    </row>
    <row r="119" customFormat="false" ht="23.85" hidden="false" customHeight="false" outlineLevel="0" collapsed="false">
      <c r="A119" s="4" t="s">
        <v>645</v>
      </c>
      <c r="B119" s="5" t="n">
        <v>0.065</v>
      </c>
      <c r="C119" s="5" t="n">
        <v>0.064</v>
      </c>
      <c r="D119" s="5" t="n">
        <f aca="false">IF(AND(ISNUMBER(B119),ISNUMBER(C119)),C119-B119,"")</f>
        <v>-0.001</v>
      </c>
      <c r="E119" s="4" t="s">
        <v>605</v>
      </c>
    </row>
    <row r="120" customFormat="false" ht="15" hidden="false" customHeight="false" outlineLevel="0" collapsed="false">
      <c r="A120" s="4" t="s">
        <v>646</v>
      </c>
      <c r="B120" s="5" t="n">
        <v>0.472</v>
      </c>
      <c r="C120" s="5" t="n">
        <v>0.472</v>
      </c>
      <c r="D120" s="5" t="n">
        <f aca="false">IF(AND(ISNUMBER(B120),ISNUMBER(C120)),C120-B120,"")</f>
        <v>0</v>
      </c>
      <c r="E120" s="4" t="s">
        <v>531</v>
      </c>
    </row>
    <row r="121" customFormat="false" ht="23.85" hidden="false" customHeight="false" outlineLevel="0" collapsed="false">
      <c r="A121" s="4" t="s">
        <v>647</v>
      </c>
      <c r="B121" s="5" t="n">
        <v>0.081</v>
      </c>
      <c r="C121" s="5" t="n">
        <v>0.074</v>
      </c>
      <c r="D121" s="5" t="n">
        <f aca="false">IF(AND(ISNUMBER(B121),ISNUMBER(C121)),C121-B121,"")</f>
        <v>-0.00700000000000001</v>
      </c>
      <c r="E121" s="4" t="s">
        <v>605</v>
      </c>
    </row>
    <row r="122" customFormat="false" ht="15" hidden="false" customHeight="false" outlineLevel="0" collapsed="false">
      <c r="A122" s="4" t="s">
        <v>648</v>
      </c>
      <c r="B122" s="5" t="n">
        <v>0.484</v>
      </c>
      <c r="C122" s="5" t="n">
        <v>0.484</v>
      </c>
      <c r="D122" s="5" t="n">
        <f aca="false">IF(AND(ISNUMBER(B122),ISNUMBER(C122)),C122-B122,"")</f>
        <v>0</v>
      </c>
      <c r="E122" s="4" t="s">
        <v>531</v>
      </c>
    </row>
    <row r="123" customFormat="false" ht="23.85" hidden="false" customHeight="false" outlineLevel="0" collapsed="false">
      <c r="A123" s="4" t="s">
        <v>649</v>
      </c>
      <c r="B123" s="5" t="n">
        <v>0.086</v>
      </c>
      <c r="C123" s="5" t="n">
        <v>0.082</v>
      </c>
      <c r="D123" s="5" t="n">
        <f aca="false">IF(AND(ISNUMBER(B123),ISNUMBER(C123)),C123-B123,"")</f>
        <v>-0.00399999999999999</v>
      </c>
      <c r="E123" s="4" t="s">
        <v>605</v>
      </c>
    </row>
    <row r="124" customFormat="false" ht="15" hidden="false" customHeight="false" outlineLevel="0" collapsed="false">
      <c r="A124" s="4" t="s">
        <v>650</v>
      </c>
      <c r="B124" s="5" t="n">
        <v>0.437</v>
      </c>
      <c r="C124" s="5" t="n">
        <v>0.437</v>
      </c>
      <c r="D124" s="5" t="n">
        <f aca="false">IF(AND(ISNUMBER(B124),ISNUMBER(C124)),C124-B124,"")</f>
        <v>0</v>
      </c>
      <c r="E124" s="4" t="s">
        <v>531</v>
      </c>
    </row>
    <row r="125" customFormat="false" ht="23.85" hidden="false" customHeight="false" outlineLevel="0" collapsed="false">
      <c r="A125" s="4" t="s">
        <v>651</v>
      </c>
      <c r="B125" s="5" t="n">
        <v>0.098</v>
      </c>
      <c r="C125" s="5" t="n">
        <v>0.094</v>
      </c>
      <c r="D125" s="5" t="n">
        <f aca="false">IF(AND(ISNUMBER(B125),ISNUMBER(C125)),C125-B125,"")</f>
        <v>-0.004</v>
      </c>
      <c r="E125" s="4" t="s">
        <v>605</v>
      </c>
    </row>
    <row r="126" customFormat="false" ht="15" hidden="false" customHeight="false" outlineLevel="0" collapsed="false">
      <c r="A126" s="4" t="s">
        <v>652</v>
      </c>
      <c r="B126" s="5" t="n">
        <v>0.515</v>
      </c>
      <c r="C126" s="5" t="n">
        <v>0.515</v>
      </c>
      <c r="D126" s="5" t="n">
        <f aca="false">IF(AND(ISNUMBER(B126),ISNUMBER(C126)),C126-B126,"")</f>
        <v>0</v>
      </c>
      <c r="E126" s="4" t="s">
        <v>531</v>
      </c>
    </row>
    <row r="127" customFormat="false" ht="23.85" hidden="false" customHeight="false" outlineLevel="0" collapsed="false">
      <c r="A127" s="4" t="s">
        <v>653</v>
      </c>
      <c r="B127" s="5" t="n">
        <v>0.088</v>
      </c>
      <c r="C127" s="5" t="n">
        <v>0.087</v>
      </c>
      <c r="D127" s="5" t="n">
        <f aca="false">IF(AND(ISNUMBER(B127),ISNUMBER(C127)),C127-B127,"")</f>
        <v>-0.001</v>
      </c>
      <c r="E127" s="4" t="s">
        <v>605</v>
      </c>
    </row>
    <row r="128" customFormat="false" ht="15" hidden="false" customHeight="false" outlineLevel="0" collapsed="false">
      <c r="A128" s="4" t="s">
        <v>654</v>
      </c>
      <c r="B128" s="5" t="n">
        <v>0.141</v>
      </c>
      <c r="C128" s="5" t="n">
        <v>0.141</v>
      </c>
      <c r="D128" s="5" t="n">
        <f aca="false">IF(AND(ISNUMBER(B128),ISNUMBER(C128)),C128-B128,"")</f>
        <v>0</v>
      </c>
      <c r="E128" s="4" t="s">
        <v>531</v>
      </c>
    </row>
    <row r="129" customFormat="false" ht="23.85" hidden="false" customHeight="false" outlineLevel="0" collapsed="false">
      <c r="A129" s="4" t="s">
        <v>655</v>
      </c>
      <c r="B129" s="5" t="n">
        <v>0.058</v>
      </c>
      <c r="C129" s="5" t="n">
        <v>0.061</v>
      </c>
      <c r="D129" s="5" t="n">
        <f aca="false">IF(AND(ISNUMBER(B129),ISNUMBER(C129)),C129-B129,"")</f>
        <v>0.003</v>
      </c>
      <c r="E129" s="4" t="s">
        <v>605</v>
      </c>
    </row>
    <row r="130" customFormat="false" ht="15" hidden="false" customHeight="false" outlineLevel="0" collapsed="false">
      <c r="A130" s="4" t="s">
        <v>656</v>
      </c>
      <c r="B130" s="5" t="n">
        <v>0.08</v>
      </c>
      <c r="C130" s="5" t="n">
        <v>0.08</v>
      </c>
      <c r="D130" s="5" t="n">
        <f aca="false">IF(AND(ISNUMBER(B130),ISNUMBER(C130)),C130-B130,"")</f>
        <v>0</v>
      </c>
      <c r="E130" s="4" t="s">
        <v>531</v>
      </c>
    </row>
    <row r="131" customFormat="false" ht="23.85" hidden="false" customHeight="false" outlineLevel="0" collapsed="false">
      <c r="A131" s="4" t="s">
        <v>657</v>
      </c>
      <c r="B131" s="5" t="n">
        <v>0.074</v>
      </c>
      <c r="C131" s="5" t="n">
        <v>0.079</v>
      </c>
      <c r="D131" s="5" t="n">
        <f aca="false">IF(AND(ISNUMBER(B131),ISNUMBER(C131)),C131-B131,"")</f>
        <v>0.005</v>
      </c>
      <c r="E131" s="4" t="s">
        <v>605</v>
      </c>
    </row>
    <row r="132" customFormat="false" ht="15" hidden="false" customHeight="false" outlineLevel="0" collapsed="false">
      <c r="A132" s="4" t="s">
        <v>658</v>
      </c>
      <c r="B132" s="5" t="n">
        <v>0.086</v>
      </c>
      <c r="C132" s="5" t="n">
        <v>0.086</v>
      </c>
      <c r="D132" s="5" t="n">
        <f aca="false">IF(AND(ISNUMBER(B132),ISNUMBER(C132)),C132-B132,"")</f>
        <v>0</v>
      </c>
      <c r="E132" s="4" t="s">
        <v>531</v>
      </c>
    </row>
    <row r="133" customFormat="false" ht="23.85" hidden="false" customHeight="false" outlineLevel="0" collapsed="false">
      <c r="A133" s="4" t="s">
        <v>659</v>
      </c>
      <c r="B133" s="5" t="n">
        <v>0.079</v>
      </c>
      <c r="C133" s="5" t="n">
        <v>0.085</v>
      </c>
      <c r="D133" s="5" t="n">
        <f aca="false">IF(AND(ISNUMBER(B133),ISNUMBER(C133)),C133-B133,"")</f>
        <v>0.00600000000000001</v>
      </c>
      <c r="E133" s="4" t="s">
        <v>605</v>
      </c>
    </row>
    <row r="134" customFormat="false" ht="15" hidden="false" customHeight="false" outlineLevel="0" collapsed="false">
      <c r="A134" s="4" t="s">
        <v>660</v>
      </c>
      <c r="B134" s="5" t="n">
        <v>0.077</v>
      </c>
      <c r="C134" s="5" t="n">
        <v>0.077</v>
      </c>
      <c r="D134" s="5" t="n">
        <f aca="false">IF(AND(ISNUMBER(B134),ISNUMBER(C134)),C134-B134,"")</f>
        <v>0</v>
      </c>
      <c r="E134" s="4" t="s">
        <v>531</v>
      </c>
    </row>
    <row r="135" customFormat="false" ht="23.85" hidden="false" customHeight="false" outlineLevel="0" collapsed="false">
      <c r="A135" s="4" t="s">
        <v>661</v>
      </c>
      <c r="B135" s="5" t="n">
        <v>0.103</v>
      </c>
      <c r="C135" s="5" t="n">
        <v>0.108</v>
      </c>
      <c r="D135" s="5" t="n">
        <f aca="false">IF(AND(ISNUMBER(B135),ISNUMBER(C135)),C135-B135,"")</f>
        <v>0.005</v>
      </c>
      <c r="E135" s="4" t="s">
        <v>605</v>
      </c>
    </row>
    <row r="136" customFormat="false" ht="15" hidden="false" customHeight="false" outlineLevel="0" collapsed="false">
      <c r="A136" s="4" t="s">
        <v>662</v>
      </c>
      <c r="B136" s="5" t="n">
        <v>0.086</v>
      </c>
      <c r="C136" s="5" t="n">
        <v>0.086</v>
      </c>
      <c r="D136" s="5" t="n">
        <f aca="false">IF(AND(ISNUMBER(B136),ISNUMBER(C136)),C136-B136,"")</f>
        <v>0</v>
      </c>
      <c r="E136" s="4" t="s">
        <v>531</v>
      </c>
    </row>
    <row r="137" customFormat="false" ht="23.85" hidden="false" customHeight="false" outlineLevel="0" collapsed="false">
      <c r="A137" s="4" t="s">
        <v>663</v>
      </c>
      <c r="B137" s="5" t="n">
        <v>0.084</v>
      </c>
      <c r="C137" s="5" t="n">
        <v>0.092</v>
      </c>
      <c r="D137" s="5" t="n">
        <f aca="false">IF(AND(ISNUMBER(B137),ISNUMBER(C137)),C137-B137,"")</f>
        <v>0.00799999999999999</v>
      </c>
      <c r="E137" s="4" t="s">
        <v>605</v>
      </c>
    </row>
    <row r="138" customFormat="false" ht="15" hidden="false" customHeight="false" outlineLevel="0" collapsed="false">
      <c r="A138" s="4" t="s">
        <v>664</v>
      </c>
      <c r="B138" s="5" t="s">
        <v>27</v>
      </c>
      <c r="C138" s="5" t="s">
        <v>27</v>
      </c>
      <c r="D138" s="5" t="str">
        <f aca="false">IF(AND(ISNUMBER(B138),ISNUMBER(C138)),C138-B138,"")</f>
        <v/>
      </c>
      <c r="E138" s="4" t="s">
        <v>531</v>
      </c>
    </row>
    <row r="139" customFormat="false" ht="23.85" hidden="false" customHeight="false" outlineLevel="0" collapsed="false">
      <c r="A139" s="4" t="s">
        <v>665</v>
      </c>
      <c r="B139" s="5" t="s">
        <v>27</v>
      </c>
      <c r="C139" s="5" t="s">
        <v>27</v>
      </c>
      <c r="D139" s="5" t="str">
        <f aca="false">IF(AND(ISNUMBER(B139),ISNUMBER(C139)),C139-B139,"")</f>
        <v/>
      </c>
      <c r="E139" s="4" t="s">
        <v>605</v>
      </c>
    </row>
    <row r="140" customFormat="false" ht="15" hidden="false" customHeight="false" outlineLevel="0" collapsed="false">
      <c r="A140" s="4" t="s">
        <v>666</v>
      </c>
      <c r="B140" s="5" t="n">
        <v>0.074</v>
      </c>
      <c r="C140" s="5" t="n">
        <v>0.074</v>
      </c>
      <c r="D140" s="5" t="n">
        <f aca="false">IF(AND(ISNUMBER(B140),ISNUMBER(C140)),C140-B140,"")</f>
        <v>0</v>
      </c>
      <c r="E140" s="4" t="s">
        <v>531</v>
      </c>
    </row>
    <row r="141" customFormat="false" ht="23.85" hidden="false" customHeight="false" outlineLevel="0" collapsed="false">
      <c r="A141" s="4" t="s">
        <v>667</v>
      </c>
      <c r="B141" s="5" t="n">
        <v>0.078</v>
      </c>
      <c r="C141" s="5" t="n">
        <v>0.08</v>
      </c>
      <c r="D141" s="5" t="n">
        <f aca="false">IF(AND(ISNUMBER(B141),ISNUMBER(C141)),C141-B141,"")</f>
        <v>0.002</v>
      </c>
      <c r="E141" s="4" t="s">
        <v>605</v>
      </c>
    </row>
    <row r="142" customFormat="false" ht="15" hidden="false" customHeight="false" outlineLevel="0" collapsed="false">
      <c r="A142" s="4" t="s">
        <v>668</v>
      </c>
      <c r="B142" s="5" t="n">
        <v>0.105</v>
      </c>
      <c r="C142" s="5" t="n">
        <v>0.105</v>
      </c>
      <c r="D142" s="5" t="n">
        <f aca="false">IF(AND(ISNUMBER(B142),ISNUMBER(C142)),C142-B142,"")</f>
        <v>0</v>
      </c>
      <c r="E142" s="4" t="s">
        <v>531</v>
      </c>
    </row>
    <row r="143" customFormat="false" ht="23.85" hidden="false" customHeight="false" outlineLevel="0" collapsed="false">
      <c r="A143" s="4" t="s">
        <v>669</v>
      </c>
      <c r="B143" s="5" t="n">
        <v>0.091</v>
      </c>
      <c r="C143" s="5" t="n">
        <v>0.092</v>
      </c>
      <c r="D143" s="5" t="n">
        <f aca="false">IF(AND(ISNUMBER(B143),ISNUMBER(C143)),C143-B143,"")</f>
        <v>0.001</v>
      </c>
      <c r="E143" s="4" t="s">
        <v>605</v>
      </c>
    </row>
    <row r="144" customFormat="false" ht="15" hidden="false" customHeight="false" outlineLevel="0" collapsed="false">
      <c r="A144" s="4" t="s">
        <v>670</v>
      </c>
      <c r="B144" s="5" t="n">
        <v>0.145</v>
      </c>
      <c r="C144" s="5" t="n">
        <v>0.145</v>
      </c>
      <c r="D144" s="5" t="n">
        <f aca="false">IF(AND(ISNUMBER(B144),ISNUMBER(C144)),C144-B144,"")</f>
        <v>0</v>
      </c>
      <c r="E144" s="4" t="s">
        <v>531</v>
      </c>
    </row>
    <row r="145" customFormat="false" ht="23.85" hidden="false" customHeight="false" outlineLevel="0" collapsed="false">
      <c r="A145" s="4" t="s">
        <v>671</v>
      </c>
      <c r="B145" s="5" t="n">
        <v>0.1</v>
      </c>
      <c r="C145" s="5" t="n">
        <v>0.103</v>
      </c>
      <c r="D145" s="5" t="n">
        <f aca="false">IF(AND(ISNUMBER(B145),ISNUMBER(C145)),C145-B145,"")</f>
        <v>0.00299999999999999</v>
      </c>
      <c r="E145" s="4" t="s">
        <v>605</v>
      </c>
    </row>
    <row r="146" customFormat="false" ht="15" hidden="false" customHeight="false" outlineLevel="0" collapsed="false">
      <c r="A146" s="4" t="s">
        <v>672</v>
      </c>
      <c r="B146" s="5" t="n">
        <v>0.155</v>
      </c>
      <c r="C146" s="5" t="n">
        <v>0.155</v>
      </c>
      <c r="D146" s="5" t="n">
        <f aca="false">IF(AND(ISNUMBER(B146),ISNUMBER(C146)),C146-B146,"")</f>
        <v>0</v>
      </c>
      <c r="E146" s="4" t="s">
        <v>531</v>
      </c>
    </row>
    <row r="147" customFormat="false" ht="23.85" hidden="false" customHeight="false" outlineLevel="0" collapsed="false">
      <c r="A147" s="4" t="s">
        <v>673</v>
      </c>
      <c r="B147" s="5" t="n">
        <v>0.092</v>
      </c>
      <c r="C147" s="5" t="n">
        <v>0.09</v>
      </c>
      <c r="D147" s="5" t="n">
        <f aca="false">IF(AND(ISNUMBER(B147),ISNUMBER(C147)),C147-B147,"")</f>
        <v>-0.002</v>
      </c>
      <c r="E147" s="4" t="s">
        <v>605</v>
      </c>
    </row>
    <row r="148" customFormat="false" ht="15" hidden="false" customHeight="false" outlineLevel="0" collapsed="false">
      <c r="A148" s="4" t="s">
        <v>674</v>
      </c>
      <c r="B148" s="5" t="s">
        <v>27</v>
      </c>
      <c r="C148" s="5" t="s">
        <v>27</v>
      </c>
      <c r="D148" s="5" t="str">
        <f aca="false">IF(AND(ISNUMBER(B148),ISNUMBER(C148)),C148-B148,"")</f>
        <v/>
      </c>
      <c r="E148" s="4" t="s">
        <v>531</v>
      </c>
    </row>
    <row r="149" customFormat="false" ht="23.85" hidden="false" customHeight="false" outlineLevel="0" collapsed="false">
      <c r="A149" s="4" t="s">
        <v>675</v>
      </c>
      <c r="B149" s="5" t="s">
        <v>27</v>
      </c>
      <c r="C149" s="5" t="s">
        <v>27</v>
      </c>
      <c r="D149" s="5" t="str">
        <f aca="false">IF(AND(ISNUMBER(B149),ISNUMBER(C149)),C149-B149,"")</f>
        <v/>
      </c>
      <c r="E149" s="4" t="s">
        <v>605</v>
      </c>
    </row>
    <row r="150" customFormat="false" ht="15" hidden="false" customHeight="false" outlineLevel="0" collapsed="false">
      <c r="A150" s="4" t="s">
        <v>676</v>
      </c>
      <c r="B150" s="5" t="n">
        <v>-0.008</v>
      </c>
      <c r="C150" s="5" t="n">
        <v>-0.008</v>
      </c>
      <c r="D150" s="5" t="n">
        <f aca="false">IF(AND(ISNUMBER(B150),ISNUMBER(C150)),C150-B150,"")</f>
        <v>0</v>
      </c>
      <c r="E150" s="4" t="s">
        <v>531</v>
      </c>
    </row>
    <row r="151" customFormat="false" ht="23.85" hidden="false" customHeight="false" outlineLevel="0" collapsed="false">
      <c r="A151" s="4" t="s">
        <v>677</v>
      </c>
      <c r="B151" s="5" t="n">
        <v>0.088</v>
      </c>
      <c r="C151" s="5" t="n">
        <v>0.091</v>
      </c>
      <c r="D151" s="5" t="n">
        <f aca="false">IF(AND(ISNUMBER(B151),ISNUMBER(C151)),C151-B151,"")</f>
        <v>0.003</v>
      </c>
      <c r="E151" s="4" t="s">
        <v>605</v>
      </c>
    </row>
    <row r="152" customFormat="false" ht="15" hidden="false" customHeight="false" outlineLevel="0" collapsed="false">
      <c r="A152" s="4" t="s">
        <v>678</v>
      </c>
      <c r="B152" s="5" t="n">
        <v>0.075</v>
      </c>
      <c r="C152" s="5" t="n">
        <v>0.075</v>
      </c>
      <c r="D152" s="5" t="n">
        <f aca="false">IF(AND(ISNUMBER(B152),ISNUMBER(C152)),C152-B152,"")</f>
        <v>0</v>
      </c>
      <c r="E152" s="4" t="s">
        <v>531</v>
      </c>
    </row>
    <row r="153" customFormat="false" ht="23.85" hidden="false" customHeight="false" outlineLevel="0" collapsed="false">
      <c r="A153" s="4" t="s">
        <v>679</v>
      </c>
      <c r="B153" s="5" t="n">
        <v>0.101</v>
      </c>
      <c r="C153" s="5" t="n">
        <v>0.1</v>
      </c>
      <c r="D153" s="5" t="n">
        <f aca="false">IF(AND(ISNUMBER(B153),ISNUMBER(C153)),C153-B153,"")</f>
        <v>-0.001</v>
      </c>
      <c r="E153" s="4" t="s">
        <v>605</v>
      </c>
    </row>
    <row r="154" customFormat="false" ht="15" hidden="false" customHeight="false" outlineLevel="0" collapsed="false">
      <c r="A154" s="4" t="s">
        <v>680</v>
      </c>
      <c r="B154" s="5" t="n">
        <v>0.085</v>
      </c>
      <c r="C154" s="5" t="n">
        <v>0.085</v>
      </c>
      <c r="D154" s="5" t="n">
        <f aca="false">IF(AND(ISNUMBER(B154),ISNUMBER(C154)),C154-B154,"")</f>
        <v>0</v>
      </c>
      <c r="E154" s="4" t="s">
        <v>531</v>
      </c>
    </row>
    <row r="155" customFormat="false" ht="23.85" hidden="false" customHeight="false" outlineLevel="0" collapsed="false">
      <c r="A155" s="4" t="s">
        <v>681</v>
      </c>
      <c r="B155" s="5" t="n">
        <v>0.123</v>
      </c>
      <c r="C155" s="5" t="n">
        <v>0.116</v>
      </c>
      <c r="D155" s="5" t="n">
        <f aca="false">IF(AND(ISNUMBER(B155),ISNUMBER(C155)),C155-B155,"")</f>
        <v>-0.00699999999999999</v>
      </c>
      <c r="E155" s="4" t="s">
        <v>605</v>
      </c>
    </row>
    <row r="156" customFormat="false" ht="15" hidden="false" customHeight="false" outlineLevel="0" collapsed="false">
      <c r="A156" s="4" t="s">
        <v>682</v>
      </c>
      <c r="B156" s="5" t="n">
        <v>0.099</v>
      </c>
      <c r="C156" s="5" t="n">
        <v>0.099</v>
      </c>
      <c r="D156" s="5" t="n">
        <f aca="false">IF(AND(ISNUMBER(B156),ISNUMBER(C156)),C156-B156,"")</f>
        <v>0</v>
      </c>
      <c r="E156" s="4" t="s">
        <v>531</v>
      </c>
    </row>
    <row r="157" customFormat="false" ht="23.85" hidden="false" customHeight="false" outlineLevel="0" collapsed="false">
      <c r="A157" s="4" t="s">
        <v>683</v>
      </c>
      <c r="B157" s="5" t="n">
        <v>0.105</v>
      </c>
      <c r="C157" s="5" t="n">
        <v>0.106</v>
      </c>
      <c r="D157" s="5" t="n">
        <f aca="false">IF(AND(ISNUMBER(B157),ISNUMBER(C157)),C157-B157,"")</f>
        <v>0.001</v>
      </c>
      <c r="E157" s="4" t="s">
        <v>605</v>
      </c>
    </row>
    <row r="158" customFormat="false" ht="15" hidden="false" customHeight="false" outlineLevel="0" collapsed="false">
      <c r="A158" s="4" t="s">
        <v>684</v>
      </c>
      <c r="B158" s="5" t="n">
        <v>0.716</v>
      </c>
      <c r="C158" s="5" t="n">
        <v>0.716</v>
      </c>
      <c r="D158" s="5" t="n">
        <f aca="false">IF(AND(ISNUMBER(B158),ISNUMBER(C158)),C158-B158,"")</f>
        <v>0</v>
      </c>
      <c r="E158" s="4" t="s">
        <v>531</v>
      </c>
    </row>
    <row r="159" customFormat="false" ht="23.85" hidden="false" customHeight="false" outlineLevel="0" collapsed="false">
      <c r="A159" s="4" t="s">
        <v>685</v>
      </c>
      <c r="B159" s="5" t="n">
        <v>0.126</v>
      </c>
      <c r="C159" s="5" t="n">
        <v>0.117</v>
      </c>
      <c r="D159" s="5" t="n">
        <f aca="false">IF(AND(ISNUMBER(B159),ISNUMBER(C159)),C159-B159,"")</f>
        <v>-0.00899999999999999</v>
      </c>
      <c r="E159" s="4" t="s">
        <v>605</v>
      </c>
    </row>
    <row r="160" customFormat="false" ht="15" hidden="false" customHeight="false" outlineLevel="0" collapsed="false">
      <c r="A160" s="4" t="s">
        <v>686</v>
      </c>
      <c r="B160" s="5" t="n">
        <v>0.711</v>
      </c>
      <c r="C160" s="5" t="n">
        <v>0.711</v>
      </c>
      <c r="D160" s="5" t="n">
        <f aca="false">IF(AND(ISNUMBER(B160),ISNUMBER(C160)),C160-B160,"")</f>
        <v>0</v>
      </c>
      <c r="E160" s="4" t="s">
        <v>531</v>
      </c>
    </row>
    <row r="161" customFormat="false" ht="23.85" hidden="false" customHeight="false" outlineLevel="0" collapsed="false">
      <c r="A161" s="4" t="s">
        <v>687</v>
      </c>
      <c r="B161" s="5" t="n">
        <v>0.179</v>
      </c>
      <c r="C161" s="5" t="n">
        <v>0.165</v>
      </c>
      <c r="D161" s="5" t="n">
        <f aca="false">IF(AND(ISNUMBER(B161),ISNUMBER(C161)),C161-B161,"")</f>
        <v>-0.014</v>
      </c>
      <c r="E161" s="4" t="s">
        <v>605</v>
      </c>
    </row>
    <row r="162" customFormat="false" ht="15" hidden="false" customHeight="false" outlineLevel="0" collapsed="false">
      <c r="A162" s="4" t="s">
        <v>688</v>
      </c>
      <c r="B162" s="5" t="n">
        <v>0.536</v>
      </c>
      <c r="C162" s="5" t="n">
        <v>0.536</v>
      </c>
      <c r="D162" s="5" t="n">
        <f aca="false">IF(AND(ISNUMBER(B162),ISNUMBER(C162)),C162-B162,"")</f>
        <v>0</v>
      </c>
      <c r="E162" s="4" t="s">
        <v>531</v>
      </c>
    </row>
    <row r="163" customFormat="false" ht="23.85" hidden="false" customHeight="false" outlineLevel="0" collapsed="false">
      <c r="A163" s="4" t="s">
        <v>689</v>
      </c>
      <c r="B163" s="5" t="n">
        <v>0.184</v>
      </c>
      <c r="C163" s="5" t="n">
        <v>0.18</v>
      </c>
      <c r="D163" s="5" t="n">
        <f aca="false">IF(AND(ISNUMBER(B163),ISNUMBER(C163)),C163-B163,"")</f>
        <v>-0.004</v>
      </c>
      <c r="E163" s="4" t="s">
        <v>605</v>
      </c>
    </row>
    <row r="164" customFormat="false" ht="15" hidden="false" customHeight="false" outlineLevel="0" collapsed="false">
      <c r="A164" s="4" t="s">
        <v>690</v>
      </c>
      <c r="B164" s="5" t="n">
        <v>0.627</v>
      </c>
      <c r="C164" s="5" t="n">
        <v>0.627</v>
      </c>
      <c r="D164" s="5" t="n">
        <f aca="false">IF(AND(ISNUMBER(B164),ISNUMBER(C164)),C164-B164,"")</f>
        <v>0</v>
      </c>
      <c r="E164" s="4" t="s">
        <v>531</v>
      </c>
    </row>
    <row r="165" customFormat="false" ht="23.85" hidden="false" customHeight="false" outlineLevel="0" collapsed="false">
      <c r="A165" s="4" t="s">
        <v>691</v>
      </c>
      <c r="B165" s="5" t="n">
        <v>0.262</v>
      </c>
      <c r="C165" s="5" t="n">
        <v>0.242</v>
      </c>
      <c r="D165" s="5" t="n">
        <f aca="false">IF(AND(ISNUMBER(B165),ISNUMBER(C165)),C165-B165,"")</f>
        <v>-0.02</v>
      </c>
      <c r="E165" s="4" t="s">
        <v>605</v>
      </c>
    </row>
    <row r="166" customFormat="false" ht="15" hidden="false" customHeight="false" outlineLevel="0" collapsed="false">
      <c r="A166" s="4" t="s">
        <v>692</v>
      </c>
      <c r="B166" s="5" t="n">
        <v>0.587</v>
      </c>
      <c r="C166" s="5" t="n">
        <v>0.587</v>
      </c>
      <c r="D166" s="5" t="n">
        <f aca="false">IF(AND(ISNUMBER(B166),ISNUMBER(C166)),C166-B166,"")</f>
        <v>0</v>
      </c>
      <c r="E166" s="4" t="s">
        <v>531</v>
      </c>
    </row>
    <row r="167" customFormat="false" ht="23.85" hidden="false" customHeight="false" outlineLevel="0" collapsed="false">
      <c r="A167" s="4" t="s">
        <v>693</v>
      </c>
      <c r="B167" s="5" t="n">
        <v>0.17</v>
      </c>
      <c r="C167" s="5" t="n">
        <v>0.167</v>
      </c>
      <c r="D167" s="5" t="n">
        <f aca="false">IF(AND(ISNUMBER(B167),ISNUMBER(C167)),C167-B167,"")</f>
        <v>-0.003</v>
      </c>
      <c r="E167" s="4" t="s">
        <v>605</v>
      </c>
    </row>
    <row r="168" customFormat="false" ht="15" hidden="false" customHeight="false" outlineLevel="0" collapsed="false">
      <c r="A168" s="4" t="s">
        <v>694</v>
      </c>
      <c r="B168" s="5" t="n">
        <v>-3.243</v>
      </c>
      <c r="C168" s="5" t="n">
        <v>-3.243</v>
      </c>
      <c r="D168" s="5" t="n">
        <f aca="false">IF(AND(ISNUMBER(B168),ISNUMBER(C168)),C168-B168,"")</f>
        <v>0</v>
      </c>
      <c r="E168" s="4" t="s">
        <v>531</v>
      </c>
    </row>
    <row r="169" customFormat="false" ht="23.85" hidden="false" customHeight="false" outlineLevel="0" collapsed="false">
      <c r="A169" s="4" t="s">
        <v>695</v>
      </c>
      <c r="B169" s="5" t="n">
        <v>0.386</v>
      </c>
      <c r="C169" s="5" t="n">
        <v>0.408</v>
      </c>
      <c r="D169" s="5" t="n">
        <f aca="false">IF(AND(ISNUMBER(B169),ISNUMBER(C169)),C169-B169,"")</f>
        <v>0.022</v>
      </c>
      <c r="E169" s="4" t="s">
        <v>605</v>
      </c>
    </row>
    <row r="170" customFormat="false" ht="15" hidden="false" customHeight="false" outlineLevel="0" collapsed="false">
      <c r="A170" s="4" t="s">
        <v>696</v>
      </c>
      <c r="B170" s="5" t="n">
        <v>-3.139</v>
      </c>
      <c r="C170" s="5" t="n">
        <v>-3.139</v>
      </c>
      <c r="D170" s="5" t="n">
        <f aca="false">IF(AND(ISNUMBER(B170),ISNUMBER(C170)),C170-B170,"")</f>
        <v>0</v>
      </c>
      <c r="E170" s="4" t="s">
        <v>531</v>
      </c>
    </row>
    <row r="171" customFormat="false" ht="23.85" hidden="false" customHeight="false" outlineLevel="0" collapsed="false">
      <c r="A171" s="4" t="s">
        <v>697</v>
      </c>
      <c r="B171" s="5" t="n">
        <v>0.479</v>
      </c>
      <c r="C171" s="5" t="n">
        <v>0.488</v>
      </c>
      <c r="D171" s="5" t="n">
        <f aca="false">IF(AND(ISNUMBER(B171),ISNUMBER(C171)),C171-B171,"")</f>
        <v>0.00900000000000001</v>
      </c>
      <c r="E171" s="4" t="s">
        <v>605</v>
      </c>
    </row>
    <row r="172" customFormat="false" ht="15" hidden="false" customHeight="false" outlineLevel="0" collapsed="false">
      <c r="A172" s="4" t="s">
        <v>698</v>
      </c>
      <c r="B172" s="5" t="n">
        <v>-3.442</v>
      </c>
      <c r="C172" s="5" t="n">
        <v>-3.442</v>
      </c>
      <c r="D172" s="5" t="n">
        <f aca="false">IF(AND(ISNUMBER(B172),ISNUMBER(C172)),C172-B172,"")</f>
        <v>0</v>
      </c>
      <c r="E172" s="4" t="s">
        <v>531</v>
      </c>
    </row>
    <row r="173" customFormat="false" ht="23.85" hidden="false" customHeight="false" outlineLevel="0" collapsed="false">
      <c r="A173" s="4" t="s">
        <v>699</v>
      </c>
      <c r="B173" s="5" t="n">
        <v>0.409</v>
      </c>
      <c r="C173" s="5" t="n">
        <v>0.429</v>
      </c>
      <c r="D173" s="5" t="n">
        <f aca="false">IF(AND(ISNUMBER(B173),ISNUMBER(C173)),C173-B173,"")</f>
        <v>0.02</v>
      </c>
      <c r="E173" s="4" t="s">
        <v>605</v>
      </c>
    </row>
    <row r="174" customFormat="false" ht="15" hidden="false" customHeight="false" outlineLevel="0" collapsed="false">
      <c r="A174" s="4" t="s">
        <v>700</v>
      </c>
      <c r="B174" s="5" t="n">
        <v>-3.189</v>
      </c>
      <c r="C174" s="5" t="n">
        <v>-3.189</v>
      </c>
      <c r="D174" s="5" t="n">
        <f aca="false">IF(AND(ISNUMBER(B174),ISNUMBER(C174)),C174-B174,"")</f>
        <v>0</v>
      </c>
      <c r="E174" s="4" t="s">
        <v>531</v>
      </c>
    </row>
    <row r="175" customFormat="false" ht="23.85" hidden="false" customHeight="false" outlineLevel="0" collapsed="false">
      <c r="A175" s="4" t="s">
        <v>701</v>
      </c>
      <c r="B175" s="5" t="n">
        <v>0.479</v>
      </c>
      <c r="C175" s="5" t="n">
        <v>0.481</v>
      </c>
      <c r="D175" s="5" t="n">
        <f aca="false">IF(AND(ISNUMBER(B175),ISNUMBER(C175)),C175-B175,"")</f>
        <v>0.002</v>
      </c>
      <c r="E175" s="4" t="s">
        <v>605</v>
      </c>
    </row>
    <row r="176" customFormat="false" ht="15" hidden="false" customHeight="false" outlineLevel="0" collapsed="false">
      <c r="A176" s="4" t="s">
        <v>702</v>
      </c>
      <c r="B176" s="5" t="n">
        <v>-3.415</v>
      </c>
      <c r="C176" s="5" t="n">
        <v>-3.415</v>
      </c>
      <c r="D176" s="5" t="n">
        <f aca="false">IF(AND(ISNUMBER(B176),ISNUMBER(C176)),C176-B176,"")</f>
        <v>0</v>
      </c>
      <c r="E176" s="4" t="s">
        <v>531</v>
      </c>
    </row>
    <row r="177" customFormat="false" ht="23.85" hidden="false" customHeight="false" outlineLevel="0" collapsed="false">
      <c r="A177" s="4" t="s">
        <v>703</v>
      </c>
      <c r="B177" s="5" t="n">
        <v>0.426</v>
      </c>
      <c r="C177" s="5" t="n">
        <v>0.438</v>
      </c>
      <c r="D177" s="5" t="n">
        <f aca="false">IF(AND(ISNUMBER(B177),ISNUMBER(C177)),C177-B177,"")</f>
        <v>0.012</v>
      </c>
      <c r="E177" s="4" t="s">
        <v>605</v>
      </c>
    </row>
    <row r="178" customFormat="false" ht="15" hidden="false" customHeight="false" outlineLevel="0" collapsed="false">
      <c r="A178" s="4" t="s">
        <v>704</v>
      </c>
      <c r="B178" s="5" t="n">
        <v>-1.036</v>
      </c>
      <c r="C178" s="5" t="n">
        <v>-1.036</v>
      </c>
      <c r="D178" s="5" t="n">
        <f aca="false">IF(AND(ISNUMBER(B178),ISNUMBER(C178)),C178-B178,"")</f>
        <v>0</v>
      </c>
      <c r="E178" s="4" t="s">
        <v>531</v>
      </c>
    </row>
    <row r="179" customFormat="false" ht="23.85" hidden="false" customHeight="false" outlineLevel="0" collapsed="false">
      <c r="A179" s="4" t="s">
        <v>705</v>
      </c>
      <c r="B179" s="5" t="n">
        <v>0.399</v>
      </c>
      <c r="C179" s="5" t="n">
        <v>0.441</v>
      </c>
      <c r="D179" s="5" t="n">
        <f aca="false">IF(AND(ISNUMBER(B179),ISNUMBER(C179)),C179-B179,"")</f>
        <v>0.042</v>
      </c>
      <c r="E179" s="4" t="s">
        <v>605</v>
      </c>
    </row>
    <row r="180" customFormat="false" ht="15" hidden="false" customHeight="false" outlineLevel="0" collapsed="false">
      <c r="A180" s="4" t="s">
        <v>706</v>
      </c>
      <c r="B180" s="5" t="n">
        <v>-1.082</v>
      </c>
      <c r="C180" s="5" t="n">
        <v>-1.082</v>
      </c>
      <c r="D180" s="5" t="n">
        <f aca="false">IF(AND(ISNUMBER(B180),ISNUMBER(C180)),C180-B180,"")</f>
        <v>0</v>
      </c>
      <c r="E180" s="4" t="s">
        <v>531</v>
      </c>
    </row>
    <row r="181" customFormat="false" ht="23.85" hidden="false" customHeight="false" outlineLevel="0" collapsed="false">
      <c r="A181" s="4" t="s">
        <v>707</v>
      </c>
      <c r="B181" s="5" t="n">
        <v>0.509</v>
      </c>
      <c r="C181" s="5" t="n">
        <v>0.529</v>
      </c>
      <c r="D181" s="5" t="n">
        <f aca="false">IF(AND(ISNUMBER(B181),ISNUMBER(C181)),C181-B181,"")</f>
        <v>0.02</v>
      </c>
      <c r="E181" s="4" t="s">
        <v>605</v>
      </c>
    </row>
    <row r="182" customFormat="false" ht="15" hidden="false" customHeight="false" outlineLevel="0" collapsed="false">
      <c r="A182" s="4" t="s">
        <v>708</v>
      </c>
      <c r="B182" s="5" t="n">
        <v>-1.441</v>
      </c>
      <c r="C182" s="5" t="n">
        <v>-1.441</v>
      </c>
      <c r="D182" s="5" t="n">
        <f aca="false">IF(AND(ISNUMBER(B182),ISNUMBER(C182)),C182-B182,"")</f>
        <v>0</v>
      </c>
      <c r="E182" s="4" t="s">
        <v>531</v>
      </c>
    </row>
    <row r="183" customFormat="false" ht="23.85" hidden="false" customHeight="false" outlineLevel="0" collapsed="false">
      <c r="A183" s="4" t="s">
        <v>709</v>
      </c>
      <c r="B183" s="5" t="n">
        <v>0.431</v>
      </c>
      <c r="C183" s="5" t="n">
        <v>0.464</v>
      </c>
      <c r="D183" s="5" t="n">
        <f aca="false">IF(AND(ISNUMBER(B183),ISNUMBER(C183)),C183-B183,"")</f>
        <v>0.033</v>
      </c>
      <c r="E183" s="4" t="s">
        <v>605</v>
      </c>
    </row>
    <row r="184" customFormat="false" ht="15" hidden="false" customHeight="false" outlineLevel="0" collapsed="false">
      <c r="A184" s="4" t="s">
        <v>710</v>
      </c>
      <c r="B184" s="5" t="n">
        <v>-1.719</v>
      </c>
      <c r="C184" s="5" t="n">
        <v>-1.719</v>
      </c>
      <c r="D184" s="5" t="n">
        <f aca="false">IF(AND(ISNUMBER(B184),ISNUMBER(C184)),C184-B184,"")</f>
        <v>0</v>
      </c>
      <c r="E184" s="4" t="s">
        <v>531</v>
      </c>
    </row>
    <row r="185" customFormat="false" ht="23.85" hidden="false" customHeight="false" outlineLevel="0" collapsed="false">
      <c r="A185" s="4" t="s">
        <v>711</v>
      </c>
      <c r="B185" s="5" t="n">
        <v>0.566</v>
      </c>
      <c r="C185" s="5" t="n">
        <v>0.583</v>
      </c>
      <c r="D185" s="5" t="n">
        <f aca="false">IF(AND(ISNUMBER(B185),ISNUMBER(C185)),C185-B185,"")</f>
        <v>0.017</v>
      </c>
      <c r="E185" s="4" t="s">
        <v>605</v>
      </c>
    </row>
    <row r="186" customFormat="false" ht="15" hidden="false" customHeight="false" outlineLevel="0" collapsed="false">
      <c r="A186" s="4" t="s">
        <v>712</v>
      </c>
      <c r="B186" s="5" t="n">
        <v>-1.458</v>
      </c>
      <c r="C186" s="5" t="n">
        <v>-1.458</v>
      </c>
      <c r="D186" s="5" t="n">
        <f aca="false">IF(AND(ISNUMBER(B186),ISNUMBER(C186)),C186-B186,"")</f>
        <v>0</v>
      </c>
      <c r="E186" s="4" t="s">
        <v>531</v>
      </c>
    </row>
    <row r="187" customFormat="false" ht="23.85" hidden="false" customHeight="false" outlineLevel="0" collapsed="false">
      <c r="A187" s="4" t="s">
        <v>713</v>
      </c>
      <c r="B187" s="5" t="n">
        <v>0.476</v>
      </c>
      <c r="C187" s="5" t="n">
        <v>0.503</v>
      </c>
      <c r="D187" s="5" t="n">
        <f aca="false">IF(AND(ISNUMBER(B187),ISNUMBER(C187)),C187-B187,"")</f>
        <v>0.027</v>
      </c>
      <c r="E187" s="4" t="s">
        <v>605</v>
      </c>
    </row>
    <row r="188" customFormat="false" ht="15" hidden="false" customHeight="false" outlineLevel="0" collapsed="false">
      <c r="A188" s="4" t="s">
        <v>714</v>
      </c>
      <c r="B188" s="5" t="n">
        <v>-0.494</v>
      </c>
      <c r="C188" s="5" t="n">
        <v>-0.494</v>
      </c>
      <c r="D188" s="5" t="n">
        <f aca="false">IF(AND(ISNUMBER(B188),ISNUMBER(C188)),C188-B188,"")</f>
        <v>0</v>
      </c>
      <c r="E188" s="4" t="s">
        <v>531</v>
      </c>
    </row>
    <row r="189" customFormat="false" ht="23.85" hidden="false" customHeight="false" outlineLevel="0" collapsed="false">
      <c r="A189" s="4" t="s">
        <v>715</v>
      </c>
      <c r="B189" s="5" t="n">
        <v>0.38</v>
      </c>
      <c r="C189" s="5" t="n">
        <v>0.398</v>
      </c>
      <c r="D189" s="5" t="n">
        <f aca="false">IF(AND(ISNUMBER(B189),ISNUMBER(C189)),C189-B189,"")</f>
        <v>0.018</v>
      </c>
      <c r="E189" s="4" t="s">
        <v>605</v>
      </c>
    </row>
    <row r="190" customFormat="false" ht="15" hidden="false" customHeight="false" outlineLevel="0" collapsed="false">
      <c r="A190" s="4" t="s">
        <v>716</v>
      </c>
      <c r="B190" s="5" t="n">
        <v>-0.506</v>
      </c>
      <c r="C190" s="5" t="n">
        <v>-0.506</v>
      </c>
      <c r="D190" s="5" t="n">
        <f aca="false">IF(AND(ISNUMBER(B190),ISNUMBER(C190)),C190-B190,"")</f>
        <v>0</v>
      </c>
      <c r="E190" s="4" t="s">
        <v>531</v>
      </c>
    </row>
    <row r="191" customFormat="false" ht="23.85" hidden="false" customHeight="false" outlineLevel="0" collapsed="false">
      <c r="A191" s="4" t="s">
        <v>717</v>
      </c>
      <c r="B191" s="5" t="n">
        <v>0.457</v>
      </c>
      <c r="C191" s="5" t="n">
        <v>0.482</v>
      </c>
      <c r="D191" s="5" t="n">
        <f aca="false">IF(AND(ISNUMBER(B191),ISNUMBER(C191)),C191-B191,"")</f>
        <v>0.025</v>
      </c>
      <c r="E191" s="4" t="s">
        <v>605</v>
      </c>
    </row>
    <row r="192" customFormat="false" ht="15" hidden="false" customHeight="false" outlineLevel="0" collapsed="false">
      <c r="A192" s="4" t="s">
        <v>718</v>
      </c>
      <c r="B192" s="5" t="n">
        <v>-0.847</v>
      </c>
      <c r="C192" s="5" t="n">
        <v>-0.847</v>
      </c>
      <c r="D192" s="5" t="n">
        <f aca="false">IF(AND(ISNUMBER(B192),ISNUMBER(C192)),C192-B192,"")</f>
        <v>0</v>
      </c>
      <c r="E192" s="4" t="s">
        <v>531</v>
      </c>
    </row>
    <row r="193" customFormat="false" ht="23.85" hidden="false" customHeight="false" outlineLevel="0" collapsed="false">
      <c r="A193" s="4" t="s">
        <v>719</v>
      </c>
      <c r="B193" s="5" t="n">
        <v>0.494</v>
      </c>
      <c r="C193" s="5" t="n">
        <v>0.53</v>
      </c>
      <c r="D193" s="5" t="n">
        <f aca="false">IF(AND(ISNUMBER(B193),ISNUMBER(C193)),C193-B193,"")</f>
        <v>0.036</v>
      </c>
      <c r="E193" s="4" t="s">
        <v>605</v>
      </c>
    </row>
    <row r="194" customFormat="false" ht="15" hidden="false" customHeight="false" outlineLevel="0" collapsed="false">
      <c r="A194" s="4" t="s">
        <v>720</v>
      </c>
      <c r="B194" s="5" t="n">
        <v>-0.901</v>
      </c>
      <c r="C194" s="5" t="n">
        <v>-0.901</v>
      </c>
      <c r="D194" s="5" t="n">
        <f aca="false">IF(AND(ISNUMBER(B194),ISNUMBER(C194)),C194-B194,"")</f>
        <v>0</v>
      </c>
      <c r="E194" s="4" t="s">
        <v>531</v>
      </c>
    </row>
    <row r="195" customFormat="false" ht="23.85" hidden="false" customHeight="false" outlineLevel="0" collapsed="false">
      <c r="A195" s="4" t="s">
        <v>721</v>
      </c>
      <c r="B195" s="5" t="n">
        <v>0.608</v>
      </c>
      <c r="C195" s="5" t="n">
        <v>0.638</v>
      </c>
      <c r="D195" s="5" t="n">
        <f aca="false">IF(AND(ISNUMBER(B195),ISNUMBER(C195)),C195-B195,"")</f>
        <v>0.03</v>
      </c>
      <c r="E195" s="4" t="s">
        <v>605</v>
      </c>
    </row>
    <row r="196" customFormat="false" ht="15" hidden="false" customHeight="false" outlineLevel="0" collapsed="false">
      <c r="A196" s="4" t="s">
        <v>722</v>
      </c>
      <c r="B196" s="5" t="n">
        <v>-0.891</v>
      </c>
      <c r="C196" s="5" t="n">
        <v>-0.891</v>
      </c>
      <c r="D196" s="5" t="n">
        <f aca="false">IF(AND(ISNUMBER(B196),ISNUMBER(C196)),C196-B196,"")</f>
        <v>0</v>
      </c>
      <c r="E196" s="4" t="s">
        <v>531</v>
      </c>
    </row>
    <row r="197" customFormat="false" ht="23.85" hidden="false" customHeight="false" outlineLevel="0" collapsed="false">
      <c r="A197" s="4" t="s">
        <v>723</v>
      </c>
      <c r="B197" s="5" t="n">
        <v>0.56</v>
      </c>
      <c r="C197" s="5" t="n">
        <v>0.587</v>
      </c>
      <c r="D197" s="5" t="n">
        <f aca="false">IF(AND(ISNUMBER(B197),ISNUMBER(C197)),C197-B197,"")</f>
        <v>0.0269999999999999</v>
      </c>
      <c r="E197" s="4" t="s">
        <v>605</v>
      </c>
    </row>
    <row r="198" customFormat="false" ht="15" hidden="false" customHeight="false" outlineLevel="0" collapsed="false">
      <c r="A198" s="4" t="s">
        <v>724</v>
      </c>
      <c r="B198" s="5" t="n">
        <v>0.084</v>
      </c>
      <c r="C198" s="5" t="n">
        <v>0.084</v>
      </c>
      <c r="D198" s="5" t="n">
        <f aca="false">IF(AND(ISNUMBER(B198),ISNUMBER(C198)),C198-B198,"")</f>
        <v>0</v>
      </c>
      <c r="E198" s="4" t="s">
        <v>531</v>
      </c>
    </row>
    <row r="199" customFormat="false" ht="15" hidden="false" customHeight="false" outlineLevel="0" collapsed="false">
      <c r="A199" s="4" t="s">
        <v>725</v>
      </c>
      <c r="B199" s="5" t="n">
        <v>0.082</v>
      </c>
      <c r="C199" s="5" t="n">
        <v>0.082</v>
      </c>
      <c r="D199" s="5" t="n">
        <f aca="false">IF(AND(ISNUMBER(B199),ISNUMBER(C199)),C199-B199,"")</f>
        <v>0</v>
      </c>
      <c r="E199" s="4" t="s">
        <v>531</v>
      </c>
    </row>
    <row r="200" customFormat="false" ht="15" hidden="false" customHeight="false" outlineLevel="0" collapsed="false">
      <c r="A200" s="4" t="s">
        <v>726</v>
      </c>
      <c r="B200" s="5" t="n">
        <v>0</v>
      </c>
      <c r="C200" s="5" t="n">
        <v>0</v>
      </c>
      <c r="D200" s="5" t="n">
        <f aca="false">IF(AND(ISNUMBER(B200),ISNUMBER(C200)),C200-B200,"")</f>
        <v>0</v>
      </c>
      <c r="E200" s="4" t="s">
        <v>531</v>
      </c>
    </row>
    <row r="201" customFormat="false" ht="15" hidden="false" customHeight="false" outlineLevel="0" collapsed="false">
      <c r="A201" s="4" t="s">
        <v>727</v>
      </c>
      <c r="B201" s="5" t="n">
        <v>0.085</v>
      </c>
      <c r="C201" s="5" t="n">
        <v>0.085</v>
      </c>
      <c r="D201" s="5" t="n">
        <f aca="false">IF(AND(ISNUMBER(B201),ISNUMBER(C201)),C201-B201,"")</f>
        <v>0</v>
      </c>
      <c r="E201" s="4" t="s">
        <v>531</v>
      </c>
    </row>
    <row r="202" customFormat="false" ht="15" hidden="false" customHeight="false" outlineLevel="0" collapsed="false">
      <c r="A202" s="4" t="s">
        <v>728</v>
      </c>
      <c r="B202" s="5" t="n">
        <v>0.082</v>
      </c>
      <c r="C202" s="5" t="n">
        <v>0.082</v>
      </c>
      <c r="D202" s="5" t="n">
        <f aca="false">IF(AND(ISNUMBER(B202),ISNUMBER(C202)),C202-B202,"")</f>
        <v>0</v>
      </c>
      <c r="E202" s="4" t="s">
        <v>531</v>
      </c>
    </row>
    <row r="203" customFormat="false" ht="15" hidden="false" customHeight="false" outlineLevel="0" collapsed="false">
      <c r="A203" s="4" t="s">
        <v>729</v>
      </c>
      <c r="B203" s="5" t="n">
        <v>0.298</v>
      </c>
      <c r="C203" s="5" t="n">
        <v>0.298</v>
      </c>
      <c r="D203" s="5" t="n">
        <f aca="false">IF(AND(ISNUMBER(B203),ISNUMBER(C203)),C203-B203,"")</f>
        <v>0</v>
      </c>
      <c r="E203" s="4" t="s">
        <v>531</v>
      </c>
    </row>
    <row r="204" customFormat="false" ht="15" hidden="false" customHeight="false" outlineLevel="0" collapsed="false">
      <c r="A204" s="4" t="s">
        <v>730</v>
      </c>
      <c r="B204" s="5" t="n">
        <v>0.078</v>
      </c>
      <c r="C204" s="5" t="n">
        <v>0.078</v>
      </c>
      <c r="D204" s="5" t="n">
        <f aca="false">IF(AND(ISNUMBER(B204),ISNUMBER(C204)),C204-B204,"")</f>
        <v>0</v>
      </c>
      <c r="E204" s="4" t="s">
        <v>531</v>
      </c>
    </row>
    <row r="205" customFormat="false" ht="15" hidden="false" customHeight="false" outlineLevel="0" collapsed="false">
      <c r="A205" s="4" t="s">
        <v>731</v>
      </c>
      <c r="B205" s="5" t="n">
        <v>0.078</v>
      </c>
      <c r="C205" s="5" t="n">
        <v>0.078</v>
      </c>
      <c r="D205" s="5" t="n">
        <f aca="false">IF(AND(ISNUMBER(B205),ISNUMBER(C205)),C205-B205,"")</f>
        <v>0</v>
      </c>
      <c r="E205" s="4" t="s">
        <v>531</v>
      </c>
    </row>
    <row r="206" customFormat="false" ht="15" hidden="false" customHeight="false" outlineLevel="0" collapsed="false">
      <c r="A206" s="4" t="s">
        <v>732</v>
      </c>
      <c r="B206" s="5" t="n">
        <v>0.122</v>
      </c>
      <c r="C206" s="5" t="n">
        <v>0.122</v>
      </c>
      <c r="D206" s="5" t="n">
        <f aca="false">IF(AND(ISNUMBER(B206),ISNUMBER(C206)),C206-B206,"")</f>
        <v>0</v>
      </c>
      <c r="E206" s="4" t="s">
        <v>531</v>
      </c>
    </row>
    <row r="207" customFormat="false" ht="15" hidden="false" customHeight="false" outlineLevel="0" collapsed="false">
      <c r="A207" s="4" t="s">
        <v>733</v>
      </c>
      <c r="B207" s="5" t="n">
        <v>0.062</v>
      </c>
      <c r="C207" s="5" t="n">
        <v>0.062</v>
      </c>
      <c r="D207" s="5" t="n">
        <f aca="false">IF(AND(ISNUMBER(B207),ISNUMBER(C207)),C207-B207,"")</f>
        <v>0</v>
      </c>
      <c r="E207" s="4" t="s">
        <v>531</v>
      </c>
    </row>
    <row r="208" customFormat="false" ht="15" hidden="false" customHeight="false" outlineLevel="0" collapsed="false">
      <c r="A208" s="4" t="s">
        <v>734</v>
      </c>
      <c r="B208" s="5" t="n">
        <v>0.062</v>
      </c>
      <c r="C208" s="5" t="n">
        <v>0.062</v>
      </c>
      <c r="D208" s="5" t="n">
        <f aca="false">IF(AND(ISNUMBER(B208),ISNUMBER(C208)),C208-B208,"")</f>
        <v>0</v>
      </c>
      <c r="E208" s="4" t="s">
        <v>531</v>
      </c>
    </row>
    <row r="209" customFormat="false" ht="15" hidden="false" customHeight="false" outlineLevel="0" collapsed="false">
      <c r="A209" s="4" t="s">
        <v>735</v>
      </c>
      <c r="B209" s="5" t="n">
        <v>0</v>
      </c>
      <c r="C209" s="5" t="n">
        <v>0</v>
      </c>
      <c r="D209" s="5" t="n">
        <f aca="false">IF(AND(ISNUMBER(B209),ISNUMBER(C209)),C209-B209,"")</f>
        <v>0</v>
      </c>
      <c r="E209" s="4" t="s">
        <v>531</v>
      </c>
    </row>
    <row r="210" customFormat="false" ht="15" hidden="false" customHeight="false" outlineLevel="0" collapsed="false">
      <c r="A210" s="4" t="s">
        <v>736</v>
      </c>
      <c r="B210" s="5" t="n">
        <v>0.072</v>
      </c>
      <c r="C210" s="5" t="n">
        <v>0.072</v>
      </c>
      <c r="D210" s="5" t="n">
        <f aca="false">IF(AND(ISNUMBER(B210),ISNUMBER(C210)),C210-B210,"")</f>
        <v>0</v>
      </c>
      <c r="E210" s="4" t="s">
        <v>531</v>
      </c>
    </row>
    <row r="211" customFormat="false" ht="15" hidden="false" customHeight="false" outlineLevel="0" collapsed="false">
      <c r="A211" s="4" t="s">
        <v>737</v>
      </c>
      <c r="B211" s="5" t="n">
        <v>0.072</v>
      </c>
      <c r="C211" s="5" t="n">
        <v>0.072</v>
      </c>
      <c r="D211" s="5" t="n">
        <f aca="false">IF(AND(ISNUMBER(B211),ISNUMBER(C211)),C211-B211,"")</f>
        <v>0</v>
      </c>
      <c r="E211" s="4" t="s">
        <v>531</v>
      </c>
    </row>
    <row r="212" customFormat="false" ht="15" hidden="false" customHeight="false" outlineLevel="0" collapsed="false">
      <c r="A212" s="4" t="s">
        <v>738</v>
      </c>
      <c r="B212" s="5" t="n">
        <v>0</v>
      </c>
      <c r="C212" s="5" t="n">
        <v>0</v>
      </c>
      <c r="D212" s="5" t="n">
        <f aca="false">IF(AND(ISNUMBER(B212),ISNUMBER(C212)),C212-B212,"")</f>
        <v>0</v>
      </c>
      <c r="E212" s="4" t="s">
        <v>531</v>
      </c>
    </row>
    <row r="213" customFormat="false" ht="15" hidden="false" customHeight="false" outlineLevel="0" collapsed="false">
      <c r="A213" s="4" t="s">
        <v>739</v>
      </c>
      <c r="B213" s="5" t="n">
        <v>0.073</v>
      </c>
      <c r="C213" s="5" t="n">
        <v>0.073</v>
      </c>
      <c r="D213" s="5" t="n">
        <f aca="false">IF(AND(ISNUMBER(B213),ISNUMBER(C213)),C213-B213,"")</f>
        <v>0</v>
      </c>
      <c r="E213" s="4" t="s">
        <v>531</v>
      </c>
    </row>
    <row r="214" customFormat="false" ht="15" hidden="false" customHeight="false" outlineLevel="0" collapsed="false">
      <c r="A214" s="4" t="s">
        <v>740</v>
      </c>
      <c r="B214" s="5" t="n">
        <v>0.072</v>
      </c>
      <c r="C214" s="5" t="n">
        <v>0.072</v>
      </c>
      <c r="D214" s="5" t="n">
        <f aca="false">IF(AND(ISNUMBER(B214),ISNUMBER(C214)),C214-B214,"")</f>
        <v>0</v>
      </c>
      <c r="E214" s="4" t="s">
        <v>531</v>
      </c>
    </row>
    <row r="215" customFormat="false" ht="15" hidden="false" customHeight="false" outlineLevel="0" collapsed="false">
      <c r="A215" s="4" t="s">
        <v>741</v>
      </c>
      <c r="B215" s="5" t="n">
        <v>0.267</v>
      </c>
      <c r="C215" s="5" t="n">
        <v>0.267</v>
      </c>
      <c r="D215" s="5" t="n">
        <f aca="false">IF(AND(ISNUMBER(B215),ISNUMBER(C215)),C215-B215,"")</f>
        <v>0</v>
      </c>
      <c r="E215" s="4" t="s">
        <v>531</v>
      </c>
    </row>
    <row r="216" customFormat="false" ht="15" hidden="false" customHeight="false" outlineLevel="0" collapsed="false">
      <c r="A216" s="4" t="s">
        <v>742</v>
      </c>
      <c r="B216" s="5" t="n">
        <v>0.077</v>
      </c>
      <c r="C216" s="5" t="n">
        <v>0.077</v>
      </c>
      <c r="D216" s="5" t="n">
        <f aca="false">IF(AND(ISNUMBER(B216),ISNUMBER(C216)),C216-B216,"")</f>
        <v>0</v>
      </c>
      <c r="E216" s="4" t="s">
        <v>531</v>
      </c>
    </row>
    <row r="217" customFormat="false" ht="15" hidden="false" customHeight="false" outlineLevel="0" collapsed="false">
      <c r="A217" s="4" t="s">
        <v>743</v>
      </c>
      <c r="B217" s="5" t="n">
        <v>0.071</v>
      </c>
      <c r="C217" s="5" t="n">
        <v>0.071</v>
      </c>
      <c r="D217" s="5" t="n">
        <f aca="false">IF(AND(ISNUMBER(B217),ISNUMBER(C217)),C217-B217,"")</f>
        <v>0</v>
      </c>
      <c r="E217" s="4" t="s">
        <v>531</v>
      </c>
    </row>
    <row r="218" customFormat="false" ht="15" hidden="false" customHeight="false" outlineLevel="0" collapsed="false">
      <c r="A218" s="4" t="s">
        <v>744</v>
      </c>
      <c r="B218" s="5" t="n">
        <v>0.3</v>
      </c>
      <c r="C218" s="5" t="n">
        <v>0.3</v>
      </c>
      <c r="D218" s="5" t="n">
        <f aca="false">IF(AND(ISNUMBER(B218),ISNUMBER(C218)),C218-B218,"")</f>
        <v>0</v>
      </c>
      <c r="E218" s="4" t="s">
        <v>531</v>
      </c>
    </row>
    <row r="219" customFormat="false" ht="15" hidden="false" customHeight="false" outlineLevel="0" collapsed="false">
      <c r="A219" s="4" t="s">
        <v>745</v>
      </c>
      <c r="B219" s="5" t="n">
        <v>0.082</v>
      </c>
      <c r="C219" s="5" t="n">
        <v>0.082</v>
      </c>
      <c r="D219" s="5" t="n">
        <f aca="false">IF(AND(ISNUMBER(B219),ISNUMBER(C219)),C219-B219,"")</f>
        <v>0</v>
      </c>
      <c r="E219" s="4" t="s">
        <v>531</v>
      </c>
    </row>
    <row r="220" customFormat="false" ht="15" hidden="false" customHeight="false" outlineLevel="0" collapsed="false">
      <c r="A220" s="4" t="s">
        <v>746</v>
      </c>
      <c r="B220" s="5" t="n">
        <v>0.079</v>
      </c>
      <c r="C220" s="5" t="n">
        <v>0.079</v>
      </c>
      <c r="D220" s="5" t="n">
        <f aca="false">IF(AND(ISNUMBER(B220),ISNUMBER(C220)),C220-B220,"")</f>
        <v>0</v>
      </c>
      <c r="E220" s="4" t="s">
        <v>531</v>
      </c>
    </row>
    <row r="221" customFormat="false" ht="15" hidden="false" customHeight="false" outlineLevel="0" collapsed="false">
      <c r="A221" s="4" t="s">
        <v>747</v>
      </c>
      <c r="B221" s="5" t="n">
        <v>0.924</v>
      </c>
      <c r="C221" s="5" t="n">
        <v>0.924</v>
      </c>
      <c r="D221" s="5" t="n">
        <f aca="false">IF(AND(ISNUMBER(B221),ISNUMBER(C221)),C221-B221,"")</f>
        <v>0</v>
      </c>
      <c r="E221" s="4" t="s">
        <v>531</v>
      </c>
    </row>
    <row r="222" customFormat="false" ht="15" hidden="false" customHeight="false" outlineLevel="0" collapsed="false">
      <c r="A222" s="4" t="s">
        <v>748</v>
      </c>
      <c r="B222" s="5" t="n">
        <v>0.146</v>
      </c>
      <c r="C222" s="5" t="n">
        <v>0.146</v>
      </c>
      <c r="D222" s="5" t="n">
        <f aca="false">IF(AND(ISNUMBER(B222),ISNUMBER(C222)),C222-B222,"")</f>
        <v>0</v>
      </c>
      <c r="E222" s="4" t="s">
        <v>531</v>
      </c>
    </row>
    <row r="223" customFormat="false" ht="15" hidden="false" customHeight="false" outlineLevel="0" collapsed="false">
      <c r="A223" s="4" t="s">
        <v>749</v>
      </c>
      <c r="B223" s="5" t="n">
        <v>0.147</v>
      </c>
      <c r="C223" s="5" t="n">
        <v>0.147</v>
      </c>
      <c r="D223" s="5" t="n">
        <f aca="false">IF(AND(ISNUMBER(B223),ISNUMBER(C223)),C223-B223,"")</f>
        <v>0</v>
      </c>
      <c r="E223" s="4" t="s">
        <v>531</v>
      </c>
    </row>
    <row r="224" customFormat="false" ht="15" hidden="false" customHeight="false" outlineLevel="0" collapsed="false">
      <c r="A224" s="4" t="s">
        <v>750</v>
      </c>
      <c r="B224" s="5" t="n">
        <v>0</v>
      </c>
      <c r="C224" s="5" t="n">
        <v>0</v>
      </c>
      <c r="D224" s="5" t="n">
        <f aca="false">IF(AND(ISNUMBER(B224),ISNUMBER(C224)),C224-B224,"")</f>
        <v>0</v>
      </c>
      <c r="E224" s="4" t="s">
        <v>531</v>
      </c>
    </row>
    <row r="225" customFormat="false" ht="15" hidden="false" customHeight="false" outlineLevel="0" collapsed="false">
      <c r="A225" s="4" t="s">
        <v>751</v>
      </c>
      <c r="B225" s="5" t="n">
        <v>0.48</v>
      </c>
      <c r="C225" s="5" t="n">
        <v>0.48</v>
      </c>
      <c r="D225" s="5" t="n">
        <f aca="false">IF(AND(ISNUMBER(B225),ISNUMBER(C225)),C225-B225,"")</f>
        <v>0</v>
      </c>
      <c r="E225" s="4" t="s">
        <v>531</v>
      </c>
    </row>
    <row r="226" customFormat="false" ht="15" hidden="false" customHeight="false" outlineLevel="0" collapsed="false">
      <c r="A226" s="4" t="s">
        <v>752</v>
      </c>
      <c r="B226" s="5" t="n">
        <v>0.461</v>
      </c>
      <c r="C226" s="5" t="n">
        <v>0.461</v>
      </c>
      <c r="D226" s="5" t="n">
        <f aca="false">IF(AND(ISNUMBER(B226),ISNUMBER(C226)),C226-B226,"")</f>
        <v>0</v>
      </c>
      <c r="E226" s="4" t="s">
        <v>531</v>
      </c>
    </row>
    <row r="227" customFormat="false" ht="15" hidden="false" customHeight="false" outlineLevel="0" collapsed="false">
      <c r="A227" s="4" t="s">
        <v>753</v>
      </c>
      <c r="B227" s="5" t="n">
        <v>0</v>
      </c>
      <c r="C227" s="5" t="n">
        <v>0</v>
      </c>
      <c r="D227" s="5" t="n">
        <f aca="false">IF(AND(ISNUMBER(B227),ISNUMBER(C227)),C227-B227,"")</f>
        <v>0</v>
      </c>
      <c r="E227" s="4" t="s">
        <v>531</v>
      </c>
    </row>
    <row r="228" customFormat="false" ht="15" hidden="false" customHeight="false" outlineLevel="0" collapsed="false">
      <c r="A228" s="4" t="s">
        <v>754</v>
      </c>
      <c r="B228" s="5" t="n">
        <v>0.485</v>
      </c>
      <c r="C228" s="5" t="n">
        <v>0.485</v>
      </c>
      <c r="D228" s="5" t="n">
        <f aca="false">IF(AND(ISNUMBER(B228),ISNUMBER(C228)),C228-B228,"")</f>
        <v>0</v>
      </c>
      <c r="E228" s="4" t="s">
        <v>531</v>
      </c>
    </row>
    <row r="229" customFormat="false" ht="15" hidden="false" customHeight="false" outlineLevel="0" collapsed="false">
      <c r="A229" s="4" t="s">
        <v>755</v>
      </c>
      <c r="B229" s="5" t="n">
        <v>0.481</v>
      </c>
      <c r="C229" s="5" t="n">
        <v>0.481</v>
      </c>
      <c r="D229" s="5" t="n">
        <f aca="false">IF(AND(ISNUMBER(B229),ISNUMBER(C229)),C229-B229,"")</f>
        <v>0</v>
      </c>
      <c r="E229" s="4" t="s">
        <v>531</v>
      </c>
    </row>
    <row r="230" customFormat="false" ht="15" hidden="false" customHeight="false" outlineLevel="0" collapsed="false">
      <c r="A230" s="4" t="s">
        <v>756</v>
      </c>
      <c r="B230" s="5" t="n">
        <v>0.024</v>
      </c>
      <c r="C230" s="5" t="n">
        <v>0.024</v>
      </c>
      <c r="D230" s="5" t="n">
        <f aca="false">IF(AND(ISNUMBER(B230),ISNUMBER(C230)),C230-B230,"")</f>
        <v>0</v>
      </c>
      <c r="E230" s="4" t="s">
        <v>531</v>
      </c>
    </row>
    <row r="231" customFormat="false" ht="15" hidden="false" customHeight="false" outlineLevel="0" collapsed="false">
      <c r="A231" s="4" t="s">
        <v>757</v>
      </c>
      <c r="B231" s="5" t="n">
        <v>0.448</v>
      </c>
      <c r="C231" s="5" t="n">
        <v>0.448</v>
      </c>
      <c r="D231" s="5" t="n">
        <f aca="false">IF(AND(ISNUMBER(B231),ISNUMBER(C231)),C231-B231,"")</f>
        <v>0</v>
      </c>
      <c r="E231" s="4" t="s">
        <v>531</v>
      </c>
    </row>
    <row r="232" customFormat="false" ht="15" hidden="false" customHeight="false" outlineLevel="0" collapsed="false">
      <c r="A232" s="4" t="s">
        <v>758</v>
      </c>
      <c r="B232" s="5" t="n">
        <v>0.447</v>
      </c>
      <c r="C232" s="5" t="n">
        <v>0.447</v>
      </c>
      <c r="D232" s="5" t="n">
        <f aca="false">IF(AND(ISNUMBER(B232),ISNUMBER(C232)),C232-B232,"")</f>
        <v>0</v>
      </c>
      <c r="E232" s="4" t="s">
        <v>531</v>
      </c>
    </row>
    <row r="233" customFormat="false" ht="15" hidden="false" customHeight="false" outlineLevel="0" collapsed="false">
      <c r="A233" s="4" t="s">
        <v>759</v>
      </c>
      <c r="B233" s="5" t="n">
        <v>0.258</v>
      </c>
      <c r="C233" s="5" t="n">
        <v>0.258</v>
      </c>
      <c r="D233" s="5" t="n">
        <f aca="false">IF(AND(ISNUMBER(B233),ISNUMBER(C233)),C233-B233,"")</f>
        <v>0</v>
      </c>
      <c r="E233" s="4" t="s">
        <v>531</v>
      </c>
    </row>
    <row r="234" customFormat="false" ht="15" hidden="false" customHeight="false" outlineLevel="0" collapsed="false">
      <c r="A234" s="4" t="s">
        <v>760</v>
      </c>
      <c r="B234" s="5" t="n">
        <v>0.252</v>
      </c>
      <c r="C234" s="5" t="n">
        <v>0.252</v>
      </c>
      <c r="D234" s="5" t="n">
        <f aca="false">IF(AND(ISNUMBER(B234),ISNUMBER(C234)),C234-B234,"")</f>
        <v>0</v>
      </c>
      <c r="E234" s="4" t="s">
        <v>531</v>
      </c>
    </row>
    <row r="235" customFormat="false" ht="15" hidden="false" customHeight="false" outlineLevel="0" collapsed="false">
      <c r="A235" s="4" t="s">
        <v>761</v>
      </c>
      <c r="B235" s="5" t="n">
        <v>1.67</v>
      </c>
      <c r="C235" s="5" t="n">
        <v>1.67</v>
      </c>
      <c r="D235" s="5" t="n">
        <f aca="false">IF(AND(ISNUMBER(B235),ISNUMBER(C235)),C235-B235,"")</f>
        <v>0</v>
      </c>
      <c r="E235" s="4" t="s">
        <v>531</v>
      </c>
    </row>
    <row r="236" customFormat="false" ht="15" hidden="false" customHeight="false" outlineLevel="0" collapsed="false">
      <c r="A236" s="4" t="s">
        <v>762</v>
      </c>
      <c r="B236" s="5" t="n">
        <v>0.233</v>
      </c>
      <c r="C236" s="5" t="n">
        <v>0.233</v>
      </c>
      <c r="D236" s="5" t="n">
        <f aca="false">IF(AND(ISNUMBER(B236),ISNUMBER(C236)),C236-B236,"")</f>
        <v>0</v>
      </c>
      <c r="E236" s="4" t="s">
        <v>531</v>
      </c>
    </row>
    <row r="237" customFormat="false" ht="15" hidden="false" customHeight="false" outlineLevel="0" collapsed="false">
      <c r="A237" s="4" t="s">
        <v>763</v>
      </c>
      <c r="B237" s="5" t="n">
        <v>0.117</v>
      </c>
      <c r="C237" s="5" t="n">
        <v>0.117</v>
      </c>
      <c r="D237" s="5" t="n">
        <f aca="false">IF(AND(ISNUMBER(B237),ISNUMBER(C237)),C237-B237,"")</f>
        <v>0</v>
      </c>
      <c r="E237" s="4" t="s">
        <v>531</v>
      </c>
    </row>
    <row r="238" customFormat="false" ht="15" hidden="false" customHeight="false" outlineLevel="0" collapsed="false">
      <c r="A238" s="4" t="s">
        <v>764</v>
      </c>
      <c r="B238" s="5" t="n">
        <v>0.08</v>
      </c>
      <c r="C238" s="5" t="n">
        <v>0.08</v>
      </c>
      <c r="D238" s="5" t="n">
        <f aca="false">IF(AND(ISNUMBER(B238),ISNUMBER(C238)),C238-B238,"")</f>
        <v>0</v>
      </c>
      <c r="E238" s="4" t="s">
        <v>531</v>
      </c>
    </row>
    <row r="239" customFormat="false" ht="15" hidden="false" customHeight="false" outlineLevel="0" collapsed="false">
      <c r="A239" s="4" t="s">
        <v>765</v>
      </c>
      <c r="B239" s="5" t="n">
        <v>3.91</v>
      </c>
      <c r="C239" s="5" t="n">
        <v>3.91</v>
      </c>
      <c r="D239" s="5" t="n">
        <f aca="false">IF(AND(ISNUMBER(B239),ISNUMBER(C239)),C239-B239,"")</f>
        <v>0</v>
      </c>
      <c r="E239" s="4" t="s">
        <v>531</v>
      </c>
    </row>
    <row r="240" customFormat="false" ht="15" hidden="false" customHeight="false" outlineLevel="0" collapsed="false">
      <c r="A240" s="4" t="s">
        <v>766</v>
      </c>
      <c r="B240" s="5" t="n">
        <v>0.071</v>
      </c>
      <c r="C240" s="5" t="n">
        <v>0.071</v>
      </c>
      <c r="D240" s="5" t="n">
        <f aca="false">IF(AND(ISNUMBER(B240),ISNUMBER(C240)),C240-B240,"")</f>
        <v>0</v>
      </c>
      <c r="E240" s="4" t="s">
        <v>531</v>
      </c>
    </row>
    <row r="241" customFormat="false" ht="15" hidden="false" customHeight="false" outlineLevel="0" collapsed="false">
      <c r="A241" s="4" t="s">
        <v>767</v>
      </c>
      <c r="B241" s="5" t="n">
        <v>0</v>
      </c>
      <c r="C241" s="5" t="n">
        <v>0</v>
      </c>
      <c r="D241" s="5" t="n">
        <f aca="false">IF(AND(ISNUMBER(B241),ISNUMBER(C241)),C241-B241,"")</f>
        <v>0</v>
      </c>
      <c r="E241" s="4" t="s">
        <v>531</v>
      </c>
    </row>
    <row r="242" customFormat="false" ht="15" hidden="false" customHeight="false" outlineLevel="0" collapsed="false">
      <c r="A242" s="4" t="s">
        <v>768</v>
      </c>
      <c r="B242" s="5" t="n">
        <v>0.136</v>
      </c>
      <c r="C242" s="5" t="n">
        <v>0.136</v>
      </c>
      <c r="D242" s="5" t="n">
        <f aca="false">IF(AND(ISNUMBER(B242),ISNUMBER(C242)),C242-B242,"")</f>
        <v>0</v>
      </c>
      <c r="E242" s="4" t="s">
        <v>531</v>
      </c>
    </row>
    <row r="243" customFormat="false" ht="15" hidden="false" customHeight="false" outlineLevel="0" collapsed="false">
      <c r="A243" s="4" t="s">
        <v>769</v>
      </c>
      <c r="B243" s="5" t="n">
        <v>15.42</v>
      </c>
      <c r="C243" s="5" t="n">
        <v>15.42</v>
      </c>
      <c r="D243" s="5" t="n">
        <f aca="false">IF(AND(ISNUMBER(B243),ISNUMBER(C243)),C243-B243,"")</f>
        <v>0</v>
      </c>
      <c r="E243" s="4" t="s">
        <v>531</v>
      </c>
    </row>
    <row r="244" customFormat="false" ht="15" hidden="false" customHeight="false" outlineLevel="0" collapsed="false">
      <c r="A244" s="4" t="s">
        <v>770</v>
      </c>
      <c r="B244" s="5" t="n">
        <v>0.104</v>
      </c>
      <c r="C244" s="5" t="n">
        <v>0.104</v>
      </c>
      <c r="D244" s="5" t="n">
        <f aca="false">IF(AND(ISNUMBER(B244),ISNUMBER(C244)),C244-B244,"")</f>
        <v>0</v>
      </c>
      <c r="E244" s="4" t="s">
        <v>531</v>
      </c>
    </row>
    <row r="245" customFormat="false" ht="15" hidden="false" customHeight="false" outlineLevel="0" collapsed="false">
      <c r="A245" s="4" t="s">
        <v>771</v>
      </c>
      <c r="B245" s="5" t="n">
        <v>0</v>
      </c>
      <c r="C245" s="5" t="n">
        <v>0</v>
      </c>
      <c r="D245" s="5" t="n">
        <f aca="false">IF(AND(ISNUMBER(B245),ISNUMBER(C245)),C245-B245,"")</f>
        <v>0</v>
      </c>
      <c r="E245" s="4" t="s">
        <v>531</v>
      </c>
    </row>
    <row r="246" customFormat="false" ht="15" hidden="false" customHeight="false" outlineLevel="0" collapsed="false">
      <c r="A246" s="4" t="s">
        <v>772</v>
      </c>
      <c r="B246" s="5" t="s">
        <v>27</v>
      </c>
      <c r="C246" s="5" t="s">
        <v>27</v>
      </c>
      <c r="D246" s="5" t="str">
        <f aca="false">IF(AND(ISNUMBER(B246),ISNUMBER(C246)),C246-B246,"")</f>
        <v/>
      </c>
      <c r="E246" s="4" t="s">
        <v>531</v>
      </c>
    </row>
    <row r="247" customFormat="false" ht="15" hidden="false" customHeight="false" outlineLevel="0" collapsed="false">
      <c r="A247" s="4" t="s">
        <v>773</v>
      </c>
      <c r="B247" s="5" t="s">
        <v>27</v>
      </c>
      <c r="C247" s="5" t="s">
        <v>27</v>
      </c>
      <c r="D247" s="5" t="str">
        <f aca="false">IF(AND(ISNUMBER(B247),ISNUMBER(C247)),C247-B247,"")</f>
        <v/>
      </c>
      <c r="E247" s="4" t="s">
        <v>531</v>
      </c>
    </row>
    <row r="248" customFormat="false" ht="15" hidden="false" customHeight="false" outlineLevel="0" collapsed="false">
      <c r="A248" s="4" t="s">
        <v>774</v>
      </c>
      <c r="B248" s="5" t="n">
        <v>0.351</v>
      </c>
      <c r="C248" s="5" t="n">
        <v>0.351</v>
      </c>
      <c r="D248" s="5" t="n">
        <f aca="false">IF(AND(ISNUMBER(B248),ISNUMBER(C248)),C248-B248,"")</f>
        <v>0</v>
      </c>
      <c r="E248" s="4" t="s">
        <v>531</v>
      </c>
    </row>
    <row r="249" customFormat="false" ht="15" hidden="false" customHeight="false" outlineLevel="0" collapsed="false">
      <c r="A249" s="4" t="s">
        <v>775</v>
      </c>
      <c r="B249" s="5" t="n">
        <v>0.256</v>
      </c>
      <c r="C249" s="5" t="n">
        <v>0.256</v>
      </c>
      <c r="D249" s="5" t="n">
        <f aca="false">IF(AND(ISNUMBER(B249),ISNUMBER(C249)),C249-B249,"")</f>
        <v>0</v>
      </c>
      <c r="E249" s="4" t="s">
        <v>531</v>
      </c>
    </row>
    <row r="250" customFormat="false" ht="15" hidden="false" customHeight="false" outlineLevel="0" collapsed="false">
      <c r="A250" s="4" t="s">
        <v>776</v>
      </c>
      <c r="B250" s="5" t="n">
        <v>0.272</v>
      </c>
      <c r="C250" s="5" t="n">
        <v>0.272</v>
      </c>
      <c r="D250" s="5" t="n">
        <f aca="false">IF(AND(ISNUMBER(B250),ISNUMBER(C250)),C250-B250,"")</f>
        <v>0</v>
      </c>
      <c r="E250" s="4" t="s">
        <v>531</v>
      </c>
    </row>
    <row r="251" customFormat="false" ht="15" hidden="false" customHeight="false" outlineLevel="0" collapsed="false">
      <c r="A251" s="4" t="s">
        <v>777</v>
      </c>
      <c r="B251" s="5" t="n">
        <v>1.18</v>
      </c>
      <c r="C251" s="5" t="n">
        <v>1.18</v>
      </c>
      <c r="D251" s="5" t="n">
        <f aca="false">IF(AND(ISNUMBER(B251),ISNUMBER(C251)),C251-B251,"")</f>
        <v>0</v>
      </c>
      <c r="E251" s="4" t="s">
        <v>531</v>
      </c>
    </row>
    <row r="252" customFormat="false" ht="15" hidden="false" customHeight="false" outlineLevel="0" collapsed="false">
      <c r="A252" s="4" t="s">
        <v>778</v>
      </c>
      <c r="B252" s="5" t="n">
        <v>0.371</v>
      </c>
      <c r="C252" s="5" t="n">
        <v>0.371</v>
      </c>
      <c r="D252" s="5" t="n">
        <f aca="false">IF(AND(ISNUMBER(B252),ISNUMBER(C252)),C252-B252,"")</f>
        <v>0</v>
      </c>
      <c r="E252" s="4" t="s">
        <v>531</v>
      </c>
    </row>
    <row r="253" customFormat="false" ht="15" hidden="false" customHeight="false" outlineLevel="0" collapsed="false">
      <c r="A253" s="4" t="s">
        <v>779</v>
      </c>
      <c r="B253" s="5" t="n">
        <v>0.279</v>
      </c>
      <c r="C253" s="5" t="n">
        <v>0.279</v>
      </c>
      <c r="D253" s="5" t="n">
        <f aca="false">IF(AND(ISNUMBER(B253),ISNUMBER(C253)),C253-B253,"")</f>
        <v>0</v>
      </c>
      <c r="E253" s="4" t="s">
        <v>531</v>
      </c>
    </row>
    <row r="254" customFormat="false" ht="15" hidden="false" customHeight="false" outlineLevel="0" collapsed="false">
      <c r="A254" s="4" t="s">
        <v>780</v>
      </c>
      <c r="B254" s="5" t="n">
        <v>0.04</v>
      </c>
      <c r="C254" s="5" t="n">
        <v>0.04</v>
      </c>
      <c r="D254" s="5" t="n">
        <f aca="false">IF(AND(ISNUMBER(B254),ISNUMBER(C254)),C254-B254,"")</f>
        <v>0</v>
      </c>
      <c r="E254" s="4" t="s">
        <v>531</v>
      </c>
    </row>
    <row r="255" customFormat="false" ht="15" hidden="false" customHeight="false" outlineLevel="0" collapsed="false">
      <c r="A255" s="4" t="s">
        <v>781</v>
      </c>
      <c r="B255" s="5" t="n">
        <v>1.65</v>
      </c>
      <c r="C255" s="5" t="n">
        <v>1.65</v>
      </c>
      <c r="D255" s="5" t="n">
        <f aca="false">IF(AND(ISNUMBER(B255),ISNUMBER(C255)),C255-B255,"")</f>
        <v>0</v>
      </c>
      <c r="E255" s="4" t="s">
        <v>531</v>
      </c>
    </row>
    <row r="256" customFormat="false" ht="15" hidden="false" customHeight="false" outlineLevel="0" collapsed="false">
      <c r="A256" s="4" t="s">
        <v>782</v>
      </c>
      <c r="B256" s="5" t="n">
        <v>0.079</v>
      </c>
      <c r="C256" s="5" t="n">
        <v>0.079</v>
      </c>
      <c r="D256" s="5" t="n">
        <f aca="false">IF(AND(ISNUMBER(B256),ISNUMBER(C256)),C256-B256,"")</f>
        <v>0</v>
      </c>
      <c r="E256" s="4" t="s">
        <v>531</v>
      </c>
    </row>
    <row r="257" customFormat="false" ht="15" hidden="false" customHeight="false" outlineLevel="0" collapsed="false">
      <c r="A257" s="4" t="s">
        <v>783</v>
      </c>
      <c r="B257" s="5" t="n">
        <v>0</v>
      </c>
      <c r="C257" s="5" t="n">
        <v>0</v>
      </c>
      <c r="D257" s="5" t="n">
        <f aca="false">IF(AND(ISNUMBER(B257),ISNUMBER(C257)),C257-B257,"")</f>
        <v>0</v>
      </c>
      <c r="E257" s="4" t="s">
        <v>531</v>
      </c>
    </row>
    <row r="258" customFormat="false" ht="15" hidden="false" customHeight="false" outlineLevel="0" collapsed="false">
      <c r="A258" s="4" t="s">
        <v>784</v>
      </c>
      <c r="B258" s="5" t="s">
        <v>27</v>
      </c>
      <c r="C258" s="5" t="s">
        <v>27</v>
      </c>
      <c r="D258" s="5" t="str">
        <f aca="false">IF(AND(ISNUMBER(B258),ISNUMBER(C258)),C258-B258,"")</f>
        <v/>
      </c>
      <c r="E258" s="4" t="s">
        <v>531</v>
      </c>
    </row>
    <row r="259" customFormat="false" ht="15" hidden="false" customHeight="false" outlineLevel="0" collapsed="false">
      <c r="A259" s="4" t="s">
        <v>785</v>
      </c>
      <c r="B259" s="5" t="s">
        <v>27</v>
      </c>
      <c r="C259" s="5" t="s">
        <v>27</v>
      </c>
      <c r="D259" s="5" t="str">
        <f aca="false">IF(AND(ISNUMBER(B259),ISNUMBER(C259)),C259-B259,"")</f>
        <v/>
      </c>
      <c r="E259" s="4" t="s">
        <v>531</v>
      </c>
    </row>
    <row r="260" customFormat="false" ht="15" hidden="false" customHeight="false" outlineLevel="0" collapsed="false">
      <c r="A260" s="4" t="s">
        <v>786</v>
      </c>
      <c r="B260" s="5" t="n">
        <v>0.066</v>
      </c>
      <c r="C260" s="5" t="n">
        <v>0.066</v>
      </c>
      <c r="D260" s="5" t="n">
        <f aca="false">IF(AND(ISNUMBER(B260),ISNUMBER(C260)),C260-B260,"")</f>
        <v>0</v>
      </c>
      <c r="E260" s="4" t="s">
        <v>531</v>
      </c>
    </row>
    <row r="261" customFormat="false" ht="15" hidden="false" customHeight="false" outlineLevel="0" collapsed="false">
      <c r="A261" s="4" t="s">
        <v>787</v>
      </c>
      <c r="B261" s="5" t="n">
        <v>0</v>
      </c>
      <c r="C261" s="5" t="n">
        <v>0</v>
      </c>
      <c r="D261" s="5" t="n">
        <f aca="false">IF(AND(ISNUMBER(B261),ISNUMBER(C261)),C261-B261,"")</f>
        <v>0</v>
      </c>
      <c r="E261" s="4" t="s">
        <v>531</v>
      </c>
    </row>
    <row r="262" customFormat="false" ht="15" hidden="false" customHeight="false" outlineLevel="0" collapsed="false">
      <c r="A262" s="4" t="s">
        <v>788</v>
      </c>
      <c r="B262" s="5" t="s">
        <v>27</v>
      </c>
      <c r="C262" s="5" t="s">
        <v>27</v>
      </c>
      <c r="D262" s="5" t="str">
        <f aca="false">IF(AND(ISNUMBER(B262),ISNUMBER(C262)),C262-B262,"")</f>
        <v/>
      </c>
      <c r="E262" s="4" t="s">
        <v>531</v>
      </c>
    </row>
    <row r="263" customFormat="false" ht="23.85" hidden="false" customHeight="false" outlineLevel="0" collapsed="false">
      <c r="A263" s="4" t="s">
        <v>789</v>
      </c>
      <c r="B263" s="5" t="s">
        <v>27</v>
      </c>
      <c r="C263" s="5" t="s">
        <v>27</v>
      </c>
      <c r="D263" s="5" t="str">
        <f aca="false">IF(AND(ISNUMBER(B263),ISNUMBER(C263)),C263-B263,"")</f>
        <v/>
      </c>
      <c r="E263" s="4" t="s">
        <v>556</v>
      </c>
    </row>
    <row r="264" customFormat="false" ht="15" hidden="false" customHeight="false" outlineLevel="0" collapsed="false">
      <c r="A264" s="4" t="s">
        <v>790</v>
      </c>
      <c r="B264" s="5" t="n">
        <v>0.006</v>
      </c>
      <c r="C264" s="5" t="n">
        <v>0.006</v>
      </c>
      <c r="D264" s="5" t="n">
        <f aca="false">IF(AND(ISNUMBER(B264),ISNUMBER(C264)),C264-B264,"")</f>
        <v>0</v>
      </c>
      <c r="E264" s="4" t="s">
        <v>531</v>
      </c>
    </row>
    <row r="265" customFormat="false" ht="15" hidden="false" customHeight="false" outlineLevel="0" collapsed="false">
      <c r="A265" s="4" t="s">
        <v>791</v>
      </c>
      <c r="B265" s="5" t="n">
        <v>0</v>
      </c>
      <c r="C265" s="5" t="n">
        <v>0</v>
      </c>
      <c r="D265" s="5" t="n">
        <f aca="false">IF(AND(ISNUMBER(B265),ISNUMBER(C265)),C265-B265,"")</f>
        <v>0</v>
      </c>
      <c r="E265" s="4" t="s">
        <v>531</v>
      </c>
    </row>
    <row r="266" customFormat="false" ht="15" hidden="false" customHeight="false" outlineLevel="0" collapsed="false">
      <c r="A266" s="4" t="s">
        <v>792</v>
      </c>
      <c r="B266" s="5" t="n">
        <v>0.704</v>
      </c>
      <c r="C266" s="5" t="n">
        <v>0.704</v>
      </c>
      <c r="D266" s="5" t="n">
        <f aca="false">IF(AND(ISNUMBER(B266),ISNUMBER(C266)),C266-B266,"")</f>
        <v>0</v>
      </c>
      <c r="E266" s="4" t="s">
        <v>531</v>
      </c>
    </row>
    <row r="267" customFormat="false" ht="15" hidden="false" customHeight="false" outlineLevel="0" collapsed="false">
      <c r="A267" s="4" t="s">
        <v>793</v>
      </c>
      <c r="B267" s="5" t="n">
        <v>1.98</v>
      </c>
      <c r="C267" s="5" t="n">
        <v>1.98</v>
      </c>
      <c r="D267" s="5" t="n">
        <f aca="false">IF(AND(ISNUMBER(B267),ISNUMBER(C267)),C267-B267,"")</f>
        <v>0</v>
      </c>
      <c r="E267" s="4" t="s">
        <v>531</v>
      </c>
    </row>
    <row r="268" customFormat="false" ht="15" hidden="false" customHeight="false" outlineLevel="0" collapsed="false">
      <c r="A268" s="4" t="s">
        <v>794</v>
      </c>
      <c r="B268" s="5" t="n">
        <v>0.332</v>
      </c>
      <c r="C268" s="5" t="n">
        <v>0.332</v>
      </c>
      <c r="D268" s="5" t="n">
        <f aca="false">IF(AND(ISNUMBER(B268),ISNUMBER(C268)),C268-B268,"")</f>
        <v>0</v>
      </c>
      <c r="E268" s="4" t="s">
        <v>531</v>
      </c>
    </row>
    <row r="269" customFormat="false" ht="15" hidden="false" customHeight="false" outlineLevel="0" collapsed="false">
      <c r="A269" s="4" t="s">
        <v>795</v>
      </c>
      <c r="B269" s="5" t="n">
        <v>0.228</v>
      </c>
      <c r="C269" s="5" t="n">
        <v>0.228</v>
      </c>
      <c r="D269" s="5" t="n">
        <f aca="false">IF(AND(ISNUMBER(B269),ISNUMBER(C269)),C269-B269,"")</f>
        <v>0</v>
      </c>
      <c r="E269" s="4" t="s">
        <v>531</v>
      </c>
    </row>
    <row r="270" customFormat="false" ht="15" hidden="false" customHeight="false" outlineLevel="0" collapsed="false">
      <c r="A270" s="4" t="s">
        <v>796</v>
      </c>
      <c r="B270" s="5" t="n">
        <v>5.428</v>
      </c>
      <c r="C270" s="5" t="n">
        <v>5.428</v>
      </c>
      <c r="D270" s="5" t="n">
        <f aca="false">IF(AND(ISNUMBER(B270),ISNUMBER(C270)),C270-B270,"")</f>
        <v>0</v>
      </c>
      <c r="E270" s="4" t="s">
        <v>531</v>
      </c>
    </row>
    <row r="271" customFormat="false" ht="15" hidden="false" customHeight="false" outlineLevel="0" collapsed="false">
      <c r="A271" s="4" t="s">
        <v>797</v>
      </c>
      <c r="B271" s="5" t="n">
        <v>0.88</v>
      </c>
      <c r="C271" s="5" t="n">
        <v>0.88</v>
      </c>
      <c r="D271" s="5" t="n">
        <f aca="false">IF(AND(ISNUMBER(B271),ISNUMBER(C271)),C271-B271,"")</f>
        <v>0</v>
      </c>
      <c r="E271" s="4" t="s">
        <v>531</v>
      </c>
    </row>
    <row r="272" customFormat="false" ht="15" hidden="false" customHeight="false" outlineLevel="0" collapsed="false">
      <c r="A272" s="4" t="s">
        <v>798</v>
      </c>
      <c r="B272" s="5" t="n">
        <v>0.379</v>
      </c>
      <c r="C272" s="5" t="n">
        <v>0.379</v>
      </c>
      <c r="D272" s="5" t="n">
        <f aca="false">IF(AND(ISNUMBER(B272),ISNUMBER(C272)),C272-B272,"")</f>
        <v>0</v>
      </c>
      <c r="E272" s="4" t="s">
        <v>531</v>
      </c>
    </row>
    <row r="273" customFormat="false" ht="15" hidden="false" customHeight="false" outlineLevel="0" collapsed="false">
      <c r="A273" s="4" t="s">
        <v>799</v>
      </c>
      <c r="B273" s="5" t="n">
        <v>0.287</v>
      </c>
      <c r="C273" s="5" t="n">
        <v>0.287</v>
      </c>
      <c r="D273" s="5" t="n">
        <f aca="false">IF(AND(ISNUMBER(B273),ISNUMBER(C273)),C273-B273,"")</f>
        <v>0</v>
      </c>
      <c r="E273" s="4" t="s">
        <v>531</v>
      </c>
    </row>
    <row r="274" customFormat="false" ht="15" hidden="false" customHeight="false" outlineLevel="0" collapsed="false">
      <c r="A274" s="4" t="s">
        <v>800</v>
      </c>
      <c r="B274" s="5" t="n">
        <v>-1.115</v>
      </c>
      <c r="C274" s="5" t="n">
        <v>-1.115</v>
      </c>
      <c r="D274" s="5" t="n">
        <f aca="false">IF(AND(ISNUMBER(B274),ISNUMBER(C274)),C274-B274,"")</f>
        <v>0</v>
      </c>
      <c r="E274" s="4" t="s">
        <v>531</v>
      </c>
    </row>
    <row r="275" customFormat="false" ht="15" hidden="false" customHeight="false" outlineLevel="0" collapsed="false">
      <c r="A275" s="4" t="s">
        <v>801</v>
      </c>
      <c r="B275" s="5" t="n">
        <v>4.16</v>
      </c>
      <c r="C275" s="5" t="n">
        <v>4.16</v>
      </c>
      <c r="D275" s="5" t="n">
        <f aca="false">IF(AND(ISNUMBER(B275),ISNUMBER(C275)),C275-B275,"")</f>
        <v>0</v>
      </c>
      <c r="E275" s="4" t="s">
        <v>531</v>
      </c>
    </row>
    <row r="276" customFormat="false" ht="15" hidden="false" customHeight="false" outlineLevel="0" collapsed="false">
      <c r="A276" s="4" t="s">
        <v>802</v>
      </c>
      <c r="B276" s="5" t="n">
        <v>0.147</v>
      </c>
      <c r="C276" s="5" t="n">
        <v>0.147</v>
      </c>
      <c r="D276" s="5" t="n">
        <f aca="false">IF(AND(ISNUMBER(B276),ISNUMBER(C276)),C276-B276,"")</f>
        <v>0</v>
      </c>
      <c r="E276" s="4" t="s">
        <v>531</v>
      </c>
    </row>
    <row r="277" customFormat="false" ht="15" hidden="false" customHeight="false" outlineLevel="0" collapsed="false">
      <c r="A277" s="4" t="s">
        <v>803</v>
      </c>
      <c r="B277" s="5" t="n">
        <v>0.019</v>
      </c>
      <c r="C277" s="5" t="n">
        <v>0.019</v>
      </c>
      <c r="D277" s="5" t="n">
        <f aca="false">IF(AND(ISNUMBER(B277),ISNUMBER(C277)),C277-B277,"")</f>
        <v>0</v>
      </c>
      <c r="E277" s="4" t="s">
        <v>531</v>
      </c>
    </row>
    <row r="278" customFormat="false" ht="15" hidden="false" customHeight="false" outlineLevel="0" collapsed="false">
      <c r="A278" s="4" t="s">
        <v>804</v>
      </c>
      <c r="B278" s="5" t="n">
        <v>-0.513</v>
      </c>
      <c r="C278" s="5" t="n">
        <v>-0.513</v>
      </c>
      <c r="D278" s="5" t="n">
        <f aca="false">IF(AND(ISNUMBER(B278),ISNUMBER(C278)),C278-B278,"")</f>
        <v>0</v>
      </c>
      <c r="E278" s="4" t="s">
        <v>531</v>
      </c>
    </row>
    <row r="279" customFormat="false" ht="15" hidden="false" customHeight="false" outlineLevel="0" collapsed="false">
      <c r="A279" s="4" t="s">
        <v>805</v>
      </c>
      <c r="B279" s="5" t="n">
        <v>5.67</v>
      </c>
      <c r="C279" s="5" t="n">
        <v>5.67</v>
      </c>
      <c r="D279" s="5" t="n">
        <f aca="false">IF(AND(ISNUMBER(B279),ISNUMBER(C279)),C279-B279,"")</f>
        <v>0</v>
      </c>
      <c r="E279" s="4" t="s">
        <v>531</v>
      </c>
    </row>
    <row r="280" customFormat="false" ht="15" hidden="false" customHeight="false" outlineLevel="0" collapsed="false">
      <c r="A280" s="4" t="s">
        <v>806</v>
      </c>
      <c r="B280" s="5" t="n">
        <v>0.075</v>
      </c>
      <c r="C280" s="5" t="n">
        <v>0.075</v>
      </c>
      <c r="D280" s="5" t="n">
        <f aca="false">IF(AND(ISNUMBER(B280),ISNUMBER(C280)),C280-B280,"")</f>
        <v>0</v>
      </c>
      <c r="E280" s="4" t="s">
        <v>531</v>
      </c>
    </row>
    <row r="281" customFormat="false" ht="15" hidden="false" customHeight="false" outlineLevel="0" collapsed="false">
      <c r="A281" s="4" t="s">
        <v>807</v>
      </c>
      <c r="B281" s="5" t="n">
        <v>0</v>
      </c>
      <c r="C281" s="5" t="n">
        <v>0</v>
      </c>
      <c r="D281" s="5" t="n">
        <f aca="false">IF(AND(ISNUMBER(B281),ISNUMBER(C281)),C281-B281,"")</f>
        <v>0</v>
      </c>
      <c r="E281" s="4" t="s">
        <v>531</v>
      </c>
    </row>
    <row r="282" customFormat="false" ht="15" hidden="false" customHeight="false" outlineLevel="0" collapsed="false">
      <c r="A282" s="4" t="s">
        <v>808</v>
      </c>
      <c r="B282" s="5" t="n">
        <v>0.234</v>
      </c>
      <c r="C282" s="5" t="n">
        <v>0.234</v>
      </c>
      <c r="D282" s="5" t="n">
        <f aca="false">IF(AND(ISNUMBER(B282),ISNUMBER(C282)),C282-B282,"")</f>
        <v>0</v>
      </c>
      <c r="E282" s="4" t="s">
        <v>531</v>
      </c>
    </row>
    <row r="283" customFormat="false" ht="15" hidden="false" customHeight="false" outlineLevel="0" collapsed="false">
      <c r="A283" s="4" t="s">
        <v>809</v>
      </c>
      <c r="B283" s="5" t="n">
        <v>0.251</v>
      </c>
      <c r="C283" s="5" t="n">
        <v>0.251</v>
      </c>
      <c r="D283" s="5" t="n">
        <f aca="false">IF(AND(ISNUMBER(B283),ISNUMBER(C283)),C283-B283,"")</f>
        <v>0</v>
      </c>
      <c r="E283" s="4" t="s">
        <v>531</v>
      </c>
    </row>
    <row r="284" customFormat="false" ht="15" hidden="false" customHeight="false" outlineLevel="0" collapsed="false">
      <c r="A284" s="4" t="s">
        <v>810</v>
      </c>
      <c r="B284" s="5" t="n">
        <v>0.229</v>
      </c>
      <c r="C284" s="5" t="n">
        <v>0.229</v>
      </c>
      <c r="D284" s="5" t="n">
        <f aca="false">IF(AND(ISNUMBER(B284),ISNUMBER(C284)),C284-B284,"")</f>
        <v>0</v>
      </c>
      <c r="E284" s="4" t="s">
        <v>531</v>
      </c>
    </row>
    <row r="285" customFormat="false" ht="15" hidden="false" customHeight="false" outlineLevel="0" collapsed="false">
      <c r="A285" s="4" t="s">
        <v>811</v>
      </c>
      <c r="B285" s="5" t="n">
        <v>0.199</v>
      </c>
      <c r="C285" s="5" t="n">
        <v>0.199</v>
      </c>
      <c r="D285" s="5" t="n">
        <f aca="false">IF(AND(ISNUMBER(B285),ISNUMBER(C285)),C285-B285,"")</f>
        <v>0</v>
      </c>
      <c r="E285" s="4" t="s">
        <v>531</v>
      </c>
    </row>
    <row r="286" customFormat="false" ht="15" hidden="false" customHeight="false" outlineLevel="0" collapsed="false">
      <c r="A286" s="4" t="s">
        <v>812</v>
      </c>
      <c r="B286" s="5" t="n">
        <v>0.208</v>
      </c>
      <c r="C286" s="5" t="n">
        <v>0.208</v>
      </c>
      <c r="D286" s="5" t="n">
        <f aca="false">IF(AND(ISNUMBER(B286),ISNUMBER(C286)),C286-B286,"")</f>
        <v>0</v>
      </c>
      <c r="E286" s="4" t="s">
        <v>531</v>
      </c>
    </row>
    <row r="287" customFormat="false" ht="15" hidden="false" customHeight="false" outlineLevel="0" collapsed="false">
      <c r="A287" s="4" t="s">
        <v>813</v>
      </c>
      <c r="B287" s="5" t="n">
        <v>0.207</v>
      </c>
      <c r="C287" s="5" t="n">
        <v>0.207</v>
      </c>
      <c r="D287" s="5" t="n">
        <f aca="false">IF(AND(ISNUMBER(B287),ISNUMBER(C287)),C287-B287,"")</f>
        <v>0</v>
      </c>
      <c r="E287" s="4" t="s">
        <v>531</v>
      </c>
    </row>
    <row r="288" customFormat="false" ht="15" hidden="false" customHeight="false" outlineLevel="0" collapsed="false">
      <c r="A288" s="4" t="s">
        <v>814</v>
      </c>
      <c r="B288" s="5" t="n">
        <v>0.225</v>
      </c>
      <c r="C288" s="5" t="n">
        <v>0.225</v>
      </c>
      <c r="D288" s="5" t="n">
        <f aca="false">IF(AND(ISNUMBER(B288),ISNUMBER(C288)),C288-B288,"")</f>
        <v>0</v>
      </c>
      <c r="E288" s="4" t="s">
        <v>531</v>
      </c>
    </row>
    <row r="289" customFormat="false" ht="15" hidden="false" customHeight="false" outlineLevel="0" collapsed="false">
      <c r="A289" s="4" t="s">
        <v>815</v>
      </c>
      <c r="B289" s="5" t="n">
        <v>0.237</v>
      </c>
      <c r="C289" s="5" t="n">
        <v>0.237</v>
      </c>
      <c r="D289" s="5" t="n">
        <f aca="false">IF(AND(ISNUMBER(B289),ISNUMBER(C289)),C289-B289,"")</f>
        <v>0</v>
      </c>
      <c r="E289" s="4" t="s">
        <v>531</v>
      </c>
    </row>
    <row r="290" customFormat="false" ht="15" hidden="false" customHeight="false" outlineLevel="0" collapsed="false">
      <c r="A290" s="4" t="s">
        <v>816</v>
      </c>
      <c r="B290" s="5" t="n">
        <v>0.404</v>
      </c>
      <c r="C290" s="5" t="n">
        <v>0.404</v>
      </c>
      <c r="D290" s="5" t="n">
        <f aca="false">IF(AND(ISNUMBER(B290),ISNUMBER(C290)),C290-B290,"")</f>
        <v>0</v>
      </c>
      <c r="E290" s="4" t="s">
        <v>531</v>
      </c>
    </row>
    <row r="291" customFormat="false" ht="15" hidden="false" customHeight="false" outlineLevel="0" collapsed="false">
      <c r="A291" s="4" t="s">
        <v>817</v>
      </c>
      <c r="B291" s="5" t="n">
        <v>1.255</v>
      </c>
      <c r="C291" s="5" t="n">
        <v>1.255</v>
      </c>
      <c r="D291" s="5" t="n">
        <f aca="false">IF(AND(ISNUMBER(B291),ISNUMBER(C291)),C291-B291,"")</f>
        <v>0</v>
      </c>
      <c r="E291" s="4" t="s">
        <v>531</v>
      </c>
    </row>
    <row r="292" customFormat="false" ht="15" hidden="false" customHeight="false" outlineLevel="0" collapsed="false">
      <c r="A292" s="4" t="s">
        <v>818</v>
      </c>
      <c r="B292" s="5" t="n">
        <v>1.388</v>
      </c>
      <c r="C292" s="5" t="n">
        <v>1.388</v>
      </c>
      <c r="D292" s="5" t="n">
        <f aca="false">IF(AND(ISNUMBER(B292),ISNUMBER(C292)),C292-B292,"")</f>
        <v>0</v>
      </c>
      <c r="E292" s="4" t="s">
        <v>531</v>
      </c>
    </row>
    <row r="293" customFormat="false" ht="15" hidden="false" customHeight="false" outlineLevel="0" collapsed="false">
      <c r="A293" s="4" t="s">
        <v>819</v>
      </c>
      <c r="B293" s="5" t="n">
        <v>1.338</v>
      </c>
      <c r="C293" s="5" t="n">
        <v>1.338</v>
      </c>
      <c r="D293" s="5" t="n">
        <f aca="false">IF(AND(ISNUMBER(B293),ISNUMBER(C293)),C293-B293,"")</f>
        <v>0</v>
      </c>
      <c r="E293" s="4" t="s">
        <v>531</v>
      </c>
    </row>
    <row r="294" customFormat="false" ht="15" hidden="false" customHeight="false" outlineLevel="0" collapsed="false">
      <c r="A294" s="4" t="s">
        <v>820</v>
      </c>
      <c r="B294" s="5" t="n">
        <v>26</v>
      </c>
      <c r="C294" s="5" t="n">
        <v>26</v>
      </c>
      <c r="D294" s="5" t="n">
        <f aca="false">IF(AND(ISNUMBER(B294),ISNUMBER(C294)),C294-B294,"")</f>
        <v>0</v>
      </c>
      <c r="E294" s="4" t="s">
        <v>531</v>
      </c>
    </row>
    <row r="295" customFormat="false" ht="15" hidden="false" customHeight="false" outlineLevel="0" collapsed="false">
      <c r="A295" s="4" t="s">
        <v>821</v>
      </c>
      <c r="B295" s="5" t="n">
        <v>57</v>
      </c>
      <c r="C295" s="5" t="n">
        <v>57</v>
      </c>
      <c r="D295" s="5" t="n">
        <f aca="false">IF(AND(ISNUMBER(B295),ISNUMBER(C295)),C295-B295,"")</f>
        <v>0</v>
      </c>
      <c r="E295" s="4" t="s">
        <v>531</v>
      </c>
    </row>
    <row r="296" customFormat="false" ht="15" hidden="false" customHeight="false" outlineLevel="0" collapsed="false">
      <c r="A296" s="4" t="s">
        <v>822</v>
      </c>
      <c r="B296" s="5" t="n">
        <v>-2.93</v>
      </c>
      <c r="C296" s="5" t="n">
        <v>-2.93</v>
      </c>
      <c r="D296" s="5" t="n">
        <f aca="false">IF(AND(ISNUMBER(B296),ISNUMBER(C296)),C296-B296,"")</f>
        <v>0</v>
      </c>
      <c r="E296" s="4" t="s">
        <v>531</v>
      </c>
    </row>
    <row r="297" customFormat="false" ht="15" hidden="false" customHeight="false" outlineLevel="0" collapsed="false">
      <c r="A297" s="4" t="s">
        <v>823</v>
      </c>
      <c r="B297" s="5" t="n">
        <v>-3.21</v>
      </c>
      <c r="C297" s="5" t="n">
        <v>-3.21</v>
      </c>
      <c r="D297" s="5" t="n">
        <f aca="false">IF(AND(ISNUMBER(B297),ISNUMBER(C297)),C297-B297,"")</f>
        <v>0</v>
      </c>
      <c r="E297" s="4" t="s">
        <v>531</v>
      </c>
    </row>
    <row r="298" customFormat="false" ht="15" hidden="false" customHeight="false" outlineLevel="0" collapsed="false">
      <c r="A298" s="4" t="s">
        <v>824</v>
      </c>
      <c r="B298" s="5" t="n">
        <v>-3.49</v>
      </c>
      <c r="C298" s="5" t="n">
        <v>-3.49</v>
      </c>
      <c r="D298" s="5" t="n">
        <f aca="false">IF(AND(ISNUMBER(B298),ISNUMBER(C298)),C298-B298,"")</f>
        <v>0</v>
      </c>
      <c r="E298" s="4" t="s">
        <v>531</v>
      </c>
    </row>
    <row r="299" customFormat="false" ht="15" hidden="false" customHeight="false" outlineLevel="0" collapsed="false">
      <c r="A299" s="4" t="s">
        <v>825</v>
      </c>
      <c r="B299" s="5" t="n">
        <v>-2.04</v>
      </c>
      <c r="C299" s="5" t="n">
        <v>-2.04</v>
      </c>
      <c r="D299" s="5" t="n">
        <f aca="false">IF(AND(ISNUMBER(B299),ISNUMBER(C299)),C299-B299,"")</f>
        <v>0</v>
      </c>
      <c r="E299" s="4" t="s">
        <v>531</v>
      </c>
    </row>
    <row r="300" customFormat="false" ht="15" hidden="false" customHeight="false" outlineLevel="0" collapsed="false">
      <c r="A300" s="4" t="s">
        <v>826</v>
      </c>
      <c r="B300" s="5" t="n">
        <v>-2.19</v>
      </c>
      <c r="C300" s="5" t="n">
        <v>-2.19</v>
      </c>
      <c r="D300" s="5" t="n">
        <f aca="false">IF(AND(ISNUMBER(B300),ISNUMBER(C300)),C300-B300,"")</f>
        <v>0</v>
      </c>
      <c r="E300" s="4" t="s">
        <v>531</v>
      </c>
    </row>
    <row r="301" customFormat="false" ht="15" hidden="false" customHeight="false" outlineLevel="0" collapsed="false">
      <c r="A301" s="4" t="s">
        <v>827</v>
      </c>
      <c r="B301" s="5" t="n">
        <v>-2.01</v>
      </c>
      <c r="C301" s="5" t="n">
        <v>-2.01</v>
      </c>
      <c r="D301" s="5" t="n">
        <f aca="false">IF(AND(ISNUMBER(B301),ISNUMBER(C301)),C301-B301,"")</f>
        <v>0</v>
      </c>
      <c r="E301" s="4" t="s">
        <v>531</v>
      </c>
    </row>
    <row r="302" customFormat="false" ht="15" hidden="false" customHeight="false" outlineLevel="0" collapsed="false">
      <c r="A302" s="4" t="s">
        <v>828</v>
      </c>
      <c r="B302" s="5" t="n">
        <v>-1.06</v>
      </c>
      <c r="C302" s="5" t="n">
        <v>-1.06</v>
      </c>
      <c r="D302" s="5" t="n">
        <f aca="false">IF(AND(ISNUMBER(B302),ISNUMBER(C302)),C302-B302,"")</f>
        <v>0</v>
      </c>
      <c r="E302" s="4" t="s">
        <v>531</v>
      </c>
    </row>
    <row r="303" customFormat="false" ht="15" hidden="false" customHeight="false" outlineLevel="0" collapsed="false">
      <c r="A303" s="4" t="s">
        <v>829</v>
      </c>
      <c r="B303" s="5" t="n">
        <v>-1.49</v>
      </c>
      <c r="C303" s="5" t="n">
        <v>-1.49</v>
      </c>
      <c r="D303" s="5" t="n">
        <f aca="false">IF(AND(ISNUMBER(B303),ISNUMBER(C303)),C303-B303,"")</f>
        <v>0</v>
      </c>
      <c r="E303" s="4" t="s">
        <v>531</v>
      </c>
    </row>
    <row r="304" customFormat="false" ht="15" hidden="false" customHeight="false" outlineLevel="0" collapsed="false">
      <c r="A304" s="4" t="s">
        <v>830</v>
      </c>
      <c r="B304" s="5" t="n">
        <v>-1.32</v>
      </c>
      <c r="C304" s="5" t="n">
        <v>-1.32</v>
      </c>
      <c r="D304" s="5" t="n">
        <f aca="false">IF(AND(ISNUMBER(B304),ISNUMBER(C304)),C304-B304,"")</f>
        <v>0</v>
      </c>
      <c r="E304" s="4" t="s">
        <v>531</v>
      </c>
    </row>
    <row r="305" customFormat="false" ht="15" hidden="false" customHeight="false" outlineLevel="0" collapsed="false">
      <c r="A305" s="4" t="s">
        <v>831</v>
      </c>
      <c r="B305" s="5" t="n">
        <v>90</v>
      </c>
      <c r="C305" s="5" t="n">
        <v>90</v>
      </c>
      <c r="D305" s="5" t="n">
        <f aca="false">IF(AND(ISNUMBER(B305),ISNUMBER(C305)),C305-B305,"")</f>
        <v>0</v>
      </c>
      <c r="E305" s="4" t="s">
        <v>531</v>
      </c>
    </row>
    <row r="306" customFormat="false" ht="15" hidden="false" customHeight="false" outlineLevel="0" collapsed="false">
      <c r="A306" s="4" t="s">
        <v>832</v>
      </c>
      <c r="B306" s="5" t="n">
        <v>38</v>
      </c>
      <c r="C306" s="5" t="n">
        <v>38</v>
      </c>
      <c r="D306" s="5" t="n">
        <f aca="false">IF(AND(ISNUMBER(B306),ISNUMBER(C306)),C306-B306,"")</f>
        <v>0</v>
      </c>
      <c r="E306" s="4" t="s">
        <v>531</v>
      </c>
    </row>
    <row r="307" customFormat="false" ht="15" hidden="false" customHeight="false" outlineLevel="0" collapsed="false">
      <c r="A307" s="4" t="s">
        <v>833</v>
      </c>
      <c r="B307" s="5" t="n">
        <v>-3.03</v>
      </c>
      <c r="C307" s="5" t="n">
        <v>-3.03</v>
      </c>
      <c r="D307" s="5" t="n">
        <f aca="false">IF(AND(ISNUMBER(B307),ISNUMBER(C307)),C307-B307,"")</f>
        <v>0</v>
      </c>
      <c r="E307" s="4" t="s">
        <v>531</v>
      </c>
    </row>
    <row r="308" customFormat="false" ht="15" hidden="false" customHeight="false" outlineLevel="0" collapsed="false">
      <c r="A308" s="4" t="s">
        <v>834</v>
      </c>
      <c r="B308" s="5" t="n">
        <v>-3.39</v>
      </c>
      <c r="C308" s="5" t="n">
        <v>-3.39</v>
      </c>
      <c r="D308" s="5" t="n">
        <f aca="false">IF(AND(ISNUMBER(B308),ISNUMBER(C308)),C308-B308,"")</f>
        <v>0</v>
      </c>
      <c r="E308" s="4" t="s">
        <v>531</v>
      </c>
    </row>
    <row r="309" customFormat="false" ht="15" hidden="false" customHeight="false" outlineLevel="0" collapsed="false">
      <c r="A309" s="4" t="s">
        <v>835</v>
      </c>
      <c r="B309" s="5" t="n">
        <v>-3.49</v>
      </c>
      <c r="C309" s="5" t="n">
        <v>-3.49</v>
      </c>
      <c r="D309" s="5" t="n">
        <f aca="false">IF(AND(ISNUMBER(B309),ISNUMBER(C309)),C309-B309,"")</f>
        <v>0</v>
      </c>
      <c r="E309" s="4" t="s">
        <v>531</v>
      </c>
    </row>
    <row r="310" customFormat="false" ht="15" hidden="false" customHeight="false" outlineLevel="0" collapsed="false">
      <c r="A310" s="4" t="s">
        <v>836</v>
      </c>
      <c r="B310" s="5" t="n">
        <v>0.04</v>
      </c>
      <c r="C310" s="5" t="n">
        <v>0.04</v>
      </c>
      <c r="D310" s="5" t="n">
        <f aca="false">IF(AND(ISNUMBER(B310),ISNUMBER(C310)),C310-B310,"")</f>
        <v>0</v>
      </c>
      <c r="E310" s="4" t="s">
        <v>531</v>
      </c>
    </row>
    <row r="311" customFormat="false" ht="15" hidden="false" customHeight="false" outlineLevel="0" collapsed="false">
      <c r="A311" s="4" t="s">
        <v>837</v>
      </c>
      <c r="B311" s="5" t="n">
        <v>-0.56</v>
      </c>
      <c r="C311" s="5" t="n">
        <v>-0.56</v>
      </c>
      <c r="D311" s="5" t="n">
        <f aca="false">IF(AND(ISNUMBER(B311),ISNUMBER(C311)),C311-B311,"")</f>
        <v>0</v>
      </c>
      <c r="E311" s="4" t="s">
        <v>531</v>
      </c>
    </row>
    <row r="312" customFormat="false" ht="15" hidden="false" customHeight="false" outlineLevel="0" collapsed="false">
      <c r="A312" s="4" t="s">
        <v>838</v>
      </c>
      <c r="B312" s="5" t="n">
        <v>-0.87</v>
      </c>
      <c r="C312" s="5" t="n">
        <v>-0.87</v>
      </c>
      <c r="D312" s="5" t="n">
        <f aca="false">IF(AND(ISNUMBER(B312),ISNUMBER(C312)),C312-B312,"")</f>
        <v>0</v>
      </c>
      <c r="E312" s="4" t="s">
        <v>531</v>
      </c>
    </row>
    <row r="313" customFormat="false" ht="15" hidden="false" customHeight="false" outlineLevel="0" collapsed="false">
      <c r="A313" s="4" t="s">
        <v>839</v>
      </c>
      <c r="B313" s="5" t="n">
        <v>0.08</v>
      </c>
      <c r="C313" s="5" t="n">
        <v>0.08</v>
      </c>
      <c r="D313" s="5" t="n">
        <f aca="false">IF(AND(ISNUMBER(B313),ISNUMBER(C313)),C313-B313,"")</f>
        <v>0</v>
      </c>
      <c r="E313" s="4" t="s">
        <v>531</v>
      </c>
    </row>
    <row r="314" customFormat="false" ht="15" hidden="false" customHeight="false" outlineLevel="0" collapsed="false">
      <c r="A314" s="4" t="s">
        <v>840</v>
      </c>
      <c r="B314" s="5" t="n">
        <v>-0.29</v>
      </c>
      <c r="C314" s="5" t="n">
        <v>-0.29</v>
      </c>
      <c r="D314" s="5" t="n">
        <f aca="false">IF(AND(ISNUMBER(B314),ISNUMBER(C314)),C314-B314,"")</f>
        <v>0</v>
      </c>
      <c r="E314" s="4" t="s">
        <v>531</v>
      </c>
    </row>
    <row r="315" customFormat="false" ht="15" hidden="false" customHeight="false" outlineLevel="0" collapsed="false">
      <c r="A315" s="4" t="s">
        <v>841</v>
      </c>
      <c r="B315" s="5" t="n">
        <v>-0.91</v>
      </c>
      <c r="C315" s="5" t="n">
        <v>-0.91</v>
      </c>
      <c r="D315" s="5" t="n">
        <f aca="false">IF(AND(ISNUMBER(B315),ISNUMBER(C315)),C315-B315,"")</f>
        <v>0</v>
      </c>
      <c r="E315" s="4" t="s">
        <v>531</v>
      </c>
    </row>
    <row r="316" customFormat="false" ht="15" hidden="false" customHeight="false" outlineLevel="0" collapsed="false">
      <c r="A316" s="4" t="s">
        <v>842</v>
      </c>
      <c r="B316" s="5" t="n">
        <v>-0.1139</v>
      </c>
      <c r="C316" s="5" t="n">
        <v>-0.1139</v>
      </c>
      <c r="D316" s="5" t="n">
        <f aca="false">IF(AND(ISNUMBER(B316),ISNUMBER(C316)),C316-B316,"")</f>
        <v>0</v>
      </c>
      <c r="E316" s="4" t="s">
        <v>531</v>
      </c>
    </row>
    <row r="317" customFormat="false" ht="15" hidden="false" customHeight="false" outlineLevel="0" collapsed="false">
      <c r="A317" s="4" t="s">
        <v>843</v>
      </c>
      <c r="B317" s="5" t="n">
        <v>0.0418</v>
      </c>
      <c r="C317" s="5" t="n">
        <v>0.0418</v>
      </c>
      <c r="D317" s="5" t="n">
        <f aca="false">IF(AND(ISNUMBER(B317),ISNUMBER(C317)),C317-B317,"")</f>
        <v>0</v>
      </c>
      <c r="E317" s="4" t="s">
        <v>531</v>
      </c>
    </row>
    <row r="318" customFormat="false" ht="15" hidden="false" customHeight="false" outlineLevel="0" collapsed="false">
      <c r="A318" s="4" t="s">
        <v>844</v>
      </c>
      <c r="B318" s="5" t="n">
        <v>-0.0259</v>
      </c>
      <c r="C318" s="5" t="n">
        <v>-0.0259</v>
      </c>
      <c r="D318" s="5" t="n">
        <f aca="false">IF(AND(ISNUMBER(B318),ISNUMBER(C318)),C318-B318,"")</f>
        <v>0</v>
      </c>
      <c r="E318" s="4" t="s">
        <v>531</v>
      </c>
    </row>
    <row r="319" customFormat="false" ht="15" hidden="false" customHeight="false" outlineLevel="0" collapsed="false">
      <c r="A319" s="4" t="s">
        <v>845</v>
      </c>
      <c r="B319" s="5" t="n">
        <v>0.4239</v>
      </c>
      <c r="C319" s="5" t="n">
        <v>0.4239</v>
      </c>
      <c r="D319" s="5" t="n">
        <f aca="false">IF(AND(ISNUMBER(B319),ISNUMBER(C319)),C319-B319,"")</f>
        <v>0</v>
      </c>
      <c r="E319" s="4" t="s">
        <v>531</v>
      </c>
    </row>
    <row r="320" customFormat="false" ht="15" hidden="false" customHeight="false" outlineLevel="0" collapsed="false">
      <c r="A320" s="4" t="s">
        <v>846</v>
      </c>
      <c r="B320" s="5" t="n">
        <v>0.0093</v>
      </c>
      <c r="C320" s="5" t="n">
        <v>0.0093</v>
      </c>
      <c r="D320" s="5" t="n">
        <f aca="false">IF(AND(ISNUMBER(B320),ISNUMBER(C320)),C320-B320,"")</f>
        <v>0</v>
      </c>
      <c r="E320" s="4" t="s">
        <v>531</v>
      </c>
    </row>
    <row r="321" customFormat="false" ht="15" hidden="false" customHeight="false" outlineLevel="0" collapsed="false">
      <c r="A321" s="4" t="s">
        <v>847</v>
      </c>
      <c r="B321" s="5" t="n">
        <v>0.2376</v>
      </c>
      <c r="C321" s="5" t="n">
        <v>0.2376</v>
      </c>
      <c r="D321" s="5" t="n">
        <f aca="false">IF(AND(ISNUMBER(B321),ISNUMBER(C321)),C321-B321,"")</f>
        <v>0</v>
      </c>
      <c r="E321" s="4" t="s">
        <v>531</v>
      </c>
    </row>
    <row r="322" customFormat="false" ht="15" hidden="false" customHeight="false" outlineLevel="0" collapsed="false">
      <c r="A322" s="4" t="s">
        <v>848</v>
      </c>
      <c r="B322" s="5" t="n">
        <v>-0.2294</v>
      </c>
      <c r="C322" s="5" t="n">
        <v>-0.2294</v>
      </c>
      <c r="D322" s="5" t="n">
        <f aca="false">IF(AND(ISNUMBER(B322),ISNUMBER(C322)),C322-B322,"")</f>
        <v>0</v>
      </c>
      <c r="E322" s="4" t="s">
        <v>531</v>
      </c>
    </row>
    <row r="323" customFormat="false" ht="15" hidden="false" customHeight="false" outlineLevel="0" collapsed="false">
      <c r="A323" s="4" t="s">
        <v>849</v>
      </c>
      <c r="B323" s="5" t="n">
        <v>-0.1859</v>
      </c>
      <c r="C323" s="5" t="n">
        <v>-0.1859</v>
      </c>
      <c r="D323" s="5" t="n">
        <f aca="false">IF(AND(ISNUMBER(B323),ISNUMBER(C323)),C323-B323,"")</f>
        <v>0</v>
      </c>
      <c r="E323" s="4" t="s">
        <v>531</v>
      </c>
    </row>
    <row r="324" customFormat="false" ht="15" hidden="false" customHeight="false" outlineLevel="0" collapsed="false">
      <c r="A324" s="4" t="s">
        <v>850</v>
      </c>
      <c r="B324" s="5" t="n">
        <v>-0.0945</v>
      </c>
      <c r="C324" s="5" t="n">
        <v>-0.0945</v>
      </c>
      <c r="D324" s="5" t="n">
        <f aca="false">IF(AND(ISNUMBER(B324),ISNUMBER(C324)),C324-B324,"")</f>
        <v>0</v>
      </c>
      <c r="E324" s="4" t="s">
        <v>531</v>
      </c>
    </row>
    <row r="325" customFormat="false" ht="15" hidden="false" customHeight="false" outlineLevel="0" collapsed="false">
      <c r="A325" s="4" t="s">
        <v>851</v>
      </c>
      <c r="B325" s="5" t="n">
        <v>0.0336</v>
      </c>
      <c r="C325" s="5" t="n">
        <v>0.0336</v>
      </c>
      <c r="D325" s="5" t="n">
        <f aca="false">IF(AND(ISNUMBER(B325),ISNUMBER(C325)),C325-B325,"")</f>
        <v>0</v>
      </c>
      <c r="E325" s="4" t="s">
        <v>531</v>
      </c>
    </row>
    <row r="326" customFormat="false" ht="15" hidden="false" customHeight="false" outlineLevel="0" collapsed="false">
      <c r="A326" s="4" t="s">
        <v>852</v>
      </c>
      <c r="B326" s="5" t="n">
        <v>-0.837</v>
      </c>
      <c r="C326" s="5" t="n">
        <v>-0.837</v>
      </c>
      <c r="D326" s="5" t="n">
        <f aca="false">IF(AND(ISNUMBER(B326),ISNUMBER(C326)),C326-B326,"")</f>
        <v>0</v>
      </c>
      <c r="E326" s="4" t="s">
        <v>531</v>
      </c>
    </row>
    <row r="327" customFormat="false" ht="15" hidden="false" customHeight="false" outlineLevel="0" collapsed="false">
      <c r="A327" s="4" t="s">
        <v>853</v>
      </c>
      <c r="B327" s="5" t="n">
        <v>0.7944</v>
      </c>
      <c r="C327" s="5" t="n">
        <v>0.7944</v>
      </c>
      <c r="D327" s="5" t="n">
        <f aca="false">IF(AND(ISNUMBER(B327),ISNUMBER(C327)),C327-B327,"")</f>
        <v>0</v>
      </c>
      <c r="E327" s="4" t="s">
        <v>531</v>
      </c>
    </row>
    <row r="328" customFormat="false" ht="15" hidden="false" customHeight="false" outlineLevel="0" collapsed="false">
      <c r="A328" s="4" t="s">
        <v>854</v>
      </c>
      <c r="B328" s="5" t="n">
        <v>0.5204</v>
      </c>
      <c r="C328" s="5" t="n">
        <v>0.5204</v>
      </c>
      <c r="D328" s="5" t="n">
        <f aca="false">IF(AND(ISNUMBER(B328),ISNUMBER(C328)),C328-B328,"")</f>
        <v>0</v>
      </c>
      <c r="E328" s="4" t="s">
        <v>531</v>
      </c>
    </row>
    <row r="329" customFormat="false" ht="15" hidden="false" customHeight="false" outlineLevel="0" collapsed="false">
      <c r="A329" s="4" t="s">
        <v>855</v>
      </c>
      <c r="B329" s="5" t="n">
        <v>-1.3908</v>
      </c>
      <c r="C329" s="5" t="n">
        <v>-1.3908</v>
      </c>
      <c r="D329" s="5" t="n">
        <f aca="false">IF(AND(ISNUMBER(B329),ISNUMBER(C329)),C329-B329,"")</f>
        <v>0</v>
      </c>
      <c r="E329" s="4" t="s">
        <v>531</v>
      </c>
    </row>
    <row r="330" customFormat="false" ht="15" hidden="false" customHeight="false" outlineLevel="0" collapsed="false">
      <c r="A330" s="4" t="s">
        <v>856</v>
      </c>
      <c r="B330" s="5" t="n">
        <v>-3.0368</v>
      </c>
      <c r="C330" s="5" t="n">
        <v>-3.0368</v>
      </c>
      <c r="D330" s="5" t="n">
        <f aca="false">IF(AND(ISNUMBER(B330),ISNUMBER(C330)),C330-B330,"")</f>
        <v>0</v>
      </c>
      <c r="E330" s="4" t="s">
        <v>531</v>
      </c>
    </row>
    <row r="331" customFormat="false" ht="15" hidden="false" customHeight="false" outlineLevel="0" collapsed="false">
      <c r="A331" s="4" t="s">
        <v>857</v>
      </c>
      <c r="B331" s="5" t="n">
        <v>0.2839</v>
      </c>
      <c r="C331" s="5" t="n">
        <v>0.2839</v>
      </c>
      <c r="D331" s="5" t="n">
        <f aca="false">IF(AND(ISNUMBER(B331),ISNUMBER(C331)),C331-B331,"")</f>
        <v>0</v>
      </c>
      <c r="E331" s="4" t="s">
        <v>531</v>
      </c>
    </row>
    <row r="332" customFormat="false" ht="15" hidden="false" customHeight="false" outlineLevel="0" collapsed="false">
      <c r="A332" s="4" t="s">
        <v>858</v>
      </c>
      <c r="B332" s="5" t="n">
        <v>-0.0799</v>
      </c>
      <c r="C332" s="5" t="n">
        <v>-0.0799</v>
      </c>
      <c r="D332" s="5" t="n">
        <f aca="false">IF(AND(ISNUMBER(B332),ISNUMBER(C332)),C332-B332,"")</f>
        <v>0</v>
      </c>
      <c r="E332" s="4" t="s">
        <v>531</v>
      </c>
    </row>
    <row r="333" customFormat="false" ht="15" hidden="false" customHeight="false" outlineLevel="0" collapsed="false">
      <c r="A333" s="4" t="s">
        <v>859</v>
      </c>
      <c r="B333" s="5" t="n">
        <v>0.2855</v>
      </c>
      <c r="C333" s="5" t="n">
        <v>0.2855</v>
      </c>
      <c r="D333" s="5" t="n">
        <f aca="false">IF(AND(ISNUMBER(B333),ISNUMBER(C333)),C333-B333,"")</f>
        <v>0</v>
      </c>
      <c r="E333" s="4" t="s">
        <v>531</v>
      </c>
    </row>
    <row r="334" customFormat="false" ht="15" hidden="false" customHeight="false" outlineLevel="0" collapsed="false">
      <c r="A334" s="4" t="s">
        <v>860</v>
      </c>
      <c r="B334" s="5" t="n">
        <v>0.1693</v>
      </c>
      <c r="C334" s="5" t="n">
        <v>0.1693</v>
      </c>
      <c r="D334" s="5" t="n">
        <f aca="false">IF(AND(ISNUMBER(B334),ISNUMBER(C334)),C334-B334,"")</f>
        <v>0</v>
      </c>
      <c r="E334" s="4" t="s">
        <v>531</v>
      </c>
    </row>
    <row r="336" customFormat="false" ht="15" hidden="false" customHeight="false" outlineLevel="0" collapsed="false">
      <c r="A336" s="13" t="s">
        <v>861</v>
      </c>
      <c r="B336" s="14"/>
      <c r="C336" s="14"/>
      <c r="D336" s="19" t="n">
        <f aca="false">MAX(MAX(D5:D334),-MIN(D5:D334))</f>
        <v>0.042</v>
      </c>
      <c r="E336" s="14"/>
    </row>
    <row r="338" customFormat="false" ht="15" hidden="false" customHeight="false" outlineLevel="0" collapsed="false">
      <c r="A338" s="8" t="s">
        <v>862</v>
      </c>
    </row>
    <row r="339" customFormat="false" ht="97.5" hidden="false" customHeight="true" outlineLevel="0" collapsed="false">
      <c r="A339" s="2" t="s">
        <v>863</v>
      </c>
      <c r="B339" s="2"/>
      <c r="C339" s="2"/>
      <c r="D339" s="2"/>
      <c r="E339" s="2"/>
      <c r="F339" s="2"/>
      <c r="G339" s="2"/>
      <c r="H339" s="2"/>
    </row>
    <row r="340" customFormat="false" ht="30" hidden="false" customHeight="true" outlineLevel="0" collapsed="false">
      <c r="A340" s="3" t="s">
        <v>527</v>
      </c>
      <c r="B340" s="3" t="s">
        <v>528</v>
      </c>
      <c r="C340" s="3" t="s">
        <v>529</v>
      </c>
      <c r="D340" s="3" t="s">
        <v>402</v>
      </c>
      <c r="E340" s="3" t="s">
        <v>17</v>
      </c>
    </row>
    <row r="341" customFormat="false" ht="15" hidden="false" customHeight="false" outlineLevel="0" collapsed="false">
      <c r="A341" s="4" t="s">
        <v>530</v>
      </c>
      <c r="B341" s="5" t="n">
        <v>209</v>
      </c>
      <c r="C341" s="5" t="n">
        <v>209</v>
      </c>
      <c r="D341" s="5" t="n">
        <f aca="false">IF(AND(ISNUMBER(B341),ISNUMBER(C341)),C341-B341,"")</f>
        <v>0</v>
      </c>
      <c r="E341" s="4" t="s">
        <v>531</v>
      </c>
    </row>
    <row r="342" customFormat="false" ht="15" hidden="false" customHeight="false" outlineLevel="0" collapsed="false">
      <c r="A342" s="4" t="s">
        <v>532</v>
      </c>
      <c r="B342" s="5" t="s">
        <v>133</v>
      </c>
      <c r="C342" s="5" t="s">
        <v>133</v>
      </c>
      <c r="D342" s="5" t="str">
        <f aca="false">IF(AND(ISNUMBER(B342),ISNUMBER(C342)),C342-B342,"")</f>
        <v/>
      </c>
      <c r="E342" s="4" t="s">
        <v>531</v>
      </c>
    </row>
    <row r="343" customFormat="false" ht="15" hidden="false" customHeight="false" outlineLevel="0" collapsed="false">
      <c r="A343" s="4" t="s">
        <v>545</v>
      </c>
      <c r="B343" s="5" t="n">
        <v>116</v>
      </c>
      <c r="C343" s="5" t="n">
        <v>116</v>
      </c>
      <c r="D343" s="5" t="n">
        <f aca="false">IF(AND(ISNUMBER(B343),ISNUMBER(C343)),C343-B343,"")</f>
        <v>0</v>
      </c>
      <c r="E343" s="4" t="s">
        <v>531</v>
      </c>
    </row>
    <row r="344" customFormat="false" ht="15" hidden="false" customHeight="false" outlineLevel="0" collapsed="false">
      <c r="A344" s="4" t="s">
        <v>546</v>
      </c>
      <c r="B344" s="5" t="n">
        <v>95</v>
      </c>
      <c r="C344" s="5" t="n">
        <v>95</v>
      </c>
      <c r="D344" s="5" t="n">
        <f aca="false">IF(AND(ISNUMBER(B344),ISNUMBER(C344)),C344-B344,"")</f>
        <v>0</v>
      </c>
      <c r="E344" s="4" t="s">
        <v>531</v>
      </c>
    </row>
    <row r="345" customFormat="false" ht="15" hidden="false" customHeight="false" outlineLevel="0" collapsed="false">
      <c r="A345" s="4" t="s">
        <v>547</v>
      </c>
      <c r="B345" s="5" t="n">
        <v>53.4</v>
      </c>
      <c r="C345" s="5" t="n">
        <v>53.4</v>
      </c>
      <c r="D345" s="5" t="n">
        <f aca="false">IF(AND(ISNUMBER(B345),ISNUMBER(C345)),C345-B345,"")</f>
        <v>0</v>
      </c>
      <c r="E345" s="4" t="s">
        <v>531</v>
      </c>
    </row>
    <row r="346" customFormat="false" ht="15" hidden="false" customHeight="false" outlineLevel="0" collapsed="false">
      <c r="A346" s="4" t="s">
        <v>864</v>
      </c>
      <c r="B346" s="5" t="n">
        <v>116</v>
      </c>
      <c r="C346" s="5" t="n">
        <v>116</v>
      </c>
      <c r="D346" s="5" t="n">
        <f aca="false">IF(AND(ISNUMBER(B346),ISNUMBER(C346)),C346-B346,"")</f>
        <v>0</v>
      </c>
      <c r="E346" s="4" t="s">
        <v>531</v>
      </c>
    </row>
    <row r="347" customFormat="false" ht="15" hidden="false" customHeight="false" outlineLevel="0" collapsed="false">
      <c r="A347" s="4" t="s">
        <v>865</v>
      </c>
      <c r="B347" s="5" t="n">
        <v>95</v>
      </c>
      <c r="C347" s="5" t="n">
        <v>95</v>
      </c>
      <c r="D347" s="5" t="n">
        <f aca="false">IF(AND(ISNUMBER(B347),ISNUMBER(C347)),C347-B347,"")</f>
        <v>0</v>
      </c>
      <c r="E347" s="4" t="s">
        <v>531</v>
      </c>
    </row>
    <row r="348" customFormat="false" ht="15" hidden="false" customHeight="false" outlineLevel="0" collapsed="false">
      <c r="A348" s="4" t="s">
        <v>866</v>
      </c>
      <c r="B348" s="5" t="s">
        <v>27</v>
      </c>
      <c r="C348" s="5" t="s">
        <v>27</v>
      </c>
      <c r="D348" s="5" t="str">
        <f aca="false">IF(AND(ISNUMBER(B348),ISNUMBER(C348)),C348-B348,"")</f>
        <v/>
      </c>
      <c r="E348" s="4" t="s">
        <v>531</v>
      </c>
    </row>
    <row r="349" customFormat="false" ht="23.85" hidden="false" customHeight="false" outlineLevel="0" collapsed="false">
      <c r="A349" s="4" t="s">
        <v>867</v>
      </c>
      <c r="B349" s="5" t="s">
        <v>27</v>
      </c>
      <c r="C349" s="5" t="s">
        <v>27</v>
      </c>
      <c r="D349" s="5" t="str">
        <f aca="false">IF(AND(ISNUMBER(B349),ISNUMBER(C349)),C349-B349,"")</f>
        <v/>
      </c>
      <c r="E349" s="4" t="s">
        <v>605</v>
      </c>
    </row>
    <row r="350" customFormat="false" ht="15" hidden="false" customHeight="false" outlineLevel="0" collapsed="false">
      <c r="A350" s="4" t="s">
        <v>868</v>
      </c>
      <c r="B350" s="5" t="n">
        <v>-0.253</v>
      </c>
      <c r="C350" s="5" t="n">
        <v>-0.253</v>
      </c>
      <c r="D350" s="5" t="n">
        <f aca="false">IF(AND(ISNUMBER(B350),ISNUMBER(C350)),C350-B350,"")</f>
        <v>0</v>
      </c>
      <c r="E350" s="4" t="s">
        <v>531</v>
      </c>
    </row>
    <row r="351" customFormat="false" ht="23.85" hidden="false" customHeight="false" outlineLevel="0" collapsed="false">
      <c r="A351" s="4" t="s">
        <v>869</v>
      </c>
      <c r="B351" s="5" t="n">
        <v>0.064</v>
      </c>
      <c r="C351" s="5" t="n">
        <v>0.061</v>
      </c>
      <c r="D351" s="5" t="n">
        <f aca="false">IF(AND(ISNUMBER(B351),ISNUMBER(C351)),C351-B351,"")</f>
        <v>-0.003</v>
      </c>
      <c r="E351" s="4" t="s">
        <v>605</v>
      </c>
    </row>
    <row r="352" customFormat="false" ht="15" hidden="false" customHeight="false" outlineLevel="0" collapsed="false">
      <c r="A352" s="4" t="s">
        <v>870</v>
      </c>
      <c r="B352" s="5" t="n">
        <v>-0.18</v>
      </c>
      <c r="C352" s="5" t="n">
        <v>-0.18</v>
      </c>
      <c r="D352" s="5" t="n">
        <f aca="false">IF(AND(ISNUMBER(B352),ISNUMBER(C352)),C352-B352,"")</f>
        <v>0</v>
      </c>
      <c r="E352" s="4" t="s">
        <v>531</v>
      </c>
    </row>
    <row r="353" customFormat="false" ht="23.85" hidden="false" customHeight="false" outlineLevel="0" collapsed="false">
      <c r="A353" s="4" t="s">
        <v>871</v>
      </c>
      <c r="B353" s="5" t="n">
        <v>0.074</v>
      </c>
      <c r="C353" s="5" t="n">
        <v>0.07</v>
      </c>
      <c r="D353" s="5" t="n">
        <f aca="false">IF(AND(ISNUMBER(B353),ISNUMBER(C353)),C353-B353,"")</f>
        <v>-0.00399999999999999</v>
      </c>
      <c r="E353" s="4" t="s">
        <v>605</v>
      </c>
    </row>
    <row r="354" customFormat="false" ht="15" hidden="false" customHeight="false" outlineLevel="0" collapsed="false">
      <c r="A354" s="4" t="s">
        <v>872</v>
      </c>
      <c r="B354" s="5" t="n">
        <v>-0.211</v>
      </c>
      <c r="C354" s="5" t="n">
        <v>-0.211</v>
      </c>
      <c r="D354" s="5" t="n">
        <f aca="false">IF(AND(ISNUMBER(B354),ISNUMBER(C354)),C354-B354,"")</f>
        <v>0</v>
      </c>
      <c r="E354" s="4" t="s">
        <v>531</v>
      </c>
    </row>
    <row r="355" customFormat="false" ht="23.85" hidden="false" customHeight="false" outlineLevel="0" collapsed="false">
      <c r="A355" s="4" t="s">
        <v>873</v>
      </c>
      <c r="B355" s="5" t="n">
        <v>0.062</v>
      </c>
      <c r="C355" s="5" t="n">
        <v>0.062</v>
      </c>
      <c r="D355" s="5" t="n">
        <f aca="false">IF(AND(ISNUMBER(B355),ISNUMBER(C355)),C355-B355,"")</f>
        <v>0</v>
      </c>
      <c r="E355" s="4" t="s">
        <v>605</v>
      </c>
    </row>
    <row r="356" customFormat="false" ht="15" hidden="false" customHeight="false" outlineLevel="0" collapsed="false">
      <c r="A356" s="4" t="s">
        <v>874</v>
      </c>
      <c r="B356" s="5" t="n">
        <v>-0.185</v>
      </c>
      <c r="C356" s="5" t="n">
        <v>-0.185</v>
      </c>
      <c r="D356" s="5" t="n">
        <f aca="false">IF(AND(ISNUMBER(B356),ISNUMBER(C356)),C356-B356,"")</f>
        <v>0</v>
      </c>
      <c r="E356" s="4" t="s">
        <v>531</v>
      </c>
    </row>
    <row r="357" customFormat="false" ht="23.85" hidden="false" customHeight="false" outlineLevel="0" collapsed="false">
      <c r="A357" s="4" t="s">
        <v>875</v>
      </c>
      <c r="B357" s="5" t="n">
        <v>0.065</v>
      </c>
      <c r="C357" s="5" t="n">
        <v>0.064</v>
      </c>
      <c r="D357" s="5" t="n">
        <f aca="false">IF(AND(ISNUMBER(B357),ISNUMBER(C357)),C357-B357,"")</f>
        <v>-0.001</v>
      </c>
      <c r="E357" s="4" t="s">
        <v>605</v>
      </c>
    </row>
    <row r="358" customFormat="false" ht="15" hidden="false" customHeight="false" outlineLevel="0" collapsed="false">
      <c r="A358" s="4" t="s">
        <v>876</v>
      </c>
      <c r="B358" s="5" t="n">
        <v>116</v>
      </c>
      <c r="C358" s="5" t="n">
        <v>116</v>
      </c>
      <c r="D358" s="5" t="n">
        <f aca="false">IF(AND(ISNUMBER(B358),ISNUMBER(C358)),C358-B358,"")</f>
        <v>0</v>
      </c>
      <c r="E358" s="4" t="s">
        <v>531</v>
      </c>
    </row>
    <row r="359" customFormat="false" ht="15" hidden="false" customHeight="false" outlineLevel="0" collapsed="false">
      <c r="A359" s="4" t="s">
        <v>877</v>
      </c>
      <c r="B359" s="5" t="n">
        <v>95</v>
      </c>
      <c r="C359" s="5" t="n">
        <v>95</v>
      </c>
      <c r="D359" s="5" t="n">
        <f aca="false">IF(AND(ISNUMBER(B359),ISNUMBER(C359)),C359-B359,"")</f>
        <v>0</v>
      </c>
      <c r="E359" s="4" t="s">
        <v>531</v>
      </c>
    </row>
    <row r="360" customFormat="false" ht="15" hidden="false" customHeight="false" outlineLevel="0" collapsed="false">
      <c r="A360" s="4" t="s">
        <v>878</v>
      </c>
      <c r="B360" s="5" t="s">
        <v>27</v>
      </c>
      <c r="C360" s="5" t="s">
        <v>27</v>
      </c>
      <c r="D360" s="5" t="str">
        <f aca="false">IF(AND(ISNUMBER(B360),ISNUMBER(C360)),C360-B360,"")</f>
        <v/>
      </c>
      <c r="E360" s="4" t="s">
        <v>531</v>
      </c>
    </row>
    <row r="361" customFormat="false" ht="23.85" hidden="false" customHeight="false" outlineLevel="0" collapsed="false">
      <c r="A361" s="4" t="s">
        <v>879</v>
      </c>
      <c r="B361" s="5" t="s">
        <v>27</v>
      </c>
      <c r="C361" s="5" t="s">
        <v>27</v>
      </c>
      <c r="D361" s="5" t="str">
        <f aca="false">IF(AND(ISNUMBER(B361),ISNUMBER(C361)),C361-B361,"")</f>
        <v/>
      </c>
      <c r="E361" s="4" t="s">
        <v>605</v>
      </c>
    </row>
    <row r="362" customFormat="false" ht="15" hidden="false" customHeight="false" outlineLevel="0" collapsed="false">
      <c r="A362" s="4" t="s">
        <v>880</v>
      </c>
      <c r="B362" s="5" t="n">
        <v>-0.007</v>
      </c>
      <c r="C362" s="5" t="n">
        <v>-0.007</v>
      </c>
      <c r="D362" s="5" t="n">
        <f aca="false">IF(AND(ISNUMBER(B362),ISNUMBER(C362)),C362-B362,"")</f>
        <v>0</v>
      </c>
      <c r="E362" s="4" t="s">
        <v>531</v>
      </c>
    </row>
    <row r="363" customFormat="false" ht="23.85" hidden="false" customHeight="false" outlineLevel="0" collapsed="false">
      <c r="A363" s="4" t="s">
        <v>881</v>
      </c>
      <c r="B363" s="5" t="n">
        <v>0.047</v>
      </c>
      <c r="C363" s="5" t="n">
        <v>0.044</v>
      </c>
      <c r="D363" s="5" t="n">
        <f aca="false">IF(AND(ISNUMBER(B363),ISNUMBER(C363)),C363-B363,"")</f>
        <v>-0.003</v>
      </c>
      <c r="E363" s="4" t="s">
        <v>605</v>
      </c>
    </row>
    <row r="364" customFormat="false" ht="15" hidden="false" customHeight="false" outlineLevel="0" collapsed="false">
      <c r="A364" s="4" t="s">
        <v>882</v>
      </c>
      <c r="B364" s="5" t="n">
        <v>-0.038</v>
      </c>
      <c r="C364" s="5" t="n">
        <v>-0.038</v>
      </c>
      <c r="D364" s="5" t="n">
        <f aca="false">IF(AND(ISNUMBER(B364),ISNUMBER(C364)),C364-B364,"")</f>
        <v>0</v>
      </c>
      <c r="E364" s="4" t="s">
        <v>531</v>
      </c>
    </row>
    <row r="365" customFormat="false" ht="23.85" hidden="false" customHeight="false" outlineLevel="0" collapsed="false">
      <c r="A365" s="4" t="s">
        <v>883</v>
      </c>
      <c r="B365" s="5" t="n">
        <v>0.051</v>
      </c>
      <c r="C365" s="5" t="n">
        <v>0.049</v>
      </c>
      <c r="D365" s="5" t="n">
        <f aca="false">IF(AND(ISNUMBER(B365),ISNUMBER(C365)),C365-B365,"")</f>
        <v>-0.002</v>
      </c>
      <c r="E365" s="4" t="s">
        <v>605</v>
      </c>
    </row>
    <row r="366" customFormat="false" ht="15" hidden="false" customHeight="false" outlineLevel="0" collapsed="false">
      <c r="A366" s="4" t="s">
        <v>884</v>
      </c>
      <c r="B366" s="5" t="n">
        <v>-0.003</v>
      </c>
      <c r="C366" s="5" t="n">
        <v>-0.003</v>
      </c>
      <c r="D366" s="5" t="n">
        <f aca="false">IF(AND(ISNUMBER(B366),ISNUMBER(C366)),C366-B366,"")</f>
        <v>0</v>
      </c>
      <c r="E366" s="4" t="s">
        <v>531</v>
      </c>
    </row>
    <row r="367" customFormat="false" ht="23.85" hidden="false" customHeight="false" outlineLevel="0" collapsed="false">
      <c r="A367" s="4" t="s">
        <v>885</v>
      </c>
      <c r="B367" s="5" t="n">
        <v>0.052</v>
      </c>
      <c r="C367" s="5" t="n">
        <v>0.051</v>
      </c>
      <c r="D367" s="5" t="n">
        <f aca="false">IF(AND(ISNUMBER(B367),ISNUMBER(C367)),C367-B367,"")</f>
        <v>-0.001</v>
      </c>
      <c r="E367" s="4" t="s">
        <v>605</v>
      </c>
    </row>
    <row r="368" customFormat="false" ht="15" hidden="false" customHeight="false" outlineLevel="0" collapsed="false">
      <c r="A368" s="4" t="s">
        <v>886</v>
      </c>
      <c r="B368" s="5" t="n">
        <v>-0.013</v>
      </c>
      <c r="C368" s="5" t="n">
        <v>-0.013</v>
      </c>
      <c r="D368" s="5" t="n">
        <f aca="false">IF(AND(ISNUMBER(B368),ISNUMBER(C368)),C368-B368,"")</f>
        <v>0</v>
      </c>
      <c r="E368" s="4" t="s">
        <v>531</v>
      </c>
    </row>
    <row r="369" customFormat="false" ht="23.85" hidden="false" customHeight="false" outlineLevel="0" collapsed="false">
      <c r="A369" s="4" t="s">
        <v>887</v>
      </c>
      <c r="B369" s="5" t="n">
        <v>0.049</v>
      </c>
      <c r="C369" s="5" t="n">
        <v>0.049</v>
      </c>
      <c r="D369" s="5" t="n">
        <f aca="false">IF(AND(ISNUMBER(B369),ISNUMBER(C369)),C369-B369,"")</f>
        <v>0</v>
      </c>
      <c r="E369" s="4" t="s">
        <v>605</v>
      </c>
    </row>
    <row r="370" customFormat="false" ht="15" hidden="false" customHeight="false" outlineLevel="0" collapsed="false">
      <c r="A370" s="4" t="s">
        <v>888</v>
      </c>
      <c r="B370" s="5" t="n">
        <v>116</v>
      </c>
      <c r="C370" s="5" t="n">
        <v>116</v>
      </c>
      <c r="D370" s="5" t="n">
        <f aca="false">IF(AND(ISNUMBER(B370),ISNUMBER(C370)),C370-B370,"")</f>
        <v>0</v>
      </c>
      <c r="E370" s="4" t="s">
        <v>531</v>
      </c>
    </row>
    <row r="371" customFormat="false" ht="15" hidden="false" customHeight="false" outlineLevel="0" collapsed="false">
      <c r="A371" s="4" t="s">
        <v>889</v>
      </c>
      <c r="B371" s="5" t="n">
        <v>95</v>
      </c>
      <c r="C371" s="5" t="n">
        <v>95</v>
      </c>
      <c r="D371" s="5" t="n">
        <f aca="false">IF(AND(ISNUMBER(B371),ISNUMBER(C371)),C371-B371,"")</f>
        <v>0</v>
      </c>
      <c r="E371" s="4" t="s">
        <v>531</v>
      </c>
    </row>
    <row r="372" customFormat="false" ht="15" hidden="false" customHeight="false" outlineLevel="0" collapsed="false">
      <c r="A372" s="4" t="s">
        <v>890</v>
      </c>
      <c r="B372" s="5" t="s">
        <v>27</v>
      </c>
      <c r="C372" s="5" t="s">
        <v>27</v>
      </c>
      <c r="D372" s="5" t="str">
        <f aca="false">IF(AND(ISNUMBER(B372),ISNUMBER(C372)),C372-B372,"")</f>
        <v/>
      </c>
      <c r="E372" s="4" t="s">
        <v>531</v>
      </c>
    </row>
    <row r="373" customFormat="false" ht="23.85" hidden="false" customHeight="false" outlineLevel="0" collapsed="false">
      <c r="A373" s="4" t="s">
        <v>891</v>
      </c>
      <c r="B373" s="5" t="s">
        <v>27</v>
      </c>
      <c r="C373" s="5" t="s">
        <v>27</v>
      </c>
      <c r="D373" s="5" t="str">
        <f aca="false">IF(AND(ISNUMBER(B373),ISNUMBER(C373)),C373-B373,"")</f>
        <v/>
      </c>
      <c r="E373" s="4" t="s">
        <v>605</v>
      </c>
    </row>
    <row r="374" customFormat="false" ht="15" hidden="false" customHeight="false" outlineLevel="0" collapsed="false">
      <c r="A374" s="4" t="s">
        <v>892</v>
      </c>
      <c r="B374" s="5" t="n">
        <v>-0.084</v>
      </c>
      <c r="C374" s="5" t="n">
        <v>-0.084</v>
      </c>
      <c r="D374" s="5" t="n">
        <f aca="false">IF(AND(ISNUMBER(B374),ISNUMBER(C374)),C374-B374,"")</f>
        <v>0</v>
      </c>
      <c r="E374" s="4" t="s">
        <v>531</v>
      </c>
    </row>
    <row r="375" customFormat="false" ht="23.85" hidden="false" customHeight="false" outlineLevel="0" collapsed="false">
      <c r="A375" s="4" t="s">
        <v>893</v>
      </c>
      <c r="B375" s="5" t="n">
        <v>0.067</v>
      </c>
      <c r="C375" s="5" t="n">
        <v>0.07</v>
      </c>
      <c r="D375" s="5" t="n">
        <f aca="false">IF(AND(ISNUMBER(B375),ISNUMBER(C375)),C375-B375,"")</f>
        <v>0.003</v>
      </c>
      <c r="E375" s="4" t="s">
        <v>605</v>
      </c>
    </row>
    <row r="376" customFormat="false" ht="15" hidden="false" customHeight="false" outlineLevel="0" collapsed="false">
      <c r="A376" s="4" t="s">
        <v>894</v>
      </c>
      <c r="B376" s="5" t="n">
        <v>-0.112</v>
      </c>
      <c r="C376" s="5" t="n">
        <v>-0.112</v>
      </c>
      <c r="D376" s="5" t="n">
        <f aca="false">IF(AND(ISNUMBER(B376),ISNUMBER(C376)),C376-B376,"")</f>
        <v>0</v>
      </c>
      <c r="E376" s="4" t="s">
        <v>531</v>
      </c>
    </row>
    <row r="377" customFormat="false" ht="23.85" hidden="false" customHeight="false" outlineLevel="0" collapsed="false">
      <c r="A377" s="4" t="s">
        <v>895</v>
      </c>
      <c r="B377" s="5" t="n">
        <v>0.088</v>
      </c>
      <c r="C377" s="5" t="n">
        <v>0.093</v>
      </c>
      <c r="D377" s="5" t="n">
        <f aca="false">IF(AND(ISNUMBER(B377),ISNUMBER(C377)),C377-B377,"")</f>
        <v>0.005</v>
      </c>
      <c r="E377" s="4" t="s">
        <v>605</v>
      </c>
    </row>
    <row r="378" customFormat="false" ht="15" hidden="false" customHeight="false" outlineLevel="0" collapsed="false">
      <c r="A378" s="4" t="s">
        <v>896</v>
      </c>
      <c r="B378" s="5" t="n">
        <v>-0.146</v>
      </c>
      <c r="C378" s="5" t="n">
        <v>-0.146</v>
      </c>
      <c r="D378" s="5" t="n">
        <f aca="false">IF(AND(ISNUMBER(B378),ISNUMBER(C378)),C378-B378,"")</f>
        <v>0</v>
      </c>
      <c r="E378" s="4" t="s">
        <v>531</v>
      </c>
    </row>
    <row r="379" customFormat="false" ht="23.85" hidden="false" customHeight="false" outlineLevel="0" collapsed="false">
      <c r="A379" s="4" t="s">
        <v>897</v>
      </c>
      <c r="B379" s="5" t="n">
        <v>0.088</v>
      </c>
      <c r="C379" s="5" t="n">
        <v>0.09</v>
      </c>
      <c r="D379" s="5" t="n">
        <f aca="false">IF(AND(ISNUMBER(B379),ISNUMBER(C379)),C379-B379,"")</f>
        <v>0.002</v>
      </c>
      <c r="E379" s="4" t="s">
        <v>605</v>
      </c>
    </row>
    <row r="380" customFormat="false" ht="15" hidden="false" customHeight="false" outlineLevel="0" collapsed="false">
      <c r="A380" s="4" t="s">
        <v>898</v>
      </c>
      <c r="B380" s="5" t="n">
        <v>-0.154</v>
      </c>
      <c r="C380" s="5" t="n">
        <v>-0.154</v>
      </c>
      <c r="D380" s="5" t="n">
        <f aca="false">IF(AND(ISNUMBER(B380),ISNUMBER(C380)),C380-B380,"")</f>
        <v>0</v>
      </c>
      <c r="E380" s="4" t="s">
        <v>531</v>
      </c>
    </row>
    <row r="381" customFormat="false" ht="23.85" hidden="false" customHeight="false" outlineLevel="0" collapsed="false">
      <c r="A381" s="4" t="s">
        <v>899</v>
      </c>
      <c r="B381" s="5" t="n">
        <v>0.079</v>
      </c>
      <c r="C381" s="5" t="n">
        <v>0.081</v>
      </c>
      <c r="D381" s="5" t="n">
        <f aca="false">IF(AND(ISNUMBER(B381),ISNUMBER(C381)),C381-B381,"")</f>
        <v>0.002</v>
      </c>
      <c r="E381" s="4" t="s">
        <v>605</v>
      </c>
    </row>
    <row r="382" customFormat="false" ht="15" hidden="false" customHeight="false" outlineLevel="0" collapsed="false">
      <c r="A382" s="4" t="s">
        <v>900</v>
      </c>
      <c r="B382" s="5" t="n">
        <v>116</v>
      </c>
      <c r="C382" s="5" t="n">
        <v>116</v>
      </c>
      <c r="D382" s="5" t="n">
        <f aca="false">IF(AND(ISNUMBER(B382),ISNUMBER(C382)),C382-B382,"")</f>
        <v>0</v>
      </c>
      <c r="E382" s="4" t="s">
        <v>531</v>
      </c>
    </row>
    <row r="383" customFormat="false" ht="15" hidden="false" customHeight="false" outlineLevel="0" collapsed="false">
      <c r="A383" s="4" t="s">
        <v>901</v>
      </c>
      <c r="B383" s="5" t="n">
        <v>94</v>
      </c>
      <c r="C383" s="5" t="n">
        <v>94</v>
      </c>
      <c r="D383" s="5" t="n">
        <f aca="false">IF(AND(ISNUMBER(B383),ISNUMBER(C383)),C383-B383,"")</f>
        <v>0</v>
      </c>
      <c r="E383" s="4" t="s">
        <v>531</v>
      </c>
    </row>
    <row r="384" customFormat="false" ht="15" hidden="false" customHeight="false" outlineLevel="0" collapsed="false">
      <c r="A384" s="4" t="s">
        <v>902</v>
      </c>
      <c r="B384" s="5" t="n">
        <v>-0.715</v>
      </c>
      <c r="C384" s="5" t="n">
        <v>-0.715</v>
      </c>
      <c r="D384" s="5" t="n">
        <f aca="false">IF(AND(ISNUMBER(B384),ISNUMBER(C384)),C384-B384,"")</f>
        <v>0</v>
      </c>
      <c r="E384" s="4" t="s">
        <v>531</v>
      </c>
    </row>
    <row r="385" customFormat="false" ht="23.85" hidden="false" customHeight="false" outlineLevel="0" collapsed="false">
      <c r="A385" s="4" t="s">
        <v>903</v>
      </c>
      <c r="B385" s="5" t="n">
        <v>0.382</v>
      </c>
      <c r="C385" s="5" t="n">
        <v>0.383</v>
      </c>
      <c r="D385" s="5" t="n">
        <f aca="false">IF(AND(ISNUMBER(B385),ISNUMBER(C385)),C385-B385,"")</f>
        <v>0.001</v>
      </c>
      <c r="E385" s="4" t="s">
        <v>605</v>
      </c>
    </row>
    <row r="386" customFormat="false" ht="15" hidden="false" customHeight="false" outlineLevel="0" collapsed="false">
      <c r="A386" s="4" t="s">
        <v>904</v>
      </c>
      <c r="B386" s="5" t="n">
        <v>-0.834</v>
      </c>
      <c r="C386" s="5" t="n">
        <v>-0.834</v>
      </c>
      <c r="D386" s="5" t="n">
        <f aca="false">IF(AND(ISNUMBER(B386),ISNUMBER(C386)),C386-B386,"")</f>
        <v>0</v>
      </c>
      <c r="E386" s="4" t="s">
        <v>531</v>
      </c>
    </row>
    <row r="387" customFormat="false" ht="23.85" hidden="false" customHeight="false" outlineLevel="0" collapsed="false">
      <c r="A387" s="4" t="s">
        <v>905</v>
      </c>
      <c r="B387" s="5" t="n">
        <v>0.512</v>
      </c>
      <c r="C387" s="5" t="n">
        <v>0.518</v>
      </c>
      <c r="D387" s="5" t="n">
        <f aca="false">IF(AND(ISNUMBER(B387),ISNUMBER(C387)),C387-B387,"")</f>
        <v>0.00600000000000001</v>
      </c>
      <c r="E387" s="4" t="s">
        <v>605</v>
      </c>
    </row>
    <row r="388" customFormat="false" ht="15" hidden="false" customHeight="false" outlineLevel="0" collapsed="false">
      <c r="A388" s="4" t="s">
        <v>906</v>
      </c>
      <c r="B388" s="5" t="n">
        <v>-0.622</v>
      </c>
      <c r="C388" s="5" t="n">
        <v>-0.622</v>
      </c>
      <c r="D388" s="5" t="n">
        <f aca="false">IF(AND(ISNUMBER(B388),ISNUMBER(C388)),C388-B388,"")</f>
        <v>0</v>
      </c>
      <c r="E388" s="4" t="s">
        <v>531</v>
      </c>
    </row>
    <row r="389" customFormat="false" ht="23.85" hidden="false" customHeight="false" outlineLevel="0" collapsed="false">
      <c r="A389" s="4" t="s">
        <v>907</v>
      </c>
      <c r="B389" s="5" t="n">
        <v>0.571</v>
      </c>
      <c r="C389" s="5" t="n">
        <v>0.564</v>
      </c>
      <c r="D389" s="5" t="n">
        <f aca="false">IF(AND(ISNUMBER(B389),ISNUMBER(C389)),C389-B389,"")</f>
        <v>-0.00700000000000001</v>
      </c>
      <c r="E389" s="4" t="s">
        <v>605</v>
      </c>
    </row>
    <row r="390" customFormat="false" ht="15" hidden="false" customHeight="false" outlineLevel="0" collapsed="false">
      <c r="A390" s="4" t="s">
        <v>908</v>
      </c>
      <c r="B390" s="5" t="n">
        <v>-0.265</v>
      </c>
      <c r="C390" s="5" t="n">
        <v>-0.265</v>
      </c>
      <c r="D390" s="5" t="n">
        <f aca="false">IF(AND(ISNUMBER(B390),ISNUMBER(C390)),C390-B390,"")</f>
        <v>0</v>
      </c>
      <c r="E390" s="4" t="s">
        <v>531</v>
      </c>
    </row>
    <row r="391" customFormat="false" ht="23.85" hidden="false" customHeight="false" outlineLevel="0" collapsed="false">
      <c r="A391" s="4" t="s">
        <v>909</v>
      </c>
      <c r="B391" s="5" t="n">
        <v>0.733</v>
      </c>
      <c r="C391" s="5" t="n">
        <v>0.709</v>
      </c>
      <c r="D391" s="5" t="n">
        <f aca="false">IF(AND(ISNUMBER(B391),ISNUMBER(C391)),C391-B391,"")</f>
        <v>-0.024</v>
      </c>
      <c r="E391" s="4" t="s">
        <v>605</v>
      </c>
    </row>
    <row r="392" customFormat="false" ht="15" hidden="false" customHeight="false" outlineLevel="0" collapsed="false">
      <c r="A392" s="4" t="s">
        <v>910</v>
      </c>
      <c r="B392" s="5" t="n">
        <v>-0.489</v>
      </c>
      <c r="C392" s="5" t="n">
        <v>-0.489</v>
      </c>
      <c r="D392" s="5" t="n">
        <f aca="false">IF(AND(ISNUMBER(B392),ISNUMBER(C392)),C392-B392,"")</f>
        <v>0</v>
      </c>
      <c r="E392" s="4" t="s">
        <v>531</v>
      </c>
    </row>
    <row r="393" customFormat="false" ht="23.85" hidden="false" customHeight="false" outlineLevel="0" collapsed="false">
      <c r="A393" s="4" t="s">
        <v>911</v>
      </c>
      <c r="B393" s="5" t="n">
        <v>0.606</v>
      </c>
      <c r="C393" s="5" t="n">
        <v>0.592</v>
      </c>
      <c r="D393" s="5" t="n">
        <f aca="false">IF(AND(ISNUMBER(B393),ISNUMBER(C393)),C393-B393,"")</f>
        <v>-0.014</v>
      </c>
      <c r="E393" s="4" t="s">
        <v>605</v>
      </c>
    </row>
    <row r="394" customFormat="false" ht="15" hidden="false" customHeight="false" outlineLevel="0" collapsed="false">
      <c r="A394" s="4" t="s">
        <v>912</v>
      </c>
      <c r="B394" s="5" t="n">
        <v>116</v>
      </c>
      <c r="C394" s="5" t="n">
        <v>116</v>
      </c>
      <c r="D394" s="5" t="n">
        <f aca="false">IF(AND(ISNUMBER(B394),ISNUMBER(C394)),C394-B394,"")</f>
        <v>0</v>
      </c>
      <c r="E394" s="4" t="s">
        <v>531</v>
      </c>
    </row>
    <row r="395" customFormat="false" ht="15" hidden="false" customHeight="false" outlineLevel="0" collapsed="false">
      <c r="A395" s="4" t="s">
        <v>913</v>
      </c>
      <c r="B395" s="5" t="n">
        <v>94</v>
      </c>
      <c r="C395" s="5" t="n">
        <v>94</v>
      </c>
      <c r="D395" s="5" t="n">
        <f aca="false">IF(AND(ISNUMBER(B395),ISNUMBER(C395)),C395-B395,"")</f>
        <v>0</v>
      </c>
      <c r="E395" s="4" t="s">
        <v>531</v>
      </c>
    </row>
    <row r="396" customFormat="false" ht="15" hidden="false" customHeight="false" outlineLevel="0" collapsed="false">
      <c r="A396" s="4" t="s">
        <v>914</v>
      </c>
      <c r="B396" s="5" t="s">
        <v>27</v>
      </c>
      <c r="C396" s="5" t="s">
        <v>27</v>
      </c>
      <c r="D396" s="5" t="str">
        <f aca="false">IF(AND(ISNUMBER(B396),ISNUMBER(C396)),C396-B396,"")</f>
        <v/>
      </c>
      <c r="E396" s="4" t="s">
        <v>531</v>
      </c>
    </row>
    <row r="397" customFormat="false" ht="23.85" hidden="false" customHeight="false" outlineLevel="0" collapsed="false">
      <c r="A397" s="4" t="s">
        <v>915</v>
      </c>
      <c r="B397" s="5" t="s">
        <v>27</v>
      </c>
      <c r="C397" s="5" t="s">
        <v>27</v>
      </c>
      <c r="D397" s="5" t="str">
        <f aca="false">IF(AND(ISNUMBER(B397),ISNUMBER(C397)),C397-B397,"")</f>
        <v/>
      </c>
      <c r="E397" s="4" t="s">
        <v>605</v>
      </c>
    </row>
    <row r="398" customFormat="false" ht="15" hidden="false" customHeight="false" outlineLevel="0" collapsed="false">
      <c r="A398" s="4" t="s">
        <v>916</v>
      </c>
      <c r="B398" s="5" t="n">
        <v>0.074</v>
      </c>
      <c r="C398" s="5" t="n">
        <v>0.074</v>
      </c>
      <c r="D398" s="5" t="n">
        <f aca="false">IF(AND(ISNUMBER(B398),ISNUMBER(C398)),C398-B398,"")</f>
        <v>0</v>
      </c>
      <c r="E398" s="4" t="s">
        <v>531</v>
      </c>
    </row>
    <row r="399" customFormat="false" ht="23.85" hidden="false" customHeight="false" outlineLevel="0" collapsed="false">
      <c r="A399" s="4" t="s">
        <v>917</v>
      </c>
      <c r="B399" s="5" t="n">
        <v>0.078</v>
      </c>
      <c r="C399" s="5" t="n">
        <v>0.08</v>
      </c>
      <c r="D399" s="5" t="n">
        <f aca="false">IF(AND(ISNUMBER(B399),ISNUMBER(C399)),C399-B399,"")</f>
        <v>0.002</v>
      </c>
      <c r="E399" s="4" t="s">
        <v>605</v>
      </c>
    </row>
    <row r="400" customFormat="false" ht="15" hidden="false" customHeight="false" outlineLevel="0" collapsed="false">
      <c r="A400" s="4" t="s">
        <v>918</v>
      </c>
      <c r="B400" s="5" t="n">
        <v>0.105</v>
      </c>
      <c r="C400" s="5" t="n">
        <v>0.105</v>
      </c>
      <c r="D400" s="5" t="n">
        <f aca="false">IF(AND(ISNUMBER(B400),ISNUMBER(C400)),C400-B400,"")</f>
        <v>0</v>
      </c>
      <c r="E400" s="4" t="s">
        <v>531</v>
      </c>
    </row>
    <row r="401" customFormat="false" ht="23.85" hidden="false" customHeight="false" outlineLevel="0" collapsed="false">
      <c r="A401" s="4" t="s">
        <v>919</v>
      </c>
      <c r="B401" s="5" t="n">
        <v>0.091</v>
      </c>
      <c r="C401" s="5" t="n">
        <v>0.092</v>
      </c>
      <c r="D401" s="5" t="n">
        <f aca="false">IF(AND(ISNUMBER(B401),ISNUMBER(C401)),C401-B401,"")</f>
        <v>0.001</v>
      </c>
      <c r="E401" s="4" t="s">
        <v>605</v>
      </c>
    </row>
    <row r="402" customFormat="false" ht="15" hidden="false" customHeight="false" outlineLevel="0" collapsed="false">
      <c r="A402" s="4" t="s">
        <v>920</v>
      </c>
      <c r="B402" s="5" t="n">
        <v>0.145</v>
      </c>
      <c r="C402" s="5" t="n">
        <v>0.145</v>
      </c>
      <c r="D402" s="5" t="n">
        <f aca="false">IF(AND(ISNUMBER(B402),ISNUMBER(C402)),C402-B402,"")</f>
        <v>0</v>
      </c>
      <c r="E402" s="4" t="s">
        <v>531</v>
      </c>
    </row>
    <row r="403" customFormat="false" ht="23.85" hidden="false" customHeight="false" outlineLevel="0" collapsed="false">
      <c r="A403" s="4" t="s">
        <v>921</v>
      </c>
      <c r="B403" s="5" t="n">
        <v>0.1</v>
      </c>
      <c r="C403" s="5" t="n">
        <v>0.103</v>
      </c>
      <c r="D403" s="5" t="n">
        <f aca="false">IF(AND(ISNUMBER(B403),ISNUMBER(C403)),C403-B403,"")</f>
        <v>0.00299999999999999</v>
      </c>
      <c r="E403" s="4" t="s">
        <v>605</v>
      </c>
    </row>
    <row r="404" customFormat="false" ht="15" hidden="false" customHeight="false" outlineLevel="0" collapsed="false">
      <c r="A404" s="4" t="s">
        <v>922</v>
      </c>
      <c r="B404" s="5" t="n">
        <v>0.155</v>
      </c>
      <c r="C404" s="5" t="n">
        <v>0.155</v>
      </c>
      <c r="D404" s="5" t="n">
        <f aca="false">IF(AND(ISNUMBER(B404),ISNUMBER(C404)),C404-B404,"")</f>
        <v>0</v>
      </c>
      <c r="E404" s="4" t="s">
        <v>531</v>
      </c>
    </row>
    <row r="405" customFormat="false" ht="23.85" hidden="false" customHeight="false" outlineLevel="0" collapsed="false">
      <c r="A405" s="4" t="s">
        <v>923</v>
      </c>
      <c r="B405" s="5" t="n">
        <v>0.092</v>
      </c>
      <c r="C405" s="5" t="n">
        <v>0.09</v>
      </c>
      <c r="D405" s="5" t="n">
        <f aca="false">IF(AND(ISNUMBER(B405),ISNUMBER(C405)),C405-B405,"")</f>
        <v>-0.002</v>
      </c>
      <c r="E405" s="4" t="s">
        <v>605</v>
      </c>
    </row>
    <row r="406" customFormat="false" ht="15" hidden="false" customHeight="false" outlineLevel="0" collapsed="false">
      <c r="A406" s="4" t="s">
        <v>924</v>
      </c>
      <c r="B406" s="5" t="n">
        <v>116</v>
      </c>
      <c r="C406" s="5" t="n">
        <v>116</v>
      </c>
      <c r="D406" s="5" t="n">
        <f aca="false">IF(AND(ISNUMBER(B406),ISNUMBER(C406)),C406-B406,"")</f>
        <v>0</v>
      </c>
      <c r="E406" s="4" t="s">
        <v>531</v>
      </c>
    </row>
    <row r="407" customFormat="false" ht="15" hidden="false" customHeight="false" outlineLevel="0" collapsed="false">
      <c r="A407" s="4" t="s">
        <v>925</v>
      </c>
      <c r="B407" s="5" t="n">
        <v>94</v>
      </c>
      <c r="C407" s="5" t="n">
        <v>94</v>
      </c>
      <c r="D407" s="5" t="n">
        <f aca="false">IF(AND(ISNUMBER(B407),ISNUMBER(C407)),C407-B407,"")</f>
        <v>0</v>
      </c>
      <c r="E407" s="4" t="s">
        <v>531</v>
      </c>
    </row>
    <row r="408" customFormat="false" ht="15" hidden="false" customHeight="false" outlineLevel="0" collapsed="false">
      <c r="A408" s="4" t="s">
        <v>926</v>
      </c>
      <c r="B408" s="5" t="s">
        <v>27</v>
      </c>
      <c r="C408" s="5" t="s">
        <v>27</v>
      </c>
      <c r="D408" s="5" t="str">
        <f aca="false">IF(AND(ISNUMBER(B408),ISNUMBER(C408)),C408-B408,"")</f>
        <v/>
      </c>
      <c r="E408" s="4" t="s">
        <v>531</v>
      </c>
    </row>
    <row r="409" customFormat="false" ht="23.85" hidden="false" customHeight="false" outlineLevel="0" collapsed="false">
      <c r="A409" s="4" t="s">
        <v>927</v>
      </c>
      <c r="B409" s="5" t="s">
        <v>27</v>
      </c>
      <c r="C409" s="5" t="s">
        <v>27</v>
      </c>
      <c r="D409" s="5" t="str">
        <f aca="false">IF(AND(ISNUMBER(B409),ISNUMBER(C409)),C409-B409,"")</f>
        <v/>
      </c>
      <c r="E409" s="4" t="s">
        <v>605</v>
      </c>
    </row>
    <row r="410" customFormat="false" ht="15" hidden="false" customHeight="false" outlineLevel="0" collapsed="false">
      <c r="A410" s="4" t="s">
        <v>928</v>
      </c>
      <c r="B410" s="5" t="n">
        <v>0.138</v>
      </c>
      <c r="C410" s="5" t="n">
        <v>0.138</v>
      </c>
      <c r="D410" s="5" t="n">
        <f aca="false">IF(AND(ISNUMBER(B410),ISNUMBER(C410)),C410-B410,"")</f>
        <v>0</v>
      </c>
      <c r="E410" s="4" t="s">
        <v>531</v>
      </c>
    </row>
    <row r="411" customFormat="false" ht="23.85" hidden="false" customHeight="false" outlineLevel="0" collapsed="false">
      <c r="A411" s="4" t="s">
        <v>929</v>
      </c>
      <c r="B411" s="5" t="n">
        <v>0.079</v>
      </c>
      <c r="C411" s="5" t="n">
        <v>0.076</v>
      </c>
      <c r="D411" s="5" t="n">
        <f aca="false">IF(AND(ISNUMBER(B411),ISNUMBER(C411)),C411-B411,"")</f>
        <v>-0.003</v>
      </c>
      <c r="E411" s="4" t="s">
        <v>605</v>
      </c>
    </row>
    <row r="412" customFormat="false" ht="15" hidden="false" customHeight="false" outlineLevel="0" collapsed="false">
      <c r="A412" s="4" t="s">
        <v>930</v>
      </c>
      <c r="B412" s="5" t="n">
        <v>0.159</v>
      </c>
      <c r="C412" s="5" t="n">
        <v>0.159</v>
      </c>
      <c r="D412" s="5" t="n">
        <f aca="false">IF(AND(ISNUMBER(B412),ISNUMBER(C412)),C412-B412,"")</f>
        <v>0</v>
      </c>
      <c r="E412" s="4" t="s">
        <v>531</v>
      </c>
    </row>
    <row r="413" customFormat="false" ht="23.85" hidden="false" customHeight="false" outlineLevel="0" collapsed="false">
      <c r="A413" s="4" t="s">
        <v>931</v>
      </c>
      <c r="B413" s="5" t="n">
        <v>0.095</v>
      </c>
      <c r="C413" s="5" t="n">
        <v>0.089</v>
      </c>
      <c r="D413" s="5" t="n">
        <f aca="false">IF(AND(ISNUMBER(B413),ISNUMBER(C413)),C413-B413,"")</f>
        <v>-0.00600000000000001</v>
      </c>
      <c r="E413" s="4" t="s">
        <v>605</v>
      </c>
    </row>
    <row r="414" customFormat="false" ht="15" hidden="false" customHeight="false" outlineLevel="0" collapsed="false">
      <c r="A414" s="4" t="s">
        <v>932</v>
      </c>
      <c r="B414" s="5" t="n">
        <v>0.172</v>
      </c>
      <c r="C414" s="5" t="n">
        <v>0.172</v>
      </c>
      <c r="D414" s="5" t="n">
        <f aca="false">IF(AND(ISNUMBER(B414),ISNUMBER(C414)),C414-B414,"")</f>
        <v>0</v>
      </c>
      <c r="E414" s="4" t="s">
        <v>531</v>
      </c>
    </row>
    <row r="415" customFormat="false" ht="23.85" hidden="false" customHeight="false" outlineLevel="0" collapsed="false">
      <c r="A415" s="4" t="s">
        <v>933</v>
      </c>
      <c r="B415" s="5" t="n">
        <v>0.113</v>
      </c>
      <c r="C415" s="5" t="n">
        <v>0.106</v>
      </c>
      <c r="D415" s="5" t="n">
        <f aca="false">IF(AND(ISNUMBER(B415),ISNUMBER(C415)),C415-B415,"")</f>
        <v>-0.00700000000000001</v>
      </c>
      <c r="E415" s="4" t="s">
        <v>605</v>
      </c>
    </row>
    <row r="416" customFormat="false" ht="15" hidden="false" customHeight="false" outlineLevel="0" collapsed="false">
      <c r="A416" s="4" t="s">
        <v>934</v>
      </c>
      <c r="B416" s="5" t="n">
        <v>0.182</v>
      </c>
      <c r="C416" s="5" t="n">
        <v>0.182</v>
      </c>
      <c r="D416" s="5" t="n">
        <f aca="false">IF(AND(ISNUMBER(B416),ISNUMBER(C416)),C416-B416,"")</f>
        <v>0</v>
      </c>
      <c r="E416" s="4" t="s">
        <v>531</v>
      </c>
    </row>
    <row r="417" customFormat="false" ht="23.85" hidden="false" customHeight="false" outlineLevel="0" collapsed="false">
      <c r="A417" s="4" t="s">
        <v>935</v>
      </c>
      <c r="B417" s="5" t="n">
        <v>0.101</v>
      </c>
      <c r="C417" s="5" t="n">
        <v>0.094</v>
      </c>
      <c r="D417" s="5" t="n">
        <f aca="false">IF(AND(ISNUMBER(B417),ISNUMBER(C417)),C417-B417,"")</f>
        <v>-0.00700000000000001</v>
      </c>
      <c r="E417" s="4" t="s">
        <v>605</v>
      </c>
    </row>
    <row r="418" customFormat="false" ht="15" hidden="false" customHeight="false" outlineLevel="0" collapsed="false">
      <c r="A418" s="4" t="s">
        <v>936</v>
      </c>
      <c r="B418" s="5" t="n">
        <v>116</v>
      </c>
      <c r="C418" s="5" t="n">
        <v>116</v>
      </c>
      <c r="D418" s="5" t="n">
        <f aca="false">IF(AND(ISNUMBER(B418),ISNUMBER(C418)),C418-B418,"")</f>
        <v>0</v>
      </c>
      <c r="E418" s="4" t="s">
        <v>531</v>
      </c>
    </row>
    <row r="419" customFormat="false" ht="15" hidden="false" customHeight="false" outlineLevel="0" collapsed="false">
      <c r="A419" s="4" t="s">
        <v>937</v>
      </c>
      <c r="B419" s="5" t="n">
        <v>94</v>
      </c>
      <c r="C419" s="5" t="n">
        <v>94</v>
      </c>
      <c r="D419" s="5" t="n">
        <f aca="false">IF(AND(ISNUMBER(B419),ISNUMBER(C419)),C419-B419,"")</f>
        <v>0</v>
      </c>
      <c r="E419" s="4" t="s">
        <v>531</v>
      </c>
    </row>
    <row r="420" customFormat="false" ht="15" hidden="false" customHeight="false" outlineLevel="0" collapsed="false">
      <c r="A420" s="4" t="s">
        <v>938</v>
      </c>
      <c r="B420" s="5" t="s">
        <v>27</v>
      </c>
      <c r="C420" s="5" t="s">
        <v>27</v>
      </c>
      <c r="D420" s="5" t="str">
        <f aca="false">IF(AND(ISNUMBER(B420),ISNUMBER(C420)),C420-B420,"")</f>
        <v/>
      </c>
      <c r="E420" s="4" t="s">
        <v>531</v>
      </c>
    </row>
    <row r="421" customFormat="false" ht="23.85" hidden="false" customHeight="false" outlineLevel="0" collapsed="false">
      <c r="A421" s="4" t="s">
        <v>939</v>
      </c>
      <c r="B421" s="5" t="s">
        <v>27</v>
      </c>
      <c r="C421" s="5" t="s">
        <v>27</v>
      </c>
      <c r="D421" s="5" t="str">
        <f aca="false">IF(AND(ISNUMBER(B421),ISNUMBER(C421)),C421-B421,"")</f>
        <v/>
      </c>
      <c r="E421" s="4" t="s">
        <v>605</v>
      </c>
    </row>
    <row r="422" customFormat="false" ht="15" hidden="false" customHeight="false" outlineLevel="0" collapsed="false">
      <c r="A422" s="4" t="s">
        <v>940</v>
      </c>
      <c r="B422" s="5" t="n">
        <v>-0.141</v>
      </c>
      <c r="C422" s="5" t="n">
        <v>-0.141</v>
      </c>
      <c r="D422" s="5" t="n">
        <f aca="false">IF(AND(ISNUMBER(B422),ISNUMBER(C422)),C422-B422,"")</f>
        <v>0</v>
      </c>
      <c r="E422" s="4" t="s">
        <v>531</v>
      </c>
    </row>
    <row r="423" customFormat="false" ht="23.85" hidden="false" customHeight="false" outlineLevel="0" collapsed="false">
      <c r="A423" s="4" t="s">
        <v>941</v>
      </c>
      <c r="B423" s="5" t="n">
        <v>0.061</v>
      </c>
      <c r="C423" s="5" t="n">
        <v>0.057</v>
      </c>
      <c r="D423" s="5" t="n">
        <f aca="false">IF(AND(ISNUMBER(B423),ISNUMBER(C423)),C423-B423,"")</f>
        <v>-0.004</v>
      </c>
      <c r="E423" s="4" t="s">
        <v>605</v>
      </c>
    </row>
    <row r="424" customFormat="false" ht="15" hidden="false" customHeight="false" outlineLevel="0" collapsed="false">
      <c r="A424" s="4" t="s">
        <v>942</v>
      </c>
      <c r="B424" s="5" t="n">
        <v>-0.131</v>
      </c>
      <c r="C424" s="5" t="n">
        <v>-0.131</v>
      </c>
      <c r="D424" s="5" t="n">
        <f aca="false">IF(AND(ISNUMBER(B424),ISNUMBER(C424)),C424-B424,"")</f>
        <v>0</v>
      </c>
      <c r="E424" s="4" t="s">
        <v>531</v>
      </c>
    </row>
    <row r="425" customFormat="false" ht="23.85" hidden="false" customHeight="false" outlineLevel="0" collapsed="false">
      <c r="A425" s="4" t="s">
        <v>943</v>
      </c>
      <c r="B425" s="5" t="n">
        <v>0.091</v>
      </c>
      <c r="C425" s="5" t="n">
        <v>0.089</v>
      </c>
      <c r="D425" s="5" t="n">
        <f aca="false">IF(AND(ISNUMBER(B425),ISNUMBER(C425)),C425-B425,"")</f>
        <v>-0.002</v>
      </c>
      <c r="E425" s="4" t="s">
        <v>605</v>
      </c>
    </row>
    <row r="426" customFormat="false" ht="15" hidden="false" customHeight="false" outlineLevel="0" collapsed="false">
      <c r="A426" s="4" t="s">
        <v>944</v>
      </c>
      <c r="B426" s="5" t="n">
        <v>-0.088</v>
      </c>
      <c r="C426" s="5" t="n">
        <v>-0.088</v>
      </c>
      <c r="D426" s="5" t="n">
        <f aca="false">IF(AND(ISNUMBER(B426),ISNUMBER(C426)),C426-B426,"")</f>
        <v>0</v>
      </c>
      <c r="E426" s="4" t="s">
        <v>531</v>
      </c>
    </row>
    <row r="427" customFormat="false" ht="23.85" hidden="false" customHeight="false" outlineLevel="0" collapsed="false">
      <c r="A427" s="4" t="s">
        <v>945</v>
      </c>
      <c r="B427" s="5" t="n">
        <v>0.093</v>
      </c>
      <c r="C427" s="5" t="n">
        <v>0.091</v>
      </c>
      <c r="D427" s="5" t="n">
        <f aca="false">IF(AND(ISNUMBER(B427),ISNUMBER(C427)),C427-B427,"")</f>
        <v>-0.002</v>
      </c>
      <c r="E427" s="4" t="s">
        <v>605</v>
      </c>
    </row>
    <row r="428" customFormat="false" ht="15" hidden="false" customHeight="false" outlineLevel="0" collapsed="false">
      <c r="A428" s="4" t="s">
        <v>946</v>
      </c>
      <c r="B428" s="5" t="n">
        <v>-0.177</v>
      </c>
      <c r="C428" s="5" t="n">
        <v>-0.177</v>
      </c>
      <c r="D428" s="5" t="n">
        <f aca="false">IF(AND(ISNUMBER(B428),ISNUMBER(C428)),C428-B428,"")</f>
        <v>0</v>
      </c>
      <c r="E428" s="4" t="s">
        <v>531</v>
      </c>
    </row>
    <row r="429" customFormat="false" ht="23.85" hidden="false" customHeight="false" outlineLevel="0" collapsed="false">
      <c r="A429" s="4" t="s">
        <v>947</v>
      </c>
      <c r="B429" s="5" t="n">
        <v>0.089</v>
      </c>
      <c r="C429" s="5" t="n">
        <v>0.094</v>
      </c>
      <c r="D429" s="5" t="n">
        <f aca="false">IF(AND(ISNUMBER(B429),ISNUMBER(C429)),C429-B429,"")</f>
        <v>0.005</v>
      </c>
      <c r="E429" s="4" t="s">
        <v>605</v>
      </c>
    </row>
    <row r="430" customFormat="false" ht="15" hidden="false" customHeight="false" outlineLevel="0" collapsed="false">
      <c r="A430" s="4" t="s">
        <v>948</v>
      </c>
      <c r="B430" s="5" t="n">
        <v>116</v>
      </c>
      <c r="C430" s="5" t="n">
        <v>116</v>
      </c>
      <c r="D430" s="5" t="n">
        <f aca="false">IF(AND(ISNUMBER(B430),ISNUMBER(C430)),C430-B430,"")</f>
        <v>0</v>
      </c>
      <c r="E430" s="4" t="s">
        <v>531</v>
      </c>
    </row>
    <row r="431" customFormat="false" ht="15" hidden="false" customHeight="false" outlineLevel="0" collapsed="false">
      <c r="A431" s="4" t="s">
        <v>949</v>
      </c>
      <c r="B431" s="5" t="n">
        <v>94</v>
      </c>
      <c r="C431" s="5" t="n">
        <v>94</v>
      </c>
      <c r="D431" s="5" t="n">
        <f aca="false">IF(AND(ISNUMBER(B431),ISNUMBER(C431)),C431-B431,"")</f>
        <v>0</v>
      </c>
      <c r="E431" s="4" t="s">
        <v>531</v>
      </c>
    </row>
    <row r="432" customFormat="false" ht="15" hidden="false" customHeight="false" outlineLevel="0" collapsed="false">
      <c r="A432" s="4" t="s">
        <v>950</v>
      </c>
      <c r="B432" s="5" t="s">
        <v>27</v>
      </c>
      <c r="C432" s="5" t="s">
        <v>27</v>
      </c>
      <c r="D432" s="5" t="str">
        <f aca="false">IF(AND(ISNUMBER(B432),ISNUMBER(C432)),C432-B432,"")</f>
        <v/>
      </c>
      <c r="E432" s="4" t="s">
        <v>531</v>
      </c>
    </row>
    <row r="433" customFormat="false" ht="23.85" hidden="false" customHeight="false" outlineLevel="0" collapsed="false">
      <c r="A433" s="4" t="s">
        <v>951</v>
      </c>
      <c r="B433" s="5" t="s">
        <v>27</v>
      </c>
      <c r="C433" s="5" t="s">
        <v>27</v>
      </c>
      <c r="D433" s="5" t="str">
        <f aca="false">IF(AND(ISNUMBER(B433),ISNUMBER(C433)),C433-B433,"")</f>
        <v/>
      </c>
      <c r="E433" s="4" t="s">
        <v>605</v>
      </c>
    </row>
    <row r="434" customFormat="false" ht="15" hidden="false" customHeight="false" outlineLevel="0" collapsed="false">
      <c r="A434" s="4" t="s">
        <v>952</v>
      </c>
      <c r="B434" s="5" t="n">
        <v>-0.01</v>
      </c>
      <c r="C434" s="5" t="n">
        <v>-0.01</v>
      </c>
      <c r="D434" s="5" t="n">
        <f aca="false">IF(AND(ISNUMBER(B434),ISNUMBER(C434)),C434-B434,"")</f>
        <v>0</v>
      </c>
      <c r="E434" s="4" t="s">
        <v>531</v>
      </c>
    </row>
    <row r="435" customFormat="false" ht="23.85" hidden="false" customHeight="false" outlineLevel="0" collapsed="false">
      <c r="A435" s="4" t="s">
        <v>953</v>
      </c>
      <c r="B435" s="5" t="n">
        <v>0.078</v>
      </c>
      <c r="C435" s="5" t="n">
        <v>0.074</v>
      </c>
      <c r="D435" s="5" t="n">
        <f aca="false">IF(AND(ISNUMBER(B435),ISNUMBER(C435)),C435-B435,"")</f>
        <v>-0.004</v>
      </c>
      <c r="E435" s="4" t="s">
        <v>605</v>
      </c>
    </row>
    <row r="436" customFormat="false" ht="15" hidden="false" customHeight="false" outlineLevel="0" collapsed="false">
      <c r="A436" s="4" t="s">
        <v>954</v>
      </c>
      <c r="B436" s="5" t="n">
        <v>-0.023</v>
      </c>
      <c r="C436" s="5" t="n">
        <v>-0.023</v>
      </c>
      <c r="D436" s="5" t="n">
        <f aca="false">IF(AND(ISNUMBER(B436),ISNUMBER(C436)),C436-B436,"")</f>
        <v>0</v>
      </c>
      <c r="E436" s="4" t="s">
        <v>531</v>
      </c>
    </row>
    <row r="437" customFormat="false" ht="23.85" hidden="false" customHeight="false" outlineLevel="0" collapsed="false">
      <c r="A437" s="4" t="s">
        <v>955</v>
      </c>
      <c r="B437" s="5" t="n">
        <v>0.095</v>
      </c>
      <c r="C437" s="5" t="n">
        <v>0.09</v>
      </c>
      <c r="D437" s="5" t="n">
        <f aca="false">IF(AND(ISNUMBER(B437),ISNUMBER(C437)),C437-B437,"")</f>
        <v>-0.005</v>
      </c>
      <c r="E437" s="4" t="s">
        <v>605</v>
      </c>
    </row>
    <row r="438" customFormat="false" ht="15" hidden="false" customHeight="false" outlineLevel="0" collapsed="false">
      <c r="A438" s="4" t="s">
        <v>956</v>
      </c>
      <c r="B438" s="5" t="n">
        <v>0.016</v>
      </c>
      <c r="C438" s="5" t="n">
        <v>0.016</v>
      </c>
      <c r="D438" s="5" t="n">
        <f aca="false">IF(AND(ISNUMBER(B438),ISNUMBER(C438)),C438-B438,"")</f>
        <v>0</v>
      </c>
      <c r="E438" s="4" t="s">
        <v>531</v>
      </c>
    </row>
    <row r="439" customFormat="false" ht="23.85" hidden="false" customHeight="false" outlineLevel="0" collapsed="false">
      <c r="A439" s="4" t="s">
        <v>957</v>
      </c>
      <c r="B439" s="5" t="n">
        <v>0.101</v>
      </c>
      <c r="C439" s="5" t="n">
        <v>0.097</v>
      </c>
      <c r="D439" s="5" t="n">
        <f aca="false">IF(AND(ISNUMBER(B439),ISNUMBER(C439)),C439-B439,"")</f>
        <v>-0.004</v>
      </c>
      <c r="E439" s="4" t="s">
        <v>605</v>
      </c>
    </row>
    <row r="440" customFormat="false" ht="15" hidden="false" customHeight="false" outlineLevel="0" collapsed="false">
      <c r="A440" s="4" t="s">
        <v>958</v>
      </c>
      <c r="B440" s="5" t="n">
        <v>-0.019</v>
      </c>
      <c r="C440" s="5" t="n">
        <v>-0.019</v>
      </c>
      <c r="D440" s="5" t="n">
        <f aca="false">IF(AND(ISNUMBER(B440),ISNUMBER(C440)),C440-B440,"")</f>
        <v>0</v>
      </c>
      <c r="E440" s="4" t="s">
        <v>531</v>
      </c>
    </row>
    <row r="441" customFormat="false" ht="23.85" hidden="false" customHeight="false" outlineLevel="0" collapsed="false">
      <c r="A441" s="4" t="s">
        <v>959</v>
      </c>
      <c r="B441" s="5" t="n">
        <v>0.094</v>
      </c>
      <c r="C441" s="5" t="n">
        <v>0.093</v>
      </c>
      <c r="D441" s="5" t="n">
        <f aca="false">IF(AND(ISNUMBER(B441),ISNUMBER(C441)),C441-B441,"")</f>
        <v>-0.001</v>
      </c>
      <c r="E441" s="4" t="s">
        <v>605</v>
      </c>
    </row>
    <row r="442" customFormat="false" ht="15" hidden="false" customHeight="false" outlineLevel="0" collapsed="false">
      <c r="A442" s="4" t="s">
        <v>960</v>
      </c>
      <c r="B442" s="5" t="n">
        <v>116</v>
      </c>
      <c r="C442" s="5" t="n">
        <v>116</v>
      </c>
      <c r="D442" s="5" t="n">
        <f aca="false">IF(AND(ISNUMBER(B442),ISNUMBER(C442)),C442-B442,"")</f>
        <v>0</v>
      </c>
      <c r="E442" s="4" t="s">
        <v>531</v>
      </c>
    </row>
    <row r="443" customFormat="false" ht="15" hidden="false" customHeight="false" outlineLevel="0" collapsed="false">
      <c r="A443" s="4" t="s">
        <v>961</v>
      </c>
      <c r="B443" s="5" t="n">
        <v>94</v>
      </c>
      <c r="C443" s="5" t="n">
        <v>94</v>
      </c>
      <c r="D443" s="5" t="n">
        <f aca="false">IF(AND(ISNUMBER(B443),ISNUMBER(C443)),C443-B443,"")</f>
        <v>0</v>
      </c>
      <c r="E443" s="4" t="s">
        <v>531</v>
      </c>
    </row>
    <row r="444" customFormat="false" ht="15" hidden="false" customHeight="false" outlineLevel="0" collapsed="false">
      <c r="A444" s="4" t="s">
        <v>962</v>
      </c>
      <c r="B444" s="5" t="s">
        <v>27</v>
      </c>
      <c r="C444" s="5" t="s">
        <v>27</v>
      </c>
      <c r="D444" s="5" t="str">
        <f aca="false">IF(AND(ISNUMBER(B444),ISNUMBER(C444)),C444-B444,"")</f>
        <v/>
      </c>
      <c r="E444" s="4" t="s">
        <v>531</v>
      </c>
    </row>
    <row r="445" customFormat="false" ht="23.85" hidden="false" customHeight="false" outlineLevel="0" collapsed="false">
      <c r="A445" s="4" t="s">
        <v>963</v>
      </c>
      <c r="B445" s="5" t="s">
        <v>27</v>
      </c>
      <c r="C445" s="5" t="s">
        <v>27</v>
      </c>
      <c r="D445" s="5" t="str">
        <f aca="false">IF(AND(ISNUMBER(B445),ISNUMBER(C445)),C445-B445,"")</f>
        <v/>
      </c>
      <c r="E445" s="4" t="s">
        <v>605</v>
      </c>
    </row>
    <row r="446" customFormat="false" ht="15" hidden="false" customHeight="false" outlineLevel="0" collapsed="false">
      <c r="A446" s="4" t="s">
        <v>964</v>
      </c>
      <c r="B446" s="5" t="n">
        <v>-0.21</v>
      </c>
      <c r="C446" s="5" t="n">
        <v>-0.21</v>
      </c>
      <c r="D446" s="5" t="n">
        <f aca="false">IF(AND(ISNUMBER(B446),ISNUMBER(C446)),C446-B446,"")</f>
        <v>0</v>
      </c>
      <c r="E446" s="4" t="s">
        <v>531</v>
      </c>
    </row>
    <row r="447" customFormat="false" ht="23.85" hidden="false" customHeight="false" outlineLevel="0" collapsed="false">
      <c r="A447" s="4" t="s">
        <v>965</v>
      </c>
      <c r="B447" s="5" t="n">
        <v>0.087</v>
      </c>
      <c r="C447" s="5" t="n">
        <v>0.088</v>
      </c>
      <c r="D447" s="5" t="n">
        <f aca="false">IF(AND(ISNUMBER(B447),ISNUMBER(C447)),C447-B447,"")</f>
        <v>0.001</v>
      </c>
      <c r="E447" s="4" t="s">
        <v>605</v>
      </c>
    </row>
    <row r="448" customFormat="false" ht="15" hidden="false" customHeight="false" outlineLevel="0" collapsed="false">
      <c r="A448" s="4" t="s">
        <v>966</v>
      </c>
      <c r="B448" s="5" t="n">
        <v>-0.236</v>
      </c>
      <c r="C448" s="5" t="n">
        <v>-0.236</v>
      </c>
      <c r="D448" s="5" t="n">
        <f aca="false">IF(AND(ISNUMBER(B448),ISNUMBER(C448)),C448-B448,"")</f>
        <v>0</v>
      </c>
      <c r="E448" s="4" t="s">
        <v>531</v>
      </c>
    </row>
    <row r="449" customFormat="false" ht="23.85" hidden="false" customHeight="false" outlineLevel="0" collapsed="false">
      <c r="A449" s="4" t="s">
        <v>967</v>
      </c>
      <c r="B449" s="5" t="n">
        <v>0.094</v>
      </c>
      <c r="C449" s="5" t="n">
        <v>0.096</v>
      </c>
      <c r="D449" s="5" t="n">
        <f aca="false">IF(AND(ISNUMBER(B449),ISNUMBER(C449)),C449-B449,"")</f>
        <v>0.002</v>
      </c>
      <c r="E449" s="4" t="s">
        <v>605</v>
      </c>
    </row>
    <row r="450" customFormat="false" ht="15" hidden="false" customHeight="false" outlineLevel="0" collapsed="false">
      <c r="A450" s="4" t="s">
        <v>968</v>
      </c>
      <c r="B450" s="5" t="n">
        <v>-0.188</v>
      </c>
      <c r="C450" s="5" t="n">
        <v>-0.188</v>
      </c>
      <c r="D450" s="5" t="n">
        <f aca="false">IF(AND(ISNUMBER(B450),ISNUMBER(C450)),C450-B450,"")</f>
        <v>0</v>
      </c>
      <c r="E450" s="4" t="s">
        <v>531</v>
      </c>
    </row>
    <row r="451" customFormat="false" ht="23.85" hidden="false" customHeight="false" outlineLevel="0" collapsed="false">
      <c r="A451" s="4" t="s">
        <v>969</v>
      </c>
      <c r="B451" s="5" t="n">
        <v>0.111</v>
      </c>
      <c r="C451" s="5" t="n">
        <v>0.108</v>
      </c>
      <c r="D451" s="5" t="n">
        <f aca="false">IF(AND(ISNUMBER(B451),ISNUMBER(C451)),C451-B451,"")</f>
        <v>-0.003</v>
      </c>
      <c r="E451" s="4" t="s">
        <v>605</v>
      </c>
    </row>
    <row r="452" customFormat="false" ht="15" hidden="false" customHeight="false" outlineLevel="0" collapsed="false">
      <c r="A452" s="4" t="s">
        <v>970</v>
      </c>
      <c r="B452" s="5" t="n">
        <v>-0.201</v>
      </c>
      <c r="C452" s="5" t="n">
        <v>-0.201</v>
      </c>
      <c r="D452" s="5" t="n">
        <f aca="false">IF(AND(ISNUMBER(B452),ISNUMBER(C452)),C452-B452,"")</f>
        <v>0</v>
      </c>
      <c r="E452" s="4" t="s">
        <v>531</v>
      </c>
    </row>
    <row r="453" customFormat="false" ht="23.85" hidden="false" customHeight="false" outlineLevel="0" collapsed="false">
      <c r="A453" s="4" t="s">
        <v>971</v>
      </c>
      <c r="B453" s="5" t="n">
        <v>0.106</v>
      </c>
      <c r="C453" s="5" t="n">
        <v>0.102</v>
      </c>
      <c r="D453" s="5" t="n">
        <f aca="false">IF(AND(ISNUMBER(B453),ISNUMBER(C453)),C453-B453,"")</f>
        <v>-0.004</v>
      </c>
      <c r="E453" s="4" t="s">
        <v>605</v>
      </c>
    </row>
    <row r="454" customFormat="false" ht="15" hidden="false" customHeight="false" outlineLevel="0" collapsed="false">
      <c r="A454" s="4" t="s">
        <v>972</v>
      </c>
      <c r="B454" s="5" t="n">
        <v>116</v>
      </c>
      <c r="C454" s="5" t="n">
        <v>116</v>
      </c>
      <c r="D454" s="5" t="n">
        <f aca="false">IF(AND(ISNUMBER(B454),ISNUMBER(C454)),C454-B454,"")</f>
        <v>0</v>
      </c>
      <c r="E454" s="4" t="s">
        <v>531</v>
      </c>
    </row>
    <row r="455" customFormat="false" ht="15" hidden="false" customHeight="false" outlineLevel="0" collapsed="false">
      <c r="A455" s="4" t="s">
        <v>973</v>
      </c>
      <c r="B455" s="5" t="n">
        <v>94</v>
      </c>
      <c r="C455" s="5" t="n">
        <v>94</v>
      </c>
      <c r="D455" s="5" t="n">
        <f aca="false">IF(AND(ISNUMBER(B455),ISNUMBER(C455)),C455-B455,"")</f>
        <v>0</v>
      </c>
      <c r="E455" s="4" t="s">
        <v>531</v>
      </c>
    </row>
    <row r="456" customFormat="false" ht="15" hidden="false" customHeight="false" outlineLevel="0" collapsed="false">
      <c r="A456" s="4" t="s">
        <v>974</v>
      </c>
      <c r="B456" s="5" t="s">
        <v>27</v>
      </c>
      <c r="C456" s="5" t="s">
        <v>27</v>
      </c>
      <c r="D456" s="5" t="str">
        <f aca="false">IF(AND(ISNUMBER(B456),ISNUMBER(C456)),C456-B456,"")</f>
        <v/>
      </c>
      <c r="E456" s="4" t="s">
        <v>531</v>
      </c>
    </row>
    <row r="457" customFormat="false" ht="23.85" hidden="false" customHeight="false" outlineLevel="0" collapsed="false">
      <c r="A457" s="4" t="s">
        <v>975</v>
      </c>
      <c r="B457" s="5" t="s">
        <v>27</v>
      </c>
      <c r="C457" s="5" t="s">
        <v>27</v>
      </c>
      <c r="D457" s="5" t="str">
        <f aca="false">IF(AND(ISNUMBER(B457),ISNUMBER(C457)),C457-B457,"")</f>
        <v/>
      </c>
      <c r="E457" s="4" t="s">
        <v>605</v>
      </c>
    </row>
    <row r="458" customFormat="false" ht="15" hidden="false" customHeight="false" outlineLevel="0" collapsed="false">
      <c r="A458" s="4" t="s">
        <v>976</v>
      </c>
      <c r="B458" s="5" t="n">
        <v>-0.261</v>
      </c>
      <c r="C458" s="5" t="n">
        <v>-0.261</v>
      </c>
      <c r="D458" s="5" t="n">
        <f aca="false">IF(AND(ISNUMBER(B458),ISNUMBER(C458)),C458-B458,"")</f>
        <v>0</v>
      </c>
      <c r="E458" s="4" t="s">
        <v>531</v>
      </c>
    </row>
    <row r="459" customFormat="false" ht="23.85" hidden="false" customHeight="false" outlineLevel="0" collapsed="false">
      <c r="A459" s="4" t="s">
        <v>977</v>
      </c>
      <c r="B459" s="5" t="n">
        <v>0.074</v>
      </c>
      <c r="C459" s="5" t="n">
        <v>0.085</v>
      </c>
      <c r="D459" s="5" t="n">
        <f aca="false">IF(AND(ISNUMBER(B459),ISNUMBER(C459)),C459-B459,"")</f>
        <v>0.011</v>
      </c>
      <c r="E459" s="4" t="s">
        <v>978</v>
      </c>
    </row>
    <row r="460" customFormat="false" ht="15" hidden="false" customHeight="false" outlineLevel="0" collapsed="false">
      <c r="A460" s="4" t="s">
        <v>979</v>
      </c>
      <c r="B460" s="5" t="n">
        <v>-0.264</v>
      </c>
      <c r="C460" s="5" t="n">
        <v>-0.264</v>
      </c>
      <c r="D460" s="5" t="n">
        <f aca="false">IF(AND(ISNUMBER(B460),ISNUMBER(C460)),C460-B460,"")</f>
        <v>0</v>
      </c>
      <c r="E460" s="4" t="s">
        <v>531</v>
      </c>
    </row>
    <row r="461" customFormat="false" ht="23.85" hidden="false" customHeight="false" outlineLevel="0" collapsed="false">
      <c r="A461" s="4" t="s">
        <v>980</v>
      </c>
      <c r="B461" s="5" t="n">
        <v>0.074</v>
      </c>
      <c r="C461" s="5" t="n">
        <v>0.08</v>
      </c>
      <c r="D461" s="5" t="n">
        <f aca="false">IF(AND(ISNUMBER(B461),ISNUMBER(C461)),C461-B461,"")</f>
        <v>0.00600000000000001</v>
      </c>
      <c r="E461" s="4" t="s">
        <v>605</v>
      </c>
    </row>
    <row r="462" customFormat="false" ht="15" hidden="false" customHeight="false" outlineLevel="0" collapsed="false">
      <c r="A462" s="4" t="s">
        <v>981</v>
      </c>
      <c r="B462" s="5" t="n">
        <v>-0.218</v>
      </c>
      <c r="C462" s="5" t="n">
        <v>-0.218</v>
      </c>
      <c r="D462" s="5" t="n">
        <f aca="false">IF(AND(ISNUMBER(B462),ISNUMBER(C462)),C462-B462,"")</f>
        <v>0</v>
      </c>
      <c r="E462" s="4" t="s">
        <v>531</v>
      </c>
    </row>
    <row r="463" customFormat="false" ht="23.85" hidden="false" customHeight="false" outlineLevel="0" collapsed="false">
      <c r="A463" s="4" t="s">
        <v>982</v>
      </c>
      <c r="B463" s="5" t="n">
        <v>0.09</v>
      </c>
      <c r="C463" s="5" t="n">
        <v>0.099</v>
      </c>
      <c r="D463" s="5" t="n">
        <f aca="false">IF(AND(ISNUMBER(B463),ISNUMBER(C463)),C463-B463,"")</f>
        <v>0.00900000000000001</v>
      </c>
      <c r="E463" s="4" t="s">
        <v>605</v>
      </c>
    </row>
    <row r="464" customFormat="false" ht="15" hidden="false" customHeight="false" outlineLevel="0" collapsed="false">
      <c r="A464" s="4" t="s">
        <v>983</v>
      </c>
      <c r="B464" s="5" t="n">
        <v>-0.261</v>
      </c>
      <c r="C464" s="5" t="n">
        <v>-0.261</v>
      </c>
      <c r="D464" s="5" t="n">
        <f aca="false">IF(AND(ISNUMBER(B464),ISNUMBER(C464)),C464-B464,"")</f>
        <v>0</v>
      </c>
      <c r="E464" s="4" t="s">
        <v>531</v>
      </c>
    </row>
    <row r="465" customFormat="false" ht="23.85" hidden="false" customHeight="false" outlineLevel="0" collapsed="false">
      <c r="A465" s="4" t="s">
        <v>984</v>
      </c>
      <c r="B465" s="5" t="n">
        <v>0.081</v>
      </c>
      <c r="C465" s="5" t="n">
        <v>0.089</v>
      </c>
      <c r="D465" s="5" t="n">
        <f aca="false">IF(AND(ISNUMBER(B465),ISNUMBER(C465)),C465-B465,"")</f>
        <v>0.00799999999999999</v>
      </c>
      <c r="E465" s="4" t="s">
        <v>605</v>
      </c>
    </row>
    <row r="466" customFormat="false" ht="15" hidden="false" customHeight="false" outlineLevel="0" collapsed="false">
      <c r="A466" s="4" t="s">
        <v>985</v>
      </c>
      <c r="B466" s="5" t="n">
        <v>116</v>
      </c>
      <c r="C466" s="5" t="n">
        <v>116</v>
      </c>
      <c r="D466" s="5" t="n">
        <f aca="false">IF(AND(ISNUMBER(B466),ISNUMBER(C466)),C466-B466,"")</f>
        <v>0</v>
      </c>
      <c r="E466" s="4" t="s">
        <v>531</v>
      </c>
    </row>
    <row r="467" customFormat="false" ht="15" hidden="false" customHeight="false" outlineLevel="0" collapsed="false">
      <c r="A467" s="4" t="s">
        <v>986</v>
      </c>
      <c r="B467" s="5" t="n">
        <v>94</v>
      </c>
      <c r="C467" s="5" t="n">
        <v>94</v>
      </c>
      <c r="D467" s="5" t="n">
        <f aca="false">IF(AND(ISNUMBER(B467),ISNUMBER(C467)),C467-B467,"")</f>
        <v>0</v>
      </c>
      <c r="E467" s="4" t="s">
        <v>531</v>
      </c>
    </row>
    <row r="468" customFormat="false" ht="15" hidden="false" customHeight="false" outlineLevel="0" collapsed="false">
      <c r="A468" s="4" t="s">
        <v>987</v>
      </c>
      <c r="B468" s="5" t="s">
        <v>27</v>
      </c>
      <c r="C468" s="5" t="s">
        <v>27</v>
      </c>
      <c r="D468" s="5" t="str">
        <f aca="false">IF(AND(ISNUMBER(B468),ISNUMBER(C468)),C468-B468,"")</f>
        <v/>
      </c>
      <c r="E468" s="4" t="s">
        <v>531</v>
      </c>
    </row>
    <row r="469" customFormat="false" ht="23.85" hidden="false" customHeight="false" outlineLevel="0" collapsed="false">
      <c r="A469" s="4" t="s">
        <v>988</v>
      </c>
      <c r="B469" s="5" t="s">
        <v>27</v>
      </c>
      <c r="C469" s="5" t="s">
        <v>27</v>
      </c>
      <c r="D469" s="5" t="str">
        <f aca="false">IF(AND(ISNUMBER(B469),ISNUMBER(C469)),C469-B469,"")</f>
        <v/>
      </c>
      <c r="E469" s="4" t="s">
        <v>605</v>
      </c>
    </row>
    <row r="470" customFormat="false" ht="15" hidden="false" customHeight="false" outlineLevel="0" collapsed="false">
      <c r="A470" s="4" t="s">
        <v>989</v>
      </c>
      <c r="B470" s="5" t="n">
        <v>0.005</v>
      </c>
      <c r="C470" s="5" t="n">
        <v>0.005</v>
      </c>
      <c r="D470" s="5" t="n">
        <f aca="false">IF(AND(ISNUMBER(B470),ISNUMBER(C470)),C470-B470,"")</f>
        <v>0</v>
      </c>
      <c r="E470" s="4" t="s">
        <v>531</v>
      </c>
    </row>
    <row r="471" customFormat="false" ht="23.85" hidden="false" customHeight="false" outlineLevel="0" collapsed="false">
      <c r="A471" s="4" t="s">
        <v>990</v>
      </c>
      <c r="B471" s="5" t="n">
        <v>0.082</v>
      </c>
      <c r="C471" s="5" t="n">
        <v>0.084</v>
      </c>
      <c r="D471" s="5" t="n">
        <f aca="false">IF(AND(ISNUMBER(B471),ISNUMBER(C471)),C471-B471,"")</f>
        <v>0.002</v>
      </c>
      <c r="E471" s="4" t="s">
        <v>605</v>
      </c>
    </row>
    <row r="472" customFormat="false" ht="15" hidden="false" customHeight="false" outlineLevel="0" collapsed="false">
      <c r="A472" s="4" t="s">
        <v>991</v>
      </c>
      <c r="B472" s="5" t="n">
        <v>-0.021</v>
      </c>
      <c r="C472" s="5" t="n">
        <v>-0.021</v>
      </c>
      <c r="D472" s="5" t="n">
        <f aca="false">IF(AND(ISNUMBER(B472),ISNUMBER(C472)),C472-B472,"")</f>
        <v>0</v>
      </c>
      <c r="E472" s="4" t="s">
        <v>531</v>
      </c>
    </row>
    <row r="473" customFormat="false" ht="23.85" hidden="false" customHeight="false" outlineLevel="0" collapsed="false">
      <c r="A473" s="4" t="s">
        <v>992</v>
      </c>
      <c r="B473" s="5" t="n">
        <v>0.083</v>
      </c>
      <c r="C473" s="5" t="n">
        <v>0.085</v>
      </c>
      <c r="D473" s="5" t="n">
        <f aca="false">IF(AND(ISNUMBER(B473),ISNUMBER(C473)),C473-B473,"")</f>
        <v>0.002</v>
      </c>
      <c r="E473" s="4" t="s">
        <v>605</v>
      </c>
    </row>
    <row r="474" customFormat="false" ht="15" hidden="false" customHeight="false" outlineLevel="0" collapsed="false">
      <c r="A474" s="4" t="s">
        <v>993</v>
      </c>
      <c r="B474" s="5" t="n">
        <v>0.027</v>
      </c>
      <c r="C474" s="5" t="n">
        <v>0.027</v>
      </c>
      <c r="D474" s="5" t="n">
        <f aca="false">IF(AND(ISNUMBER(B474),ISNUMBER(C474)),C474-B474,"")</f>
        <v>0</v>
      </c>
      <c r="E474" s="4" t="s">
        <v>531</v>
      </c>
    </row>
    <row r="475" customFormat="false" ht="23.85" hidden="false" customHeight="false" outlineLevel="0" collapsed="false">
      <c r="A475" s="4" t="s">
        <v>994</v>
      </c>
      <c r="B475" s="5" t="n">
        <v>0.102</v>
      </c>
      <c r="C475" s="5" t="n">
        <v>0.102</v>
      </c>
      <c r="D475" s="5" t="n">
        <f aca="false">IF(AND(ISNUMBER(B475),ISNUMBER(C475)),C475-B475,"")</f>
        <v>0</v>
      </c>
      <c r="E475" s="4" t="s">
        <v>605</v>
      </c>
    </row>
    <row r="476" customFormat="false" ht="15" hidden="false" customHeight="false" outlineLevel="0" collapsed="false">
      <c r="A476" s="4" t="s">
        <v>995</v>
      </c>
      <c r="B476" s="5" t="n">
        <v>0</v>
      </c>
      <c r="C476" s="5" t="n">
        <v>0</v>
      </c>
      <c r="D476" s="5" t="n">
        <f aca="false">IF(AND(ISNUMBER(B476),ISNUMBER(C476)),C476-B476,"")</f>
        <v>0</v>
      </c>
      <c r="E476" s="4" t="s">
        <v>531</v>
      </c>
    </row>
    <row r="477" customFormat="false" ht="23.85" hidden="false" customHeight="false" outlineLevel="0" collapsed="false">
      <c r="A477" s="4" t="s">
        <v>996</v>
      </c>
      <c r="B477" s="5" t="n">
        <v>0.092</v>
      </c>
      <c r="C477" s="5" t="n">
        <v>0.089</v>
      </c>
      <c r="D477" s="5" t="n">
        <f aca="false">IF(AND(ISNUMBER(B477),ISNUMBER(C477)),C477-B477,"")</f>
        <v>-0.003</v>
      </c>
      <c r="E477" s="4" t="s">
        <v>605</v>
      </c>
    </row>
    <row r="478" customFormat="false" ht="15" hidden="false" customHeight="false" outlineLevel="0" collapsed="false">
      <c r="A478" s="4" t="s">
        <v>997</v>
      </c>
      <c r="B478" s="5" t="n">
        <v>116</v>
      </c>
      <c r="C478" s="5" t="n">
        <v>116</v>
      </c>
      <c r="D478" s="5" t="n">
        <f aca="false">IF(AND(ISNUMBER(B478),ISNUMBER(C478)),C478-B478,"")</f>
        <v>0</v>
      </c>
      <c r="E478" s="4" t="s">
        <v>531</v>
      </c>
    </row>
    <row r="479" customFormat="false" ht="15" hidden="false" customHeight="false" outlineLevel="0" collapsed="false">
      <c r="A479" s="4" t="s">
        <v>998</v>
      </c>
      <c r="B479" s="5" t="n">
        <v>94</v>
      </c>
      <c r="C479" s="5" t="n">
        <v>94</v>
      </c>
      <c r="D479" s="5" t="n">
        <f aca="false">IF(AND(ISNUMBER(B479),ISNUMBER(C479)),C479-B479,"")</f>
        <v>0</v>
      </c>
      <c r="E479" s="4" t="s">
        <v>531</v>
      </c>
    </row>
    <row r="480" customFormat="false" ht="15" hidden="false" customHeight="false" outlineLevel="0" collapsed="false">
      <c r="A480" s="4" t="s">
        <v>674</v>
      </c>
      <c r="B480" s="5" t="s">
        <v>27</v>
      </c>
      <c r="C480" s="5" t="s">
        <v>27</v>
      </c>
      <c r="D480" s="5" t="str">
        <f aca="false">IF(AND(ISNUMBER(B480),ISNUMBER(C480)),C480-B480,"")</f>
        <v/>
      </c>
      <c r="E480" s="4" t="s">
        <v>531</v>
      </c>
    </row>
    <row r="481" customFormat="false" ht="23.85" hidden="false" customHeight="false" outlineLevel="0" collapsed="false">
      <c r="A481" s="4" t="s">
        <v>675</v>
      </c>
      <c r="B481" s="5" t="s">
        <v>27</v>
      </c>
      <c r="C481" s="5" t="s">
        <v>27</v>
      </c>
      <c r="D481" s="5" t="str">
        <f aca="false">IF(AND(ISNUMBER(B481),ISNUMBER(C481)),C481-B481,"")</f>
        <v/>
      </c>
      <c r="E481" s="4" t="s">
        <v>605</v>
      </c>
    </row>
    <row r="482" customFormat="false" ht="15" hidden="false" customHeight="false" outlineLevel="0" collapsed="false">
      <c r="A482" s="4" t="s">
        <v>676</v>
      </c>
      <c r="B482" s="5" t="n">
        <v>-0.008</v>
      </c>
      <c r="C482" s="5" t="n">
        <v>-0.008</v>
      </c>
      <c r="D482" s="5" t="n">
        <f aca="false">IF(AND(ISNUMBER(B482),ISNUMBER(C482)),C482-B482,"")</f>
        <v>0</v>
      </c>
      <c r="E482" s="4" t="s">
        <v>531</v>
      </c>
    </row>
    <row r="483" customFormat="false" ht="23.85" hidden="false" customHeight="false" outlineLevel="0" collapsed="false">
      <c r="A483" s="4" t="s">
        <v>677</v>
      </c>
      <c r="B483" s="5" t="n">
        <v>0.088</v>
      </c>
      <c r="C483" s="5" t="n">
        <v>0.091</v>
      </c>
      <c r="D483" s="5" t="n">
        <f aca="false">IF(AND(ISNUMBER(B483),ISNUMBER(C483)),C483-B483,"")</f>
        <v>0.003</v>
      </c>
      <c r="E483" s="4" t="s">
        <v>605</v>
      </c>
    </row>
    <row r="484" customFormat="false" ht="15" hidden="false" customHeight="false" outlineLevel="0" collapsed="false">
      <c r="A484" s="4" t="s">
        <v>678</v>
      </c>
      <c r="B484" s="5" t="n">
        <v>0.075</v>
      </c>
      <c r="C484" s="5" t="n">
        <v>0.075</v>
      </c>
      <c r="D484" s="5" t="n">
        <f aca="false">IF(AND(ISNUMBER(B484),ISNUMBER(C484)),C484-B484,"")</f>
        <v>0</v>
      </c>
      <c r="E484" s="4" t="s">
        <v>531</v>
      </c>
    </row>
    <row r="485" customFormat="false" ht="23.85" hidden="false" customHeight="false" outlineLevel="0" collapsed="false">
      <c r="A485" s="4" t="s">
        <v>679</v>
      </c>
      <c r="B485" s="5" t="n">
        <v>0.101</v>
      </c>
      <c r="C485" s="5" t="n">
        <v>0.1</v>
      </c>
      <c r="D485" s="5" t="n">
        <f aca="false">IF(AND(ISNUMBER(B485),ISNUMBER(C485)),C485-B485,"")</f>
        <v>-0.001</v>
      </c>
      <c r="E485" s="4" t="s">
        <v>605</v>
      </c>
    </row>
    <row r="486" customFormat="false" ht="15" hidden="false" customHeight="false" outlineLevel="0" collapsed="false">
      <c r="A486" s="4" t="s">
        <v>680</v>
      </c>
      <c r="B486" s="5" t="n">
        <v>0.085</v>
      </c>
      <c r="C486" s="5" t="n">
        <v>0.085</v>
      </c>
      <c r="D486" s="5" t="n">
        <f aca="false">IF(AND(ISNUMBER(B486),ISNUMBER(C486)),C486-B486,"")</f>
        <v>0</v>
      </c>
      <c r="E486" s="4" t="s">
        <v>531</v>
      </c>
    </row>
    <row r="487" customFormat="false" ht="23.85" hidden="false" customHeight="false" outlineLevel="0" collapsed="false">
      <c r="A487" s="4" t="s">
        <v>681</v>
      </c>
      <c r="B487" s="5" t="n">
        <v>0.123</v>
      </c>
      <c r="C487" s="5" t="n">
        <v>0.116</v>
      </c>
      <c r="D487" s="5" t="n">
        <f aca="false">IF(AND(ISNUMBER(B487),ISNUMBER(C487)),C487-B487,"")</f>
        <v>-0.00699999999999999</v>
      </c>
      <c r="E487" s="4" t="s">
        <v>605</v>
      </c>
    </row>
    <row r="488" customFormat="false" ht="15" hidden="false" customHeight="false" outlineLevel="0" collapsed="false">
      <c r="A488" s="4" t="s">
        <v>682</v>
      </c>
      <c r="B488" s="5" t="n">
        <v>0.099</v>
      </c>
      <c r="C488" s="5" t="n">
        <v>0.099</v>
      </c>
      <c r="D488" s="5" t="n">
        <f aca="false">IF(AND(ISNUMBER(B488),ISNUMBER(C488)),C488-B488,"")</f>
        <v>0</v>
      </c>
      <c r="E488" s="4" t="s">
        <v>531</v>
      </c>
    </row>
    <row r="489" customFormat="false" ht="23.85" hidden="false" customHeight="false" outlineLevel="0" collapsed="false">
      <c r="A489" s="4" t="s">
        <v>683</v>
      </c>
      <c r="B489" s="5" t="n">
        <v>0.105</v>
      </c>
      <c r="C489" s="5" t="n">
        <v>0.106</v>
      </c>
      <c r="D489" s="5" t="n">
        <f aca="false">IF(AND(ISNUMBER(B489),ISNUMBER(C489)),C489-B489,"")</f>
        <v>0.001</v>
      </c>
      <c r="E489" s="4" t="s">
        <v>605</v>
      </c>
    </row>
    <row r="490" customFormat="false" ht="15" hidden="false" customHeight="false" outlineLevel="0" collapsed="false">
      <c r="A490" s="4" t="s">
        <v>999</v>
      </c>
      <c r="B490" s="5" t="n">
        <v>116</v>
      </c>
      <c r="C490" s="5" t="n">
        <v>116</v>
      </c>
      <c r="D490" s="5" t="n">
        <f aca="false">IF(AND(ISNUMBER(B490),ISNUMBER(C490)),C490-B490,"")</f>
        <v>0</v>
      </c>
      <c r="E490" s="4" t="s">
        <v>531</v>
      </c>
    </row>
    <row r="491" customFormat="false" ht="15" hidden="false" customHeight="false" outlineLevel="0" collapsed="false">
      <c r="A491" s="4" t="s">
        <v>1000</v>
      </c>
      <c r="B491" s="5" t="n">
        <v>94</v>
      </c>
      <c r="C491" s="5" t="n">
        <v>94</v>
      </c>
      <c r="D491" s="5" t="n">
        <f aca="false">IF(AND(ISNUMBER(B491),ISNUMBER(C491)),C491-B491,"")</f>
        <v>0</v>
      </c>
      <c r="E491" s="4" t="s">
        <v>531</v>
      </c>
    </row>
    <row r="492" customFormat="false" ht="15" hidden="false" customHeight="false" outlineLevel="0" collapsed="false">
      <c r="A492" s="4" t="s">
        <v>1001</v>
      </c>
      <c r="B492" s="5" t="s">
        <v>27</v>
      </c>
      <c r="C492" s="5" t="s">
        <v>27</v>
      </c>
      <c r="D492" s="5" t="str">
        <f aca="false">IF(AND(ISNUMBER(B492),ISNUMBER(C492)),C492-B492,"")</f>
        <v/>
      </c>
      <c r="E492" s="4" t="s">
        <v>531</v>
      </c>
    </row>
    <row r="493" customFormat="false" ht="23.85" hidden="false" customHeight="false" outlineLevel="0" collapsed="false">
      <c r="A493" s="4" t="s">
        <v>1002</v>
      </c>
      <c r="B493" s="5" t="s">
        <v>27</v>
      </c>
      <c r="C493" s="5" t="s">
        <v>27</v>
      </c>
      <c r="D493" s="5" t="str">
        <f aca="false">IF(AND(ISNUMBER(B493),ISNUMBER(C493)),C493-B493,"")</f>
        <v/>
      </c>
      <c r="E493" s="4" t="s">
        <v>605</v>
      </c>
    </row>
    <row r="494" customFormat="false" ht="15" hidden="false" customHeight="false" outlineLevel="0" collapsed="false">
      <c r="A494" s="4" t="s">
        <v>1003</v>
      </c>
      <c r="B494" s="5" t="n">
        <v>-0.161</v>
      </c>
      <c r="C494" s="5" t="n">
        <v>-0.161</v>
      </c>
      <c r="D494" s="5" t="n">
        <f aca="false">IF(AND(ISNUMBER(B494),ISNUMBER(C494)),C494-B494,"")</f>
        <v>0</v>
      </c>
      <c r="E494" s="4" t="s">
        <v>531</v>
      </c>
    </row>
    <row r="495" customFormat="false" ht="23.85" hidden="false" customHeight="false" outlineLevel="0" collapsed="false">
      <c r="A495" s="4" t="s">
        <v>1004</v>
      </c>
      <c r="B495" s="5" t="n">
        <v>0.087</v>
      </c>
      <c r="C495" s="5" t="n">
        <v>0.091</v>
      </c>
      <c r="D495" s="5" t="n">
        <f aca="false">IF(AND(ISNUMBER(B495),ISNUMBER(C495)),C495-B495,"")</f>
        <v>0.004</v>
      </c>
      <c r="E495" s="4" t="s">
        <v>605</v>
      </c>
    </row>
    <row r="496" customFormat="false" ht="15" hidden="false" customHeight="false" outlineLevel="0" collapsed="false">
      <c r="A496" s="4" t="s">
        <v>1005</v>
      </c>
      <c r="B496" s="5" t="n">
        <v>-0.15</v>
      </c>
      <c r="C496" s="5" t="n">
        <v>-0.15</v>
      </c>
      <c r="D496" s="5" t="n">
        <f aca="false">IF(AND(ISNUMBER(B496),ISNUMBER(C496)),C496-B496,"")</f>
        <v>0</v>
      </c>
      <c r="E496" s="4" t="s">
        <v>531</v>
      </c>
    </row>
    <row r="497" customFormat="false" ht="23.85" hidden="false" customHeight="false" outlineLevel="0" collapsed="false">
      <c r="A497" s="4" t="s">
        <v>1006</v>
      </c>
      <c r="B497" s="5" t="n">
        <v>0.093</v>
      </c>
      <c r="C497" s="5" t="n">
        <v>0.096</v>
      </c>
      <c r="D497" s="5" t="n">
        <f aca="false">IF(AND(ISNUMBER(B497),ISNUMBER(C497)),C497-B497,"")</f>
        <v>0.003</v>
      </c>
      <c r="E497" s="4" t="s">
        <v>605</v>
      </c>
    </row>
    <row r="498" customFormat="false" ht="15" hidden="false" customHeight="false" outlineLevel="0" collapsed="false">
      <c r="A498" s="4" t="s">
        <v>1007</v>
      </c>
      <c r="B498" s="5" t="n">
        <v>-0.104</v>
      </c>
      <c r="C498" s="5" t="n">
        <v>-0.104</v>
      </c>
      <c r="D498" s="5" t="n">
        <f aca="false">IF(AND(ISNUMBER(B498),ISNUMBER(C498)),C498-B498,"")</f>
        <v>0</v>
      </c>
      <c r="E498" s="4" t="s">
        <v>531</v>
      </c>
    </row>
    <row r="499" customFormat="false" ht="23.85" hidden="false" customHeight="false" outlineLevel="0" collapsed="false">
      <c r="A499" s="4" t="s">
        <v>1008</v>
      </c>
      <c r="B499" s="5" t="n">
        <v>0.112</v>
      </c>
      <c r="C499" s="5" t="n">
        <v>0.114</v>
      </c>
      <c r="D499" s="5" t="n">
        <f aca="false">IF(AND(ISNUMBER(B499),ISNUMBER(C499)),C499-B499,"")</f>
        <v>0.002</v>
      </c>
      <c r="E499" s="4" t="s">
        <v>605</v>
      </c>
    </row>
    <row r="500" customFormat="false" ht="15" hidden="false" customHeight="false" outlineLevel="0" collapsed="false">
      <c r="A500" s="4" t="s">
        <v>1009</v>
      </c>
      <c r="B500" s="5" t="n">
        <v>-0.172</v>
      </c>
      <c r="C500" s="5" t="n">
        <v>-0.172</v>
      </c>
      <c r="D500" s="5" t="n">
        <f aca="false">IF(AND(ISNUMBER(B500),ISNUMBER(C500)),C500-B500,"")</f>
        <v>0</v>
      </c>
      <c r="E500" s="4" t="s">
        <v>531</v>
      </c>
    </row>
    <row r="501" customFormat="false" ht="23.85" hidden="false" customHeight="false" outlineLevel="0" collapsed="false">
      <c r="A501" s="4" t="s">
        <v>1010</v>
      </c>
      <c r="B501" s="5" t="n">
        <v>0.101</v>
      </c>
      <c r="C501" s="5" t="n">
        <v>0.108</v>
      </c>
      <c r="D501" s="5" t="n">
        <f aca="false">IF(AND(ISNUMBER(B501),ISNUMBER(C501)),C501-B501,"")</f>
        <v>0.00699999999999999</v>
      </c>
      <c r="E501" s="4" t="s">
        <v>605</v>
      </c>
    </row>
    <row r="502" customFormat="false" ht="15" hidden="false" customHeight="false" outlineLevel="0" collapsed="false">
      <c r="A502" s="4" t="s">
        <v>1011</v>
      </c>
      <c r="B502" s="5" t="n">
        <v>116</v>
      </c>
      <c r="C502" s="5" t="n">
        <v>116</v>
      </c>
      <c r="D502" s="5" t="n">
        <f aca="false">IF(AND(ISNUMBER(B502),ISNUMBER(C502)),C502-B502,"")</f>
        <v>0</v>
      </c>
      <c r="E502" s="4" t="s">
        <v>531</v>
      </c>
    </row>
    <row r="503" customFormat="false" ht="15" hidden="false" customHeight="false" outlineLevel="0" collapsed="false">
      <c r="A503" s="4" t="s">
        <v>1012</v>
      </c>
      <c r="B503" s="5" t="n">
        <v>94</v>
      </c>
      <c r="C503" s="5" t="n">
        <v>94</v>
      </c>
      <c r="D503" s="5" t="n">
        <f aca="false">IF(AND(ISNUMBER(B503),ISNUMBER(C503)),C503-B503,"")</f>
        <v>0</v>
      </c>
      <c r="E503" s="4" t="s">
        <v>531</v>
      </c>
    </row>
    <row r="504" customFormat="false" ht="15" hidden="false" customHeight="false" outlineLevel="0" collapsed="false">
      <c r="A504" s="4" t="s">
        <v>1013</v>
      </c>
      <c r="B504" s="5" t="s">
        <v>27</v>
      </c>
      <c r="C504" s="5" t="s">
        <v>27</v>
      </c>
      <c r="D504" s="5" t="str">
        <f aca="false">IF(AND(ISNUMBER(B504),ISNUMBER(C504)),C504-B504,"")</f>
        <v/>
      </c>
      <c r="E504" s="4" t="s">
        <v>531</v>
      </c>
    </row>
    <row r="505" customFormat="false" ht="23.85" hidden="false" customHeight="false" outlineLevel="0" collapsed="false">
      <c r="A505" s="4" t="s">
        <v>1014</v>
      </c>
      <c r="B505" s="5" t="s">
        <v>27</v>
      </c>
      <c r="C505" s="5" t="s">
        <v>27</v>
      </c>
      <c r="D505" s="5" t="str">
        <f aca="false">IF(AND(ISNUMBER(B505),ISNUMBER(C505)),C505-B505,"")</f>
        <v/>
      </c>
      <c r="E505" s="4" t="s">
        <v>605</v>
      </c>
    </row>
    <row r="506" customFormat="false" ht="15" hidden="false" customHeight="false" outlineLevel="0" collapsed="false">
      <c r="A506" s="4" t="s">
        <v>1015</v>
      </c>
      <c r="B506" s="5" t="n">
        <v>-0.105</v>
      </c>
      <c r="C506" s="5" t="n">
        <v>-0.105</v>
      </c>
      <c r="D506" s="5" t="n">
        <f aca="false">IF(AND(ISNUMBER(B506),ISNUMBER(C506)),C506-B506,"")</f>
        <v>0</v>
      </c>
      <c r="E506" s="4" t="s">
        <v>531</v>
      </c>
    </row>
    <row r="507" customFormat="false" ht="23.85" hidden="false" customHeight="false" outlineLevel="0" collapsed="false">
      <c r="A507" s="4" t="s">
        <v>1016</v>
      </c>
      <c r="B507" s="5" t="n">
        <v>0.076</v>
      </c>
      <c r="C507" s="5" t="n">
        <v>0.071</v>
      </c>
      <c r="D507" s="5" t="n">
        <f aca="false">IF(AND(ISNUMBER(B507),ISNUMBER(C507)),C507-B507,"")</f>
        <v>-0.005</v>
      </c>
      <c r="E507" s="4" t="s">
        <v>605</v>
      </c>
    </row>
    <row r="508" customFormat="false" ht="15" hidden="false" customHeight="false" outlineLevel="0" collapsed="false">
      <c r="A508" s="4" t="s">
        <v>1017</v>
      </c>
      <c r="B508" s="5" t="n">
        <v>-0.072</v>
      </c>
      <c r="C508" s="5" t="n">
        <v>-0.072</v>
      </c>
      <c r="D508" s="5" t="n">
        <f aca="false">IF(AND(ISNUMBER(B508),ISNUMBER(C508)),C508-B508,"")</f>
        <v>0</v>
      </c>
      <c r="E508" s="4" t="s">
        <v>531</v>
      </c>
    </row>
    <row r="509" customFormat="false" ht="23.85" hidden="false" customHeight="false" outlineLevel="0" collapsed="false">
      <c r="A509" s="4" t="s">
        <v>1018</v>
      </c>
      <c r="B509" s="5" t="n">
        <v>0.094</v>
      </c>
      <c r="C509" s="5" t="n">
        <v>0.09</v>
      </c>
      <c r="D509" s="5" t="n">
        <f aca="false">IF(AND(ISNUMBER(B509),ISNUMBER(C509)),C509-B509,"")</f>
        <v>-0.004</v>
      </c>
      <c r="E509" s="4" t="s">
        <v>605</v>
      </c>
    </row>
    <row r="510" customFormat="false" ht="15" hidden="false" customHeight="false" outlineLevel="0" collapsed="false">
      <c r="A510" s="4" t="s">
        <v>1019</v>
      </c>
      <c r="B510" s="5" t="n">
        <v>-0.017</v>
      </c>
      <c r="C510" s="5" t="n">
        <v>-0.017</v>
      </c>
      <c r="D510" s="5" t="n">
        <f aca="false">IF(AND(ISNUMBER(B510),ISNUMBER(C510)),C510-B510,"")</f>
        <v>0</v>
      </c>
      <c r="E510" s="4" t="s">
        <v>531</v>
      </c>
    </row>
    <row r="511" customFormat="false" ht="23.85" hidden="false" customHeight="false" outlineLevel="0" collapsed="false">
      <c r="A511" s="4" t="s">
        <v>1020</v>
      </c>
      <c r="B511" s="5" t="n">
        <v>0.102</v>
      </c>
      <c r="C511" s="5" t="n">
        <v>0.097</v>
      </c>
      <c r="D511" s="5" t="n">
        <f aca="false">IF(AND(ISNUMBER(B511),ISNUMBER(C511)),C511-B511,"")</f>
        <v>-0.00499999999999999</v>
      </c>
      <c r="E511" s="4" t="s">
        <v>605</v>
      </c>
    </row>
    <row r="512" customFormat="false" ht="15" hidden="false" customHeight="false" outlineLevel="0" collapsed="false">
      <c r="A512" s="4" t="s">
        <v>1021</v>
      </c>
      <c r="B512" s="5" t="n">
        <v>-0.031</v>
      </c>
      <c r="C512" s="5" t="n">
        <v>-0.031</v>
      </c>
      <c r="D512" s="5" t="n">
        <f aca="false">IF(AND(ISNUMBER(B512),ISNUMBER(C512)),C512-B512,"")</f>
        <v>0</v>
      </c>
      <c r="E512" s="4" t="s">
        <v>531</v>
      </c>
    </row>
    <row r="513" customFormat="false" ht="23.85" hidden="false" customHeight="false" outlineLevel="0" collapsed="false">
      <c r="A513" s="4" t="s">
        <v>1022</v>
      </c>
      <c r="B513" s="5" t="n">
        <v>0.098</v>
      </c>
      <c r="C513" s="5" t="n">
        <v>0.095</v>
      </c>
      <c r="D513" s="5" t="n">
        <f aca="false">IF(AND(ISNUMBER(B513),ISNUMBER(C513)),C513-B513,"")</f>
        <v>-0.003</v>
      </c>
      <c r="E513" s="4" t="s">
        <v>605</v>
      </c>
    </row>
    <row r="514" customFormat="false" ht="15" hidden="false" customHeight="false" outlineLevel="0" collapsed="false">
      <c r="A514" s="4" t="s">
        <v>1023</v>
      </c>
      <c r="B514" s="5" t="n">
        <v>116</v>
      </c>
      <c r="C514" s="5" t="n">
        <v>116</v>
      </c>
      <c r="D514" s="5" t="n">
        <f aca="false">IF(AND(ISNUMBER(B514),ISNUMBER(C514)),C514-B514,"")</f>
        <v>0</v>
      </c>
      <c r="E514" s="4" t="s">
        <v>531</v>
      </c>
    </row>
    <row r="515" customFormat="false" ht="15" hidden="false" customHeight="false" outlineLevel="0" collapsed="false">
      <c r="A515" s="4" t="s">
        <v>1024</v>
      </c>
      <c r="B515" s="5" t="n">
        <v>94</v>
      </c>
      <c r="C515" s="5" t="n">
        <v>94</v>
      </c>
      <c r="D515" s="5" t="n">
        <f aca="false">IF(AND(ISNUMBER(B515),ISNUMBER(C515)),C515-B515,"")</f>
        <v>0</v>
      </c>
      <c r="E515" s="4" t="s">
        <v>531</v>
      </c>
    </row>
    <row r="516" customFormat="false" ht="15" hidden="false" customHeight="false" outlineLevel="0" collapsed="false">
      <c r="A516" s="4" t="s">
        <v>1025</v>
      </c>
      <c r="B516" s="5" t="s">
        <v>27</v>
      </c>
      <c r="C516" s="5" t="s">
        <v>27</v>
      </c>
      <c r="D516" s="5" t="str">
        <f aca="false">IF(AND(ISNUMBER(B516),ISNUMBER(C516)),C516-B516,"")</f>
        <v/>
      </c>
      <c r="E516" s="4" t="s">
        <v>531</v>
      </c>
    </row>
    <row r="517" customFormat="false" ht="23.85" hidden="false" customHeight="false" outlineLevel="0" collapsed="false">
      <c r="A517" s="4" t="s">
        <v>1026</v>
      </c>
      <c r="B517" s="5" t="s">
        <v>27</v>
      </c>
      <c r="C517" s="5" t="s">
        <v>27</v>
      </c>
      <c r="D517" s="5" t="str">
        <f aca="false">IF(AND(ISNUMBER(B517),ISNUMBER(C517)),C517-B517,"")</f>
        <v/>
      </c>
      <c r="E517" s="4" t="s">
        <v>605</v>
      </c>
    </row>
    <row r="518" customFormat="false" ht="15" hidden="false" customHeight="false" outlineLevel="0" collapsed="false">
      <c r="A518" s="4" t="s">
        <v>1027</v>
      </c>
      <c r="B518" s="5" t="n">
        <v>-0.157</v>
      </c>
      <c r="C518" s="5" t="n">
        <v>-0.157</v>
      </c>
      <c r="D518" s="5" t="n">
        <f aca="false">IF(AND(ISNUMBER(B518),ISNUMBER(C518)),C518-B518,"")</f>
        <v>0</v>
      </c>
      <c r="E518" s="4" t="s">
        <v>531</v>
      </c>
    </row>
    <row r="519" customFormat="false" ht="23.85" hidden="false" customHeight="false" outlineLevel="0" collapsed="false">
      <c r="A519" s="4" t="s">
        <v>1028</v>
      </c>
      <c r="B519" s="5" t="n">
        <v>0.067</v>
      </c>
      <c r="C519" s="5" t="n">
        <v>0.069</v>
      </c>
      <c r="D519" s="5" t="n">
        <f aca="false">IF(AND(ISNUMBER(B519),ISNUMBER(C519)),C519-B519,"")</f>
        <v>0.002</v>
      </c>
      <c r="E519" s="4" t="s">
        <v>605</v>
      </c>
    </row>
    <row r="520" customFormat="false" ht="15" hidden="false" customHeight="false" outlineLevel="0" collapsed="false">
      <c r="A520" s="4" t="s">
        <v>1029</v>
      </c>
      <c r="B520" s="5" t="n">
        <v>-0.063</v>
      </c>
      <c r="C520" s="5" t="n">
        <v>-0.063</v>
      </c>
      <c r="D520" s="5" t="n">
        <f aca="false">IF(AND(ISNUMBER(B520),ISNUMBER(C520)),C520-B520,"")</f>
        <v>0</v>
      </c>
      <c r="E520" s="4" t="s">
        <v>531</v>
      </c>
    </row>
    <row r="521" customFormat="false" ht="23.85" hidden="false" customHeight="false" outlineLevel="0" collapsed="false">
      <c r="A521" s="4" t="s">
        <v>1030</v>
      </c>
      <c r="B521" s="5" t="n">
        <v>0.088</v>
      </c>
      <c r="C521" s="5" t="n">
        <v>0.089</v>
      </c>
      <c r="D521" s="5" t="n">
        <f aca="false">IF(AND(ISNUMBER(B521),ISNUMBER(C521)),C521-B521,"")</f>
        <v>0.001</v>
      </c>
      <c r="E521" s="4" t="s">
        <v>605</v>
      </c>
    </row>
    <row r="522" customFormat="false" ht="15" hidden="false" customHeight="false" outlineLevel="0" collapsed="false">
      <c r="A522" s="4" t="s">
        <v>1031</v>
      </c>
      <c r="B522" s="5" t="n">
        <v>-0.097</v>
      </c>
      <c r="C522" s="5" t="n">
        <v>-0.097</v>
      </c>
      <c r="D522" s="5" t="n">
        <f aca="false">IF(AND(ISNUMBER(B522),ISNUMBER(C522)),C522-B522,"")</f>
        <v>0</v>
      </c>
      <c r="E522" s="4" t="s">
        <v>531</v>
      </c>
    </row>
    <row r="523" customFormat="false" ht="23.85" hidden="false" customHeight="false" outlineLevel="0" collapsed="false">
      <c r="A523" s="4" t="s">
        <v>1032</v>
      </c>
      <c r="B523" s="5" t="n">
        <v>0.098</v>
      </c>
      <c r="C523" s="5" t="n">
        <v>0.096</v>
      </c>
      <c r="D523" s="5" t="n">
        <f aca="false">IF(AND(ISNUMBER(B523),ISNUMBER(C523)),C523-B523,"")</f>
        <v>-0.002</v>
      </c>
      <c r="E523" s="4" t="s">
        <v>605</v>
      </c>
    </row>
    <row r="524" customFormat="false" ht="15" hidden="false" customHeight="false" outlineLevel="0" collapsed="false">
      <c r="A524" s="4" t="s">
        <v>1033</v>
      </c>
      <c r="B524" s="5" t="n">
        <v>-0.064</v>
      </c>
      <c r="C524" s="5" t="n">
        <v>-0.064</v>
      </c>
      <c r="D524" s="5" t="n">
        <f aca="false">IF(AND(ISNUMBER(B524),ISNUMBER(C524)),C524-B524,"")</f>
        <v>0</v>
      </c>
      <c r="E524" s="4" t="s">
        <v>531</v>
      </c>
    </row>
    <row r="525" customFormat="false" ht="23.85" hidden="false" customHeight="false" outlineLevel="0" collapsed="false">
      <c r="A525" s="4" t="s">
        <v>1034</v>
      </c>
      <c r="B525" s="5" t="n">
        <v>0.086</v>
      </c>
      <c r="C525" s="5" t="n">
        <v>0.09</v>
      </c>
      <c r="D525" s="5" t="n">
        <f aca="false">IF(AND(ISNUMBER(B525),ISNUMBER(C525)),C525-B525,"")</f>
        <v>0.004</v>
      </c>
      <c r="E525" s="4" t="s">
        <v>605</v>
      </c>
    </row>
    <row r="526" customFormat="false" ht="15" hidden="false" customHeight="false" outlineLevel="0" collapsed="false">
      <c r="A526" s="4" t="s">
        <v>1035</v>
      </c>
      <c r="B526" s="5" t="n">
        <v>0.059</v>
      </c>
      <c r="C526" s="5" t="n">
        <v>0.059</v>
      </c>
      <c r="D526" s="5" t="n">
        <f aca="false">IF(AND(ISNUMBER(B526),ISNUMBER(C526)),C526-B526,"")</f>
        <v>0</v>
      </c>
      <c r="E526" s="4" t="s">
        <v>531</v>
      </c>
    </row>
    <row r="527" customFormat="false" ht="15" hidden="false" customHeight="false" outlineLevel="0" collapsed="false">
      <c r="A527" s="4" t="s">
        <v>1036</v>
      </c>
      <c r="B527" s="5" t="n">
        <v>0.057</v>
      </c>
      <c r="C527" s="5" t="n">
        <v>0.057</v>
      </c>
      <c r="D527" s="5" t="n">
        <f aca="false">IF(AND(ISNUMBER(B527),ISNUMBER(C527)),C527-B527,"")</f>
        <v>0</v>
      </c>
      <c r="E527" s="4" t="s">
        <v>531</v>
      </c>
    </row>
    <row r="528" customFormat="false" ht="15" hidden="false" customHeight="false" outlineLevel="0" collapsed="false">
      <c r="A528" s="4" t="s">
        <v>1037</v>
      </c>
      <c r="B528" s="5" t="n">
        <v>0</v>
      </c>
      <c r="C528" s="5" t="n">
        <v>0</v>
      </c>
      <c r="D528" s="5" t="n">
        <f aca="false">IF(AND(ISNUMBER(B528),ISNUMBER(C528)),C528-B528,"")</f>
        <v>0</v>
      </c>
      <c r="E528" s="4" t="s">
        <v>531</v>
      </c>
    </row>
    <row r="529" customFormat="false" ht="15" hidden="false" customHeight="false" outlineLevel="0" collapsed="false">
      <c r="A529" s="4" t="s">
        <v>1038</v>
      </c>
      <c r="B529" s="5" t="n">
        <v>0.045</v>
      </c>
      <c r="C529" s="5" t="n">
        <v>0.045</v>
      </c>
      <c r="D529" s="5" t="n">
        <f aca="false">IF(AND(ISNUMBER(B529),ISNUMBER(C529)),C529-B529,"")</f>
        <v>0</v>
      </c>
      <c r="E529" s="4" t="s">
        <v>531</v>
      </c>
    </row>
    <row r="530" customFormat="false" ht="15" hidden="false" customHeight="false" outlineLevel="0" collapsed="false">
      <c r="A530" s="4" t="s">
        <v>1039</v>
      </c>
      <c r="B530" s="5" t="n">
        <v>0.045</v>
      </c>
      <c r="C530" s="5" t="n">
        <v>0.045</v>
      </c>
      <c r="D530" s="5" t="n">
        <f aca="false">IF(AND(ISNUMBER(B530),ISNUMBER(C530)),C530-B530,"")</f>
        <v>0</v>
      </c>
      <c r="E530" s="4" t="s">
        <v>531</v>
      </c>
    </row>
    <row r="531" customFormat="false" ht="15" hidden="false" customHeight="false" outlineLevel="0" collapsed="false">
      <c r="A531" s="4" t="s">
        <v>1040</v>
      </c>
      <c r="B531" s="5" t="n">
        <v>0.878</v>
      </c>
      <c r="C531" s="5" t="n">
        <v>0.878</v>
      </c>
      <c r="D531" s="5" t="n">
        <f aca="false">IF(AND(ISNUMBER(B531),ISNUMBER(C531)),C531-B531,"")</f>
        <v>0</v>
      </c>
      <c r="E531" s="4" t="s">
        <v>531</v>
      </c>
    </row>
    <row r="532" customFormat="false" ht="15" hidden="false" customHeight="false" outlineLevel="0" collapsed="false">
      <c r="A532" s="4" t="s">
        <v>1041</v>
      </c>
      <c r="B532" s="5" t="n">
        <v>0.067</v>
      </c>
      <c r="C532" s="5" t="n">
        <v>0.067</v>
      </c>
      <c r="D532" s="5" t="n">
        <f aca="false">IF(AND(ISNUMBER(B532),ISNUMBER(C532)),C532-B532,"")</f>
        <v>0</v>
      </c>
      <c r="E532" s="4" t="s">
        <v>531</v>
      </c>
    </row>
    <row r="533" customFormat="false" ht="15" hidden="false" customHeight="false" outlineLevel="0" collapsed="false">
      <c r="A533" s="4" t="s">
        <v>1042</v>
      </c>
      <c r="B533" s="5" t="n">
        <v>0.067</v>
      </c>
      <c r="C533" s="5" t="n">
        <v>0.067</v>
      </c>
      <c r="D533" s="5" t="n">
        <f aca="false">IF(AND(ISNUMBER(B533),ISNUMBER(C533)),C533-B533,"")</f>
        <v>0</v>
      </c>
      <c r="E533" s="4" t="s">
        <v>531</v>
      </c>
    </row>
    <row r="534" customFormat="false" ht="15" hidden="false" customHeight="false" outlineLevel="0" collapsed="false">
      <c r="A534" s="4" t="s">
        <v>1043</v>
      </c>
      <c r="B534" s="5" t="n">
        <v>0.21</v>
      </c>
      <c r="C534" s="5" t="n">
        <v>0.21</v>
      </c>
      <c r="D534" s="5" t="n">
        <f aca="false">IF(AND(ISNUMBER(B534),ISNUMBER(C534)),C534-B534,"")</f>
        <v>0</v>
      </c>
      <c r="E534" s="4" t="s">
        <v>531</v>
      </c>
    </row>
    <row r="535" customFormat="false" ht="15" hidden="false" customHeight="false" outlineLevel="0" collapsed="false">
      <c r="A535" s="4" t="s">
        <v>1044</v>
      </c>
      <c r="B535" s="5" t="n">
        <v>0.502</v>
      </c>
      <c r="C535" s="5" t="n">
        <v>0.502</v>
      </c>
      <c r="D535" s="5" t="n">
        <f aca="false">IF(AND(ISNUMBER(B535),ISNUMBER(C535)),C535-B535,"")</f>
        <v>0</v>
      </c>
      <c r="E535" s="4" t="s">
        <v>531</v>
      </c>
    </row>
    <row r="536" customFormat="false" ht="15" hidden="false" customHeight="false" outlineLevel="0" collapsed="false">
      <c r="A536" s="4" t="s">
        <v>1045</v>
      </c>
      <c r="B536" s="5" t="n">
        <v>0.476</v>
      </c>
      <c r="C536" s="5" t="n">
        <v>0.476</v>
      </c>
      <c r="D536" s="5" t="n">
        <f aca="false">IF(AND(ISNUMBER(B536),ISNUMBER(C536)),C536-B536,"")</f>
        <v>0</v>
      </c>
      <c r="E536" s="4" t="s">
        <v>531</v>
      </c>
    </row>
    <row r="537" customFormat="false" ht="15" hidden="false" customHeight="false" outlineLevel="0" collapsed="false">
      <c r="A537" s="4" t="s">
        <v>1046</v>
      </c>
      <c r="B537" s="5" t="n">
        <v>0.08</v>
      </c>
      <c r="C537" s="5" t="n">
        <v>0.08</v>
      </c>
      <c r="D537" s="5" t="n">
        <f aca="false">IF(AND(ISNUMBER(B537),ISNUMBER(C537)),C537-B537,"")</f>
        <v>0</v>
      </c>
      <c r="E537" s="4" t="s">
        <v>531</v>
      </c>
    </row>
    <row r="538" customFormat="false" ht="15" hidden="false" customHeight="false" outlineLevel="0" collapsed="false">
      <c r="A538" s="4" t="s">
        <v>1047</v>
      </c>
      <c r="B538" s="5" t="n">
        <v>0.077</v>
      </c>
      <c r="C538" s="5" t="n">
        <v>0.077</v>
      </c>
      <c r="D538" s="5" t="n">
        <f aca="false">IF(AND(ISNUMBER(B538),ISNUMBER(C538)),C538-B538,"")</f>
        <v>0</v>
      </c>
      <c r="E538" s="4" t="s">
        <v>531</v>
      </c>
    </row>
    <row r="539" customFormat="false" ht="15" hidden="false" customHeight="false" outlineLevel="0" collapsed="false">
      <c r="A539" s="4" t="s">
        <v>1048</v>
      </c>
      <c r="B539" s="5" t="n">
        <v>0.071</v>
      </c>
      <c r="C539" s="5" t="n">
        <v>0.071</v>
      </c>
      <c r="D539" s="5" t="n">
        <f aca="false">IF(AND(ISNUMBER(B539),ISNUMBER(C539)),C539-B539,"")</f>
        <v>0</v>
      </c>
      <c r="E539" s="4" t="s">
        <v>531</v>
      </c>
    </row>
    <row r="540" customFormat="false" ht="15" hidden="false" customHeight="false" outlineLevel="0" collapsed="false">
      <c r="A540" s="4" t="s">
        <v>1049</v>
      </c>
      <c r="B540" s="5" t="n">
        <v>0.3</v>
      </c>
      <c r="C540" s="5" t="n">
        <v>0.3</v>
      </c>
      <c r="D540" s="5" t="n">
        <f aca="false">IF(AND(ISNUMBER(B540),ISNUMBER(C540)),C540-B540,"")</f>
        <v>0</v>
      </c>
      <c r="E540" s="4" t="s">
        <v>531</v>
      </c>
    </row>
    <row r="541" customFormat="false" ht="15" hidden="false" customHeight="false" outlineLevel="0" collapsed="false">
      <c r="A541" s="4" t="s">
        <v>1050</v>
      </c>
      <c r="B541" s="5" t="n">
        <v>0.076</v>
      </c>
      <c r="C541" s="5" t="n">
        <v>0.076</v>
      </c>
      <c r="D541" s="5" t="n">
        <f aca="false">IF(AND(ISNUMBER(B541),ISNUMBER(C541)),C541-B541,"")</f>
        <v>0</v>
      </c>
      <c r="E541" s="4" t="s">
        <v>531</v>
      </c>
    </row>
    <row r="542" customFormat="false" ht="15" hidden="false" customHeight="false" outlineLevel="0" collapsed="false">
      <c r="A542" s="4" t="s">
        <v>1051</v>
      </c>
      <c r="B542" s="5" t="n">
        <v>0.073</v>
      </c>
      <c r="C542" s="5" t="n">
        <v>0.073</v>
      </c>
      <c r="D542" s="5" t="n">
        <f aca="false">IF(AND(ISNUMBER(B542),ISNUMBER(C542)),C542-B542,"")</f>
        <v>0</v>
      </c>
      <c r="E542" s="4" t="s">
        <v>531</v>
      </c>
    </row>
    <row r="543" customFormat="false" ht="15" hidden="false" customHeight="false" outlineLevel="0" collapsed="false">
      <c r="A543" s="4" t="s">
        <v>1052</v>
      </c>
      <c r="B543" s="5" t="n">
        <v>0.058</v>
      </c>
      <c r="C543" s="5" t="n">
        <v>0.058</v>
      </c>
      <c r="D543" s="5" t="n">
        <f aca="false">IF(AND(ISNUMBER(B543),ISNUMBER(C543)),C543-B543,"")</f>
        <v>0</v>
      </c>
      <c r="E543" s="4" t="s">
        <v>531</v>
      </c>
    </row>
    <row r="544" customFormat="false" ht="15" hidden="false" customHeight="false" outlineLevel="0" collapsed="false">
      <c r="A544" s="4" t="s">
        <v>1053</v>
      </c>
      <c r="B544" s="5" t="n">
        <v>0.057</v>
      </c>
      <c r="C544" s="5" t="n">
        <v>0.057</v>
      </c>
      <c r="D544" s="5" t="n">
        <f aca="false">IF(AND(ISNUMBER(B544),ISNUMBER(C544)),C544-B544,"")</f>
        <v>0</v>
      </c>
      <c r="E544" s="4" t="s">
        <v>531</v>
      </c>
    </row>
    <row r="545" customFormat="false" ht="15" hidden="false" customHeight="false" outlineLevel="0" collapsed="false">
      <c r="A545" s="4" t="s">
        <v>1054</v>
      </c>
      <c r="B545" s="5" t="n">
        <v>0.056</v>
      </c>
      <c r="C545" s="5" t="n">
        <v>0.056</v>
      </c>
      <c r="D545" s="5" t="n">
        <f aca="false">IF(AND(ISNUMBER(B545),ISNUMBER(C545)),C545-B545,"")</f>
        <v>0</v>
      </c>
      <c r="E545" s="4" t="s">
        <v>531</v>
      </c>
    </row>
    <row r="546" customFormat="false" ht="15" hidden="false" customHeight="false" outlineLevel="0" collapsed="false">
      <c r="A546" s="4" t="s">
        <v>1055</v>
      </c>
      <c r="B546" s="5" t="n">
        <v>0.012</v>
      </c>
      <c r="C546" s="5" t="n">
        <v>0.012</v>
      </c>
      <c r="D546" s="5" t="n">
        <f aca="false">IF(AND(ISNUMBER(B546),ISNUMBER(C546)),C546-B546,"")</f>
        <v>0</v>
      </c>
      <c r="E546" s="4" t="s">
        <v>531</v>
      </c>
    </row>
    <row r="547" customFormat="false" ht="15" hidden="false" customHeight="false" outlineLevel="0" collapsed="false">
      <c r="A547" s="4" t="s">
        <v>1056</v>
      </c>
      <c r="B547" s="5" t="n">
        <v>0.074</v>
      </c>
      <c r="C547" s="5" t="n">
        <v>0.074</v>
      </c>
      <c r="D547" s="5" t="n">
        <f aca="false">IF(AND(ISNUMBER(B547),ISNUMBER(C547)),C547-B547,"")</f>
        <v>0</v>
      </c>
      <c r="E547" s="4" t="s">
        <v>531</v>
      </c>
    </row>
    <row r="548" customFormat="false" ht="15" hidden="false" customHeight="false" outlineLevel="0" collapsed="false">
      <c r="A548" s="4" t="s">
        <v>1057</v>
      </c>
      <c r="B548" s="5" t="n">
        <v>0.074</v>
      </c>
      <c r="C548" s="5" t="n">
        <v>0.074</v>
      </c>
      <c r="D548" s="5" t="n">
        <f aca="false">IF(AND(ISNUMBER(B548),ISNUMBER(C548)),C548-B548,"")</f>
        <v>0</v>
      </c>
      <c r="E548" s="4" t="s">
        <v>531</v>
      </c>
    </row>
    <row r="549" customFormat="false" ht="15" hidden="false" customHeight="false" outlineLevel="0" collapsed="false">
      <c r="A549" s="4" t="s">
        <v>1058</v>
      </c>
      <c r="B549" s="5" t="n">
        <v>0.891</v>
      </c>
      <c r="C549" s="5" t="n">
        <v>0.891</v>
      </c>
      <c r="D549" s="5" t="n">
        <f aca="false">IF(AND(ISNUMBER(B549),ISNUMBER(C549)),C549-B549,"")</f>
        <v>0</v>
      </c>
      <c r="E549" s="4" t="s">
        <v>531</v>
      </c>
    </row>
    <row r="550" customFormat="false" ht="15" hidden="false" customHeight="false" outlineLevel="0" collapsed="false">
      <c r="A550" s="4" t="s">
        <v>1059</v>
      </c>
      <c r="B550" s="5" t="n">
        <v>0.084</v>
      </c>
      <c r="C550" s="5" t="n">
        <v>0.084</v>
      </c>
      <c r="D550" s="5" t="n">
        <f aca="false">IF(AND(ISNUMBER(B550),ISNUMBER(C550)),C550-B550,"")</f>
        <v>0</v>
      </c>
      <c r="E550" s="4" t="s">
        <v>531</v>
      </c>
    </row>
    <row r="551" customFormat="false" ht="15" hidden="false" customHeight="false" outlineLevel="0" collapsed="false">
      <c r="A551" s="4" t="s">
        <v>1060</v>
      </c>
      <c r="B551" s="5" t="n">
        <v>0.083</v>
      </c>
      <c r="C551" s="5" t="n">
        <v>0.083</v>
      </c>
      <c r="D551" s="5" t="n">
        <f aca="false">IF(AND(ISNUMBER(B551),ISNUMBER(C551)),C551-B551,"")</f>
        <v>0</v>
      </c>
      <c r="E551" s="4" t="s">
        <v>531</v>
      </c>
    </row>
    <row r="552" customFormat="false" ht="15" hidden="false" customHeight="false" outlineLevel="0" collapsed="false">
      <c r="A552" s="4" t="s">
        <v>1061</v>
      </c>
      <c r="B552" s="5" t="n">
        <v>0.012</v>
      </c>
      <c r="C552" s="5" t="n">
        <v>0.012</v>
      </c>
      <c r="D552" s="5" t="n">
        <f aca="false">IF(AND(ISNUMBER(B552),ISNUMBER(C552)),C552-B552,"")</f>
        <v>0</v>
      </c>
      <c r="E552" s="4" t="s">
        <v>531</v>
      </c>
    </row>
    <row r="553" customFormat="false" ht="15" hidden="false" customHeight="false" outlineLevel="0" collapsed="false">
      <c r="A553" s="4" t="s">
        <v>1062</v>
      </c>
      <c r="B553" s="5" t="n">
        <v>0.078</v>
      </c>
      <c r="C553" s="5" t="n">
        <v>0.078</v>
      </c>
      <c r="D553" s="5" t="n">
        <f aca="false">IF(AND(ISNUMBER(B553),ISNUMBER(C553)),C553-B553,"")</f>
        <v>0</v>
      </c>
      <c r="E553" s="4" t="s">
        <v>531</v>
      </c>
    </row>
    <row r="554" customFormat="false" ht="15" hidden="false" customHeight="false" outlineLevel="0" collapsed="false">
      <c r="A554" s="4" t="s">
        <v>1063</v>
      </c>
      <c r="B554" s="5" t="n">
        <v>0.076</v>
      </c>
      <c r="C554" s="5" t="n">
        <v>0.076</v>
      </c>
      <c r="D554" s="5" t="n">
        <f aca="false">IF(AND(ISNUMBER(B554),ISNUMBER(C554)),C554-B554,"")</f>
        <v>0</v>
      </c>
      <c r="E554" s="4" t="s">
        <v>531</v>
      </c>
    </row>
    <row r="555" customFormat="false" ht="15" hidden="false" customHeight="false" outlineLevel="0" collapsed="false">
      <c r="A555" s="4" t="s">
        <v>1064</v>
      </c>
      <c r="B555" s="5" t="n">
        <v>0.001</v>
      </c>
      <c r="C555" s="5" t="n">
        <v>0.001</v>
      </c>
      <c r="D555" s="5" t="n">
        <f aca="false">IF(AND(ISNUMBER(B555),ISNUMBER(C555)),C555-B555,"")</f>
        <v>0</v>
      </c>
      <c r="E555" s="4" t="s">
        <v>531</v>
      </c>
    </row>
    <row r="556" customFormat="false" ht="15" hidden="false" customHeight="false" outlineLevel="0" collapsed="false">
      <c r="A556" s="4" t="s">
        <v>1065</v>
      </c>
      <c r="B556" s="5" t="n">
        <v>0.083</v>
      </c>
      <c r="C556" s="5" t="n">
        <v>0.083</v>
      </c>
      <c r="D556" s="5" t="n">
        <f aca="false">IF(AND(ISNUMBER(B556),ISNUMBER(C556)),C556-B556,"")</f>
        <v>0</v>
      </c>
      <c r="E556" s="4" t="s">
        <v>531</v>
      </c>
    </row>
    <row r="557" customFormat="false" ht="15" hidden="false" customHeight="false" outlineLevel="0" collapsed="false">
      <c r="A557" s="4" t="s">
        <v>1066</v>
      </c>
      <c r="B557" s="5" t="n">
        <v>0.081</v>
      </c>
      <c r="C557" s="5" t="n">
        <v>0.081</v>
      </c>
      <c r="D557" s="5" t="n">
        <f aca="false">IF(AND(ISNUMBER(B557),ISNUMBER(C557)),C557-B557,"")</f>
        <v>0</v>
      </c>
      <c r="E557" s="4" t="s">
        <v>531</v>
      </c>
    </row>
    <row r="558" customFormat="false" ht="15" hidden="false" customHeight="false" outlineLevel="0" collapsed="false">
      <c r="A558" s="4" t="s">
        <v>1067</v>
      </c>
      <c r="B558" s="5" t="n">
        <v>0.95</v>
      </c>
      <c r="C558" s="5" t="n">
        <v>0.95</v>
      </c>
      <c r="D558" s="5" t="n">
        <f aca="false">IF(AND(ISNUMBER(B558),ISNUMBER(C558)),C558-B558,"")</f>
        <v>0</v>
      </c>
      <c r="E558" s="4" t="s">
        <v>531</v>
      </c>
    </row>
    <row r="559" customFormat="false" ht="15" hidden="false" customHeight="false" outlineLevel="0" collapsed="false">
      <c r="A559" s="4" t="s">
        <v>745</v>
      </c>
      <c r="B559" s="5" t="n">
        <v>0.082</v>
      </c>
      <c r="C559" s="5" t="n">
        <v>0.082</v>
      </c>
      <c r="D559" s="5" t="n">
        <f aca="false">IF(AND(ISNUMBER(B559),ISNUMBER(C559)),C559-B559,"")</f>
        <v>0</v>
      </c>
      <c r="E559" s="4" t="s">
        <v>531</v>
      </c>
    </row>
    <row r="560" customFormat="false" ht="15" hidden="false" customHeight="false" outlineLevel="0" collapsed="false">
      <c r="A560" s="4" t="s">
        <v>746</v>
      </c>
      <c r="B560" s="5" t="n">
        <v>0.079</v>
      </c>
      <c r="C560" s="5" t="n">
        <v>0.079</v>
      </c>
      <c r="D560" s="5" t="n">
        <f aca="false">IF(AND(ISNUMBER(B560),ISNUMBER(C560)),C560-B560,"")</f>
        <v>0</v>
      </c>
      <c r="E560" s="4" t="s">
        <v>531</v>
      </c>
    </row>
    <row r="561" customFormat="false" ht="15" hidden="false" customHeight="false" outlineLevel="0" collapsed="false">
      <c r="A561" s="4" t="s">
        <v>747</v>
      </c>
      <c r="B561" s="5" t="n">
        <v>0.924</v>
      </c>
      <c r="C561" s="5" t="n">
        <v>0.924</v>
      </c>
      <c r="D561" s="5" t="n">
        <f aca="false">IF(AND(ISNUMBER(B561),ISNUMBER(C561)),C561-B561,"")</f>
        <v>0</v>
      </c>
      <c r="E561" s="4" t="s">
        <v>531</v>
      </c>
    </row>
    <row r="562" customFormat="false" ht="15" hidden="false" customHeight="false" outlineLevel="0" collapsed="false">
      <c r="A562" s="4" t="s">
        <v>1068</v>
      </c>
      <c r="B562" s="5" t="n">
        <v>0.086</v>
      </c>
      <c r="C562" s="5" t="n">
        <v>0.086</v>
      </c>
      <c r="D562" s="5" t="n">
        <f aca="false">IF(AND(ISNUMBER(B562),ISNUMBER(C562)),C562-B562,"")</f>
        <v>0</v>
      </c>
      <c r="E562" s="4" t="s">
        <v>531</v>
      </c>
    </row>
    <row r="563" customFormat="false" ht="15" hidden="false" customHeight="false" outlineLevel="0" collapsed="false">
      <c r="A563" s="4" t="s">
        <v>1069</v>
      </c>
      <c r="B563" s="5" t="n">
        <v>0.085</v>
      </c>
      <c r="C563" s="5" t="n">
        <v>0.085</v>
      </c>
      <c r="D563" s="5" t="n">
        <f aca="false">IF(AND(ISNUMBER(B563),ISNUMBER(C563)),C563-B563,"")</f>
        <v>0</v>
      </c>
      <c r="E563" s="4" t="s">
        <v>531</v>
      </c>
    </row>
    <row r="564" customFormat="false" ht="15" hidden="false" customHeight="false" outlineLevel="0" collapsed="false">
      <c r="A564" s="4" t="s">
        <v>1070</v>
      </c>
      <c r="B564" s="5" t="n">
        <v>0.057</v>
      </c>
      <c r="C564" s="5" t="n">
        <v>0.057</v>
      </c>
      <c r="D564" s="5" t="n">
        <f aca="false">IF(AND(ISNUMBER(B564),ISNUMBER(C564)),C564-B564,"")</f>
        <v>0</v>
      </c>
      <c r="E564" s="4" t="s">
        <v>531</v>
      </c>
    </row>
    <row r="565" customFormat="false" ht="15" hidden="false" customHeight="false" outlineLevel="0" collapsed="false">
      <c r="A565" s="4" t="s">
        <v>1071</v>
      </c>
      <c r="B565" s="5" t="n">
        <v>0.071</v>
      </c>
      <c r="C565" s="5" t="n">
        <v>0.071</v>
      </c>
      <c r="D565" s="5" t="n">
        <f aca="false">IF(AND(ISNUMBER(B565),ISNUMBER(C565)),C565-B565,"")</f>
        <v>0</v>
      </c>
      <c r="E565" s="4" t="s">
        <v>531</v>
      </c>
    </row>
    <row r="566" customFormat="false" ht="15" hidden="false" customHeight="false" outlineLevel="0" collapsed="false">
      <c r="A566" s="4" t="s">
        <v>1072</v>
      </c>
      <c r="B566" s="5" t="n">
        <v>0.073</v>
      </c>
      <c r="C566" s="5" t="n">
        <v>0.073</v>
      </c>
      <c r="D566" s="5" t="n">
        <f aca="false">IF(AND(ISNUMBER(B566),ISNUMBER(C566)),C566-B566,"")</f>
        <v>0</v>
      </c>
      <c r="E566" s="4" t="s">
        <v>531</v>
      </c>
    </row>
    <row r="567" customFormat="false" ht="15" hidden="false" customHeight="false" outlineLevel="0" collapsed="false">
      <c r="A567" s="4" t="s">
        <v>1073</v>
      </c>
      <c r="B567" s="5" t="n">
        <v>0.149</v>
      </c>
      <c r="C567" s="5" t="n">
        <v>0.149</v>
      </c>
      <c r="D567" s="5" t="n">
        <f aca="false">IF(AND(ISNUMBER(B567),ISNUMBER(C567)),C567-B567,"")</f>
        <v>0</v>
      </c>
      <c r="E567" s="4" t="s">
        <v>531</v>
      </c>
    </row>
    <row r="568" customFormat="false" ht="15" hidden="false" customHeight="false" outlineLevel="0" collapsed="false">
      <c r="A568" s="4" t="s">
        <v>1074</v>
      </c>
      <c r="B568" s="5" t="n">
        <v>0.068</v>
      </c>
      <c r="C568" s="5" t="n">
        <v>0.068</v>
      </c>
      <c r="D568" s="5" t="n">
        <f aca="false">IF(AND(ISNUMBER(B568),ISNUMBER(C568)),C568-B568,"")</f>
        <v>0</v>
      </c>
      <c r="E568" s="4" t="s">
        <v>531</v>
      </c>
    </row>
    <row r="569" customFormat="false" ht="15" hidden="false" customHeight="false" outlineLevel="0" collapsed="false">
      <c r="A569" s="4" t="s">
        <v>1075</v>
      </c>
      <c r="B569" s="5" t="n">
        <v>0.066</v>
      </c>
      <c r="C569" s="5" t="n">
        <v>0.066</v>
      </c>
      <c r="D569" s="5" t="n">
        <f aca="false">IF(AND(ISNUMBER(B569),ISNUMBER(C569)),C569-B569,"")</f>
        <v>0</v>
      </c>
      <c r="E569" s="4" t="s">
        <v>531</v>
      </c>
    </row>
    <row r="570" customFormat="false" ht="15" hidden="false" customHeight="false" outlineLevel="0" collapsed="false">
      <c r="A570" s="4" t="s">
        <v>1076</v>
      </c>
      <c r="B570" s="5" t="n">
        <v>0.017</v>
      </c>
      <c r="C570" s="5" t="n">
        <v>0.017</v>
      </c>
      <c r="D570" s="5" t="n">
        <f aca="false">IF(AND(ISNUMBER(B570),ISNUMBER(C570)),C570-B570,"")</f>
        <v>0</v>
      </c>
      <c r="E570" s="4" t="s">
        <v>531</v>
      </c>
    </row>
    <row r="571" customFormat="false" ht="15" hidden="false" customHeight="false" outlineLevel="0" collapsed="false">
      <c r="A571" s="4" t="s">
        <v>1077</v>
      </c>
      <c r="B571" s="5" t="s">
        <v>27</v>
      </c>
      <c r="C571" s="5" t="s">
        <v>27</v>
      </c>
      <c r="D571" s="5" t="str">
        <f aca="false">IF(AND(ISNUMBER(B571),ISNUMBER(C571)),C571-B571,"")</f>
        <v/>
      </c>
      <c r="E571" s="4" t="s">
        <v>531</v>
      </c>
    </row>
    <row r="572" customFormat="false" ht="15" hidden="false" customHeight="false" outlineLevel="0" collapsed="false">
      <c r="A572" s="4" t="s">
        <v>1078</v>
      </c>
      <c r="B572" s="5" t="s">
        <v>27</v>
      </c>
      <c r="C572" s="5" t="s">
        <v>27</v>
      </c>
      <c r="D572" s="5" t="str">
        <f aca="false">IF(AND(ISNUMBER(B572),ISNUMBER(C572)),C572-B572,"")</f>
        <v/>
      </c>
      <c r="E572" s="4" t="s">
        <v>531</v>
      </c>
    </row>
    <row r="573" customFormat="false" ht="15" hidden="false" customHeight="false" outlineLevel="0" collapsed="false">
      <c r="A573" s="4" t="s">
        <v>1079</v>
      </c>
      <c r="B573" s="5" t="n">
        <v>0.27</v>
      </c>
      <c r="C573" s="5" t="n">
        <v>0.27</v>
      </c>
      <c r="D573" s="5" t="n">
        <f aca="false">IF(AND(ISNUMBER(B573),ISNUMBER(C573)),C573-B573,"")</f>
        <v>0</v>
      </c>
      <c r="E573" s="4" t="s">
        <v>531</v>
      </c>
    </row>
    <row r="574" customFormat="false" ht="15" hidden="false" customHeight="false" outlineLevel="0" collapsed="false">
      <c r="A574" s="4" t="s">
        <v>1080</v>
      </c>
      <c r="B574" s="5" t="n">
        <v>0.161</v>
      </c>
      <c r="C574" s="5" t="n">
        <v>0.161</v>
      </c>
      <c r="D574" s="5" t="n">
        <f aca="false">IF(AND(ISNUMBER(B574),ISNUMBER(C574)),C574-B574,"")</f>
        <v>0</v>
      </c>
      <c r="E574" s="4" t="s">
        <v>531</v>
      </c>
    </row>
    <row r="575" customFormat="false" ht="15" hidden="false" customHeight="false" outlineLevel="0" collapsed="false">
      <c r="A575" s="4" t="s">
        <v>1081</v>
      </c>
      <c r="B575" s="5" t="n">
        <v>-0.211</v>
      </c>
      <c r="C575" s="5" t="n">
        <v>-0.211</v>
      </c>
      <c r="D575" s="5" t="n">
        <f aca="false">IF(AND(ISNUMBER(B575),ISNUMBER(C575)),C575-B575,"")</f>
        <v>0</v>
      </c>
      <c r="E575" s="4" t="s">
        <v>531</v>
      </c>
    </row>
    <row r="576" customFormat="false" ht="15" hidden="false" customHeight="false" outlineLevel="0" collapsed="false">
      <c r="A576" s="4" t="s">
        <v>1082</v>
      </c>
      <c r="B576" s="5" t="n">
        <v>-0.248</v>
      </c>
      <c r="C576" s="5" t="n">
        <v>-0.248</v>
      </c>
      <c r="D576" s="5" t="n">
        <f aca="false">IF(AND(ISNUMBER(B576),ISNUMBER(C576)),C576-B576,"")</f>
        <v>0</v>
      </c>
      <c r="E576" s="4" t="s">
        <v>531</v>
      </c>
    </row>
    <row r="577" customFormat="false" ht="15" hidden="false" customHeight="false" outlineLevel="0" collapsed="false">
      <c r="A577" s="4" t="s">
        <v>1083</v>
      </c>
      <c r="B577" s="5" t="n">
        <v>-0.246</v>
      </c>
      <c r="C577" s="5" t="n">
        <v>-0.246</v>
      </c>
      <c r="D577" s="5" t="n">
        <f aca="false">IF(AND(ISNUMBER(B577),ISNUMBER(C577)),C577-B577,"")</f>
        <v>0</v>
      </c>
      <c r="E577" s="4" t="s">
        <v>531</v>
      </c>
    </row>
    <row r="578" customFormat="false" ht="15" hidden="false" customHeight="false" outlineLevel="0" collapsed="false">
      <c r="A578" s="4" t="s">
        <v>1084</v>
      </c>
      <c r="B578" s="5" t="s">
        <v>27</v>
      </c>
      <c r="C578" s="5" t="s">
        <v>27</v>
      </c>
      <c r="D578" s="5" t="str">
        <f aca="false">IF(AND(ISNUMBER(B578),ISNUMBER(C578)),C578-B578,"")</f>
        <v/>
      </c>
      <c r="E578" s="4" t="s">
        <v>531</v>
      </c>
    </row>
    <row r="579" customFormat="false" ht="15" hidden="false" customHeight="false" outlineLevel="0" collapsed="false">
      <c r="A579" s="4" t="s">
        <v>1085</v>
      </c>
      <c r="B579" s="5" t="s">
        <v>27</v>
      </c>
      <c r="C579" s="5" t="s">
        <v>27</v>
      </c>
      <c r="D579" s="5" t="str">
        <f aca="false">IF(AND(ISNUMBER(B579),ISNUMBER(C579)),C579-B579,"")</f>
        <v/>
      </c>
      <c r="E579" s="4" t="s">
        <v>531</v>
      </c>
    </row>
    <row r="580" customFormat="false" ht="15" hidden="false" customHeight="false" outlineLevel="0" collapsed="false">
      <c r="A580" s="4" t="s">
        <v>1086</v>
      </c>
      <c r="B580" s="5" t="n">
        <v>0.01</v>
      </c>
      <c r="C580" s="5" t="n">
        <v>0.01</v>
      </c>
      <c r="D580" s="5" t="n">
        <f aca="false">IF(AND(ISNUMBER(B580),ISNUMBER(C580)),C580-B580,"")</f>
        <v>0</v>
      </c>
      <c r="E580" s="4" t="s">
        <v>531</v>
      </c>
    </row>
    <row r="581" customFormat="false" ht="15" hidden="false" customHeight="false" outlineLevel="0" collapsed="false">
      <c r="A581" s="4" t="s">
        <v>1087</v>
      </c>
      <c r="B581" s="5" t="n">
        <v>0</v>
      </c>
      <c r="C581" s="5" t="n">
        <v>0</v>
      </c>
      <c r="D581" s="5" t="n">
        <f aca="false">IF(AND(ISNUMBER(B581),ISNUMBER(C581)),C581-B581,"")</f>
        <v>0</v>
      </c>
      <c r="E581" s="4" t="s">
        <v>531</v>
      </c>
    </row>
    <row r="582" customFormat="false" ht="15" hidden="false" customHeight="false" outlineLevel="0" collapsed="false">
      <c r="A582" s="4" t="s">
        <v>1088</v>
      </c>
      <c r="B582" s="5" t="n">
        <v>-0.004</v>
      </c>
      <c r="C582" s="5" t="n">
        <v>-0.004</v>
      </c>
      <c r="D582" s="5" t="n">
        <f aca="false">IF(AND(ISNUMBER(B582),ISNUMBER(C582)),C582-B582,"")</f>
        <v>0</v>
      </c>
      <c r="E582" s="4" t="s">
        <v>531</v>
      </c>
    </row>
    <row r="583" customFormat="false" ht="23.85" hidden="false" customHeight="false" outlineLevel="0" collapsed="false">
      <c r="A583" s="4" t="s">
        <v>1089</v>
      </c>
      <c r="B583" s="5" t="n">
        <v>0.001</v>
      </c>
      <c r="C583" s="5" t="n">
        <v>0.001</v>
      </c>
      <c r="D583" s="5" t="n">
        <f aca="false">IF(AND(ISNUMBER(B583),ISNUMBER(C583)),C583-B583,"")</f>
        <v>0</v>
      </c>
      <c r="E583" s="4" t="s">
        <v>531</v>
      </c>
    </row>
    <row r="584" customFormat="false" ht="23.85" hidden="false" customHeight="false" outlineLevel="0" collapsed="false">
      <c r="A584" s="4" t="s">
        <v>1090</v>
      </c>
      <c r="B584" s="5" t="n">
        <v>-0.005</v>
      </c>
      <c r="C584" s="5" t="n">
        <v>-0.005</v>
      </c>
      <c r="D584" s="5" t="n">
        <f aca="false">IF(AND(ISNUMBER(B584),ISNUMBER(C584)),C584-B584,"")</f>
        <v>0</v>
      </c>
      <c r="E584" s="4" t="s">
        <v>531</v>
      </c>
    </row>
    <row r="585" customFormat="false" ht="15" hidden="false" customHeight="false" outlineLevel="0" collapsed="false">
      <c r="A585" s="4" t="s">
        <v>1091</v>
      </c>
      <c r="B585" s="5" t="s">
        <v>27</v>
      </c>
      <c r="C585" s="5" t="s">
        <v>27</v>
      </c>
      <c r="D585" s="5" t="str">
        <f aca="false">IF(AND(ISNUMBER(B585),ISNUMBER(C585)),C585-B585,"")</f>
        <v/>
      </c>
      <c r="E585" s="4" t="s">
        <v>531</v>
      </c>
    </row>
    <row r="586" customFormat="false" ht="15" hidden="false" customHeight="false" outlineLevel="0" collapsed="false">
      <c r="A586" s="4" t="s">
        <v>1092</v>
      </c>
      <c r="B586" s="5" t="s">
        <v>27</v>
      </c>
      <c r="C586" s="5" t="s">
        <v>27</v>
      </c>
      <c r="D586" s="5" t="str">
        <f aca="false">IF(AND(ISNUMBER(B586),ISNUMBER(C586)),C586-B586,"")</f>
        <v/>
      </c>
      <c r="E586" s="4" t="s">
        <v>531</v>
      </c>
    </row>
    <row r="587" customFormat="false" ht="15" hidden="false" customHeight="false" outlineLevel="0" collapsed="false">
      <c r="A587" s="4" t="s">
        <v>1093</v>
      </c>
      <c r="B587" s="5" t="n">
        <v>0.086</v>
      </c>
      <c r="C587" s="5" t="n">
        <v>0.086</v>
      </c>
      <c r="D587" s="5" t="n">
        <f aca="false">IF(AND(ISNUMBER(B587),ISNUMBER(C587)),C587-B587,"")</f>
        <v>0</v>
      </c>
      <c r="E587" s="4" t="s">
        <v>531</v>
      </c>
    </row>
    <row r="588" customFormat="false" ht="15" hidden="false" customHeight="false" outlineLevel="0" collapsed="false">
      <c r="A588" s="4" t="s">
        <v>1094</v>
      </c>
      <c r="B588" s="5" t="n">
        <v>0</v>
      </c>
      <c r="C588" s="5" t="n">
        <v>0</v>
      </c>
      <c r="D588" s="5" t="n">
        <f aca="false">IF(AND(ISNUMBER(B588),ISNUMBER(C588)),C588-B588,"")</f>
        <v>0</v>
      </c>
      <c r="E588" s="4" t="s">
        <v>531</v>
      </c>
    </row>
    <row r="589" customFormat="false" ht="23.85" hidden="false" customHeight="false" outlineLevel="0" collapsed="false">
      <c r="A589" s="4" t="s">
        <v>1095</v>
      </c>
      <c r="B589" s="5" t="n">
        <v>-0.042</v>
      </c>
      <c r="C589" s="5" t="n">
        <v>-0.042</v>
      </c>
      <c r="D589" s="5" t="n">
        <f aca="false">IF(AND(ISNUMBER(B589),ISNUMBER(C589)),C589-B589,"")</f>
        <v>0</v>
      </c>
      <c r="E589" s="4" t="s">
        <v>531</v>
      </c>
    </row>
    <row r="590" customFormat="false" ht="23.85" hidden="false" customHeight="false" outlineLevel="0" collapsed="false">
      <c r="A590" s="4" t="s">
        <v>1096</v>
      </c>
      <c r="B590" s="5" t="n">
        <v>-0.04</v>
      </c>
      <c r="C590" s="5" t="n">
        <v>-0.04</v>
      </c>
      <c r="D590" s="5" t="n">
        <f aca="false">IF(AND(ISNUMBER(B590),ISNUMBER(C590)),C590-B590,"")</f>
        <v>0</v>
      </c>
      <c r="E590" s="4" t="s">
        <v>531</v>
      </c>
    </row>
    <row r="591" customFormat="false" ht="23.85" hidden="false" customHeight="false" outlineLevel="0" collapsed="false">
      <c r="A591" s="4" t="s">
        <v>1097</v>
      </c>
      <c r="B591" s="5" t="n">
        <v>-0.07</v>
      </c>
      <c r="C591" s="5" t="n">
        <v>-0.07</v>
      </c>
      <c r="D591" s="5" t="n">
        <f aca="false">IF(AND(ISNUMBER(B591),ISNUMBER(C591)),C591-B591,"")</f>
        <v>0</v>
      </c>
      <c r="E591" s="4" t="s">
        <v>531</v>
      </c>
    </row>
    <row r="592" customFormat="false" ht="15" hidden="false" customHeight="false" outlineLevel="0" collapsed="false">
      <c r="A592" s="4" t="s">
        <v>1098</v>
      </c>
      <c r="B592" s="5" t="n">
        <v>-0.917</v>
      </c>
      <c r="C592" s="5" t="n">
        <v>-0.917</v>
      </c>
      <c r="D592" s="5" t="n">
        <f aca="false">IF(AND(ISNUMBER(B592),ISNUMBER(C592)),C592-B592,"")</f>
        <v>0</v>
      </c>
      <c r="E592" s="4" t="s">
        <v>531</v>
      </c>
    </row>
    <row r="593" customFormat="false" ht="15" hidden="false" customHeight="false" outlineLevel="0" collapsed="false">
      <c r="A593" s="4" t="s">
        <v>1099</v>
      </c>
      <c r="B593" s="5" t="n">
        <v>5.88</v>
      </c>
      <c r="C593" s="5" t="n">
        <v>5.88</v>
      </c>
      <c r="D593" s="5" t="n">
        <f aca="false">IF(AND(ISNUMBER(B593),ISNUMBER(C593)),C593-B593,"")</f>
        <v>0</v>
      </c>
      <c r="E593" s="4" t="s">
        <v>531</v>
      </c>
    </row>
    <row r="594" customFormat="false" ht="15" hidden="false" customHeight="false" outlineLevel="0" collapsed="false">
      <c r="A594" s="4" t="s">
        <v>1100</v>
      </c>
      <c r="B594" s="5" t="n">
        <v>0.117</v>
      </c>
      <c r="C594" s="5" t="n">
        <v>0.117</v>
      </c>
      <c r="D594" s="5" t="n">
        <f aca="false">IF(AND(ISNUMBER(B594),ISNUMBER(C594)),C594-B594,"")</f>
        <v>0</v>
      </c>
      <c r="E594" s="4" t="s">
        <v>531</v>
      </c>
    </row>
    <row r="595" customFormat="false" ht="15" hidden="false" customHeight="false" outlineLevel="0" collapsed="false">
      <c r="A595" s="4" t="s">
        <v>1101</v>
      </c>
      <c r="B595" s="5" t="n">
        <v>0</v>
      </c>
      <c r="C595" s="5" t="n">
        <v>0</v>
      </c>
      <c r="D595" s="5" t="n">
        <f aca="false">IF(AND(ISNUMBER(B595),ISNUMBER(C595)),C595-B595,"")</f>
        <v>0</v>
      </c>
      <c r="E595" s="4" t="s">
        <v>531</v>
      </c>
    </row>
    <row r="596" customFormat="false" ht="23.85" hidden="false" customHeight="false" outlineLevel="0" collapsed="false">
      <c r="A596" s="4" t="s">
        <v>1102</v>
      </c>
      <c r="B596" s="5" t="n">
        <v>-0.472</v>
      </c>
      <c r="C596" s="5" t="n">
        <v>-0.472</v>
      </c>
      <c r="D596" s="5" t="n">
        <f aca="false">IF(AND(ISNUMBER(B596),ISNUMBER(C596)),C596-B596,"")</f>
        <v>0</v>
      </c>
      <c r="E596" s="4" t="s">
        <v>531</v>
      </c>
    </row>
    <row r="597" customFormat="false" ht="23.85" hidden="false" customHeight="false" outlineLevel="0" collapsed="false">
      <c r="A597" s="4" t="s">
        <v>1103</v>
      </c>
      <c r="B597" s="5" t="n">
        <v>-0.727</v>
      </c>
      <c r="C597" s="5" t="n">
        <v>-0.727</v>
      </c>
      <c r="D597" s="5" t="n">
        <f aca="false">IF(AND(ISNUMBER(B597),ISNUMBER(C597)),C597-B597,"")</f>
        <v>0</v>
      </c>
      <c r="E597" s="4" t="s">
        <v>531</v>
      </c>
    </row>
    <row r="598" customFormat="false" ht="23.85" hidden="false" customHeight="false" outlineLevel="0" collapsed="false">
      <c r="A598" s="4" t="s">
        <v>1104</v>
      </c>
      <c r="B598" s="5" t="n">
        <v>-0.782</v>
      </c>
      <c r="C598" s="5" t="n">
        <v>-0.782</v>
      </c>
      <c r="D598" s="5" t="n">
        <f aca="false">IF(AND(ISNUMBER(B598),ISNUMBER(C598)),C598-B598,"")</f>
        <v>0</v>
      </c>
      <c r="E598" s="4" t="s">
        <v>531</v>
      </c>
    </row>
    <row r="599" customFormat="false" ht="15" hidden="false" customHeight="false" outlineLevel="0" collapsed="false">
      <c r="A599" s="4" t="s">
        <v>1105</v>
      </c>
      <c r="B599" s="5" t="s">
        <v>27</v>
      </c>
      <c r="C599" s="5" t="s">
        <v>27</v>
      </c>
      <c r="D599" s="5" t="str">
        <f aca="false">IF(AND(ISNUMBER(B599),ISNUMBER(C599)),C599-B599,"")</f>
        <v/>
      </c>
      <c r="E599" s="4" t="s">
        <v>531</v>
      </c>
    </row>
    <row r="600" customFormat="false" ht="15" hidden="false" customHeight="false" outlineLevel="0" collapsed="false">
      <c r="A600" s="4" t="s">
        <v>1106</v>
      </c>
      <c r="B600" s="5" t="s">
        <v>27</v>
      </c>
      <c r="C600" s="5" t="s">
        <v>27</v>
      </c>
      <c r="D600" s="5" t="str">
        <f aca="false">IF(AND(ISNUMBER(B600),ISNUMBER(C600)),C600-B600,"")</f>
        <v/>
      </c>
      <c r="E600" s="4" t="s">
        <v>531</v>
      </c>
    </row>
    <row r="601" customFormat="false" ht="15" hidden="false" customHeight="false" outlineLevel="0" collapsed="false">
      <c r="A601" s="4" t="s">
        <v>1107</v>
      </c>
      <c r="B601" s="5" t="n">
        <v>0.066</v>
      </c>
      <c r="C601" s="5" t="n">
        <v>0.066</v>
      </c>
      <c r="D601" s="5" t="n">
        <f aca="false">IF(AND(ISNUMBER(B601),ISNUMBER(C601)),C601-B601,"")</f>
        <v>0</v>
      </c>
      <c r="E601" s="4" t="s">
        <v>531</v>
      </c>
    </row>
    <row r="602" customFormat="false" ht="15" hidden="false" customHeight="false" outlineLevel="0" collapsed="false">
      <c r="A602" s="4" t="s">
        <v>1108</v>
      </c>
      <c r="B602" s="5" t="n">
        <v>0</v>
      </c>
      <c r="C602" s="5" t="n">
        <v>0</v>
      </c>
      <c r="D602" s="5" t="n">
        <f aca="false">IF(AND(ISNUMBER(B602),ISNUMBER(C602)),C602-B602,"")</f>
        <v>0</v>
      </c>
      <c r="E602" s="4" t="s">
        <v>531</v>
      </c>
    </row>
    <row r="603" customFormat="false" ht="15" hidden="false" customHeight="false" outlineLevel="0" collapsed="false">
      <c r="A603" s="4" t="s">
        <v>1109</v>
      </c>
      <c r="B603" s="5" t="n">
        <v>-0.002</v>
      </c>
      <c r="C603" s="5" t="n">
        <v>-0.002</v>
      </c>
      <c r="D603" s="5" t="n">
        <f aca="false">IF(AND(ISNUMBER(B603),ISNUMBER(C603)),C603-B603,"")</f>
        <v>0</v>
      </c>
      <c r="E603" s="4" t="s">
        <v>531</v>
      </c>
    </row>
    <row r="604" customFormat="false" ht="15" hidden="false" customHeight="false" outlineLevel="0" collapsed="false">
      <c r="A604" s="4" t="s">
        <v>1110</v>
      </c>
      <c r="B604" s="5" t="n">
        <v>0.048</v>
      </c>
      <c r="C604" s="5" t="n">
        <v>0.048</v>
      </c>
      <c r="D604" s="5" t="n">
        <f aca="false">IF(AND(ISNUMBER(B604),ISNUMBER(C604)),C604-B604,"")</f>
        <v>0</v>
      </c>
      <c r="E604" s="4" t="s">
        <v>531</v>
      </c>
    </row>
    <row r="605" customFormat="false" ht="15" hidden="false" customHeight="false" outlineLevel="0" collapsed="false">
      <c r="A605" s="4" t="s">
        <v>1111</v>
      </c>
      <c r="B605" s="5" t="n">
        <v>0.068</v>
      </c>
      <c r="C605" s="5" t="n">
        <v>0.068</v>
      </c>
      <c r="D605" s="5" t="n">
        <f aca="false">IF(AND(ISNUMBER(B605),ISNUMBER(C605)),C605-B605,"")</f>
        <v>0</v>
      </c>
      <c r="E605" s="4" t="s">
        <v>531</v>
      </c>
    </row>
    <row r="606" customFormat="false" ht="15" hidden="false" customHeight="false" outlineLevel="0" collapsed="false">
      <c r="A606" s="4" t="s">
        <v>1112</v>
      </c>
      <c r="B606" s="5" t="s">
        <v>27</v>
      </c>
      <c r="C606" s="5" t="s">
        <v>27</v>
      </c>
      <c r="D606" s="5" t="str">
        <f aca="false">IF(AND(ISNUMBER(B606),ISNUMBER(C606)),C606-B606,"")</f>
        <v/>
      </c>
      <c r="E606" s="4" t="s">
        <v>531</v>
      </c>
    </row>
    <row r="607" customFormat="false" ht="15" hidden="false" customHeight="false" outlineLevel="0" collapsed="false">
      <c r="A607" s="4" t="s">
        <v>1113</v>
      </c>
      <c r="B607" s="5" t="s">
        <v>27</v>
      </c>
      <c r="C607" s="5" t="s">
        <v>27</v>
      </c>
      <c r="D607" s="5" t="str">
        <f aca="false">IF(AND(ISNUMBER(B607),ISNUMBER(C607)),C607-B607,"")</f>
        <v/>
      </c>
      <c r="E607" s="4" t="s">
        <v>531</v>
      </c>
    </row>
    <row r="608" customFormat="false" ht="15" hidden="false" customHeight="false" outlineLevel="0" collapsed="false">
      <c r="A608" s="4" t="s">
        <v>1114</v>
      </c>
      <c r="B608" s="5" t="n">
        <v>0.121</v>
      </c>
      <c r="C608" s="5" t="n">
        <v>0.121</v>
      </c>
      <c r="D608" s="5" t="n">
        <f aca="false">IF(AND(ISNUMBER(B608),ISNUMBER(C608)),C608-B608,"")</f>
        <v>0</v>
      </c>
      <c r="E608" s="4" t="s">
        <v>531</v>
      </c>
    </row>
    <row r="609" customFormat="false" ht="15" hidden="false" customHeight="false" outlineLevel="0" collapsed="false">
      <c r="A609" s="4" t="s">
        <v>1115</v>
      </c>
      <c r="B609" s="5" t="n">
        <v>0</v>
      </c>
      <c r="C609" s="5" t="n">
        <v>0</v>
      </c>
      <c r="D609" s="5" t="n">
        <f aca="false">IF(AND(ISNUMBER(B609),ISNUMBER(C609)),C609-B609,"")</f>
        <v>0</v>
      </c>
      <c r="E609" s="4" t="s">
        <v>531</v>
      </c>
    </row>
    <row r="610" customFormat="false" ht="23.85" hidden="false" customHeight="false" outlineLevel="0" collapsed="false">
      <c r="A610" s="4" t="s">
        <v>1116</v>
      </c>
      <c r="B610" s="5" t="n">
        <v>0.114</v>
      </c>
      <c r="C610" s="5" t="n">
        <v>0.114</v>
      </c>
      <c r="D610" s="5" t="n">
        <f aca="false">IF(AND(ISNUMBER(B610),ISNUMBER(C610)),C610-B610,"")</f>
        <v>0</v>
      </c>
      <c r="E610" s="4" t="s">
        <v>531</v>
      </c>
    </row>
    <row r="611" customFormat="false" ht="23.85" hidden="false" customHeight="false" outlineLevel="0" collapsed="false">
      <c r="A611" s="4" t="s">
        <v>1117</v>
      </c>
      <c r="B611" s="5" t="n">
        <v>0.129</v>
      </c>
      <c r="C611" s="5" t="n">
        <v>0.129</v>
      </c>
      <c r="D611" s="5" t="n">
        <f aca="false">IF(AND(ISNUMBER(B611),ISNUMBER(C611)),C611-B611,"")</f>
        <v>0</v>
      </c>
      <c r="E611" s="4" t="s">
        <v>531</v>
      </c>
    </row>
    <row r="612" customFormat="false" ht="23.85" hidden="false" customHeight="false" outlineLevel="0" collapsed="false">
      <c r="A612" s="4" t="s">
        <v>1118</v>
      </c>
      <c r="B612" s="5" t="n">
        <v>0.133</v>
      </c>
      <c r="C612" s="5" t="n">
        <v>0.133</v>
      </c>
      <c r="D612" s="5" t="n">
        <f aca="false">IF(AND(ISNUMBER(B612),ISNUMBER(C612)),C612-B612,"")</f>
        <v>0</v>
      </c>
      <c r="E612" s="4" t="s">
        <v>531</v>
      </c>
    </row>
    <row r="613" customFormat="false" ht="15" hidden="false" customHeight="false" outlineLevel="0" collapsed="false">
      <c r="A613" s="4" t="s">
        <v>1119</v>
      </c>
      <c r="B613" s="5" t="s">
        <v>27</v>
      </c>
      <c r="C613" s="5" t="s">
        <v>27</v>
      </c>
      <c r="D613" s="5" t="str">
        <f aca="false">IF(AND(ISNUMBER(B613),ISNUMBER(C613)),C613-B613,"")</f>
        <v/>
      </c>
      <c r="E613" s="4" t="s">
        <v>531</v>
      </c>
    </row>
    <row r="614" customFormat="false" ht="15" hidden="false" customHeight="false" outlineLevel="0" collapsed="false">
      <c r="A614" s="4" t="s">
        <v>1120</v>
      </c>
      <c r="B614" s="5" t="s">
        <v>27</v>
      </c>
      <c r="C614" s="5" t="s">
        <v>27</v>
      </c>
      <c r="D614" s="5" t="str">
        <f aca="false">IF(AND(ISNUMBER(B614),ISNUMBER(C614)),C614-B614,"")</f>
        <v/>
      </c>
      <c r="E614" s="4" t="s">
        <v>531</v>
      </c>
    </row>
    <row r="615" customFormat="false" ht="15" hidden="false" customHeight="false" outlineLevel="0" collapsed="false">
      <c r="A615" s="4" t="s">
        <v>1121</v>
      </c>
      <c r="B615" s="5" t="n">
        <v>0.14</v>
      </c>
      <c r="C615" s="5" t="n">
        <v>0.14</v>
      </c>
      <c r="D615" s="5" t="n">
        <f aca="false">IF(AND(ISNUMBER(B615),ISNUMBER(C615)),C615-B615,"")</f>
        <v>0</v>
      </c>
      <c r="E615" s="4" t="s">
        <v>531</v>
      </c>
    </row>
    <row r="616" customFormat="false" ht="15" hidden="false" customHeight="false" outlineLevel="0" collapsed="false">
      <c r="A616" s="4" t="s">
        <v>1122</v>
      </c>
      <c r="B616" s="5" t="n">
        <v>0.011</v>
      </c>
      <c r="C616" s="5" t="n">
        <v>0.011</v>
      </c>
      <c r="D616" s="5" t="n">
        <f aca="false">IF(AND(ISNUMBER(B616),ISNUMBER(C616)),C616-B616,"")</f>
        <v>0</v>
      </c>
      <c r="E616" s="4" t="s">
        <v>531</v>
      </c>
    </row>
    <row r="617" customFormat="false" ht="23.85" hidden="false" customHeight="false" outlineLevel="0" collapsed="false">
      <c r="A617" s="4" t="s">
        <v>1123</v>
      </c>
      <c r="B617" s="5" t="n">
        <v>-0.096</v>
      </c>
      <c r="C617" s="5" t="n">
        <v>-0.096</v>
      </c>
      <c r="D617" s="5" t="n">
        <f aca="false">IF(AND(ISNUMBER(B617),ISNUMBER(C617)),C617-B617,"")</f>
        <v>0</v>
      </c>
      <c r="E617" s="4" t="s">
        <v>531</v>
      </c>
    </row>
    <row r="618" customFormat="false" ht="23.85" hidden="false" customHeight="false" outlineLevel="0" collapsed="false">
      <c r="A618" s="4" t="s">
        <v>1124</v>
      </c>
      <c r="B618" s="5" t="n">
        <v>-0.126</v>
      </c>
      <c r="C618" s="5" t="n">
        <v>-0.126</v>
      </c>
      <c r="D618" s="5" t="n">
        <f aca="false">IF(AND(ISNUMBER(B618),ISNUMBER(C618)),C618-B618,"")</f>
        <v>0</v>
      </c>
      <c r="E618" s="4" t="s">
        <v>531</v>
      </c>
    </row>
    <row r="619" customFormat="false" ht="23.85" hidden="false" customHeight="false" outlineLevel="0" collapsed="false">
      <c r="A619" s="4" t="s">
        <v>1125</v>
      </c>
      <c r="B619" s="5" t="n">
        <v>-0.127</v>
      </c>
      <c r="C619" s="5" t="n">
        <v>-0.127</v>
      </c>
      <c r="D619" s="5" t="n">
        <f aca="false">IF(AND(ISNUMBER(B619),ISNUMBER(C619)),C619-B619,"")</f>
        <v>0</v>
      </c>
      <c r="E619" s="4" t="s">
        <v>531</v>
      </c>
    </row>
    <row r="620" customFormat="false" ht="15" hidden="false" customHeight="false" outlineLevel="0" collapsed="false">
      <c r="A620" s="4" t="s">
        <v>1126</v>
      </c>
      <c r="B620" s="5" t="s">
        <v>27</v>
      </c>
      <c r="C620" s="5" t="s">
        <v>27</v>
      </c>
      <c r="D620" s="5" t="str">
        <f aca="false">IF(AND(ISNUMBER(B620),ISNUMBER(C620)),C620-B620,"")</f>
        <v/>
      </c>
      <c r="E620" s="4" t="s">
        <v>531</v>
      </c>
    </row>
    <row r="621" customFormat="false" ht="15" hidden="false" customHeight="false" outlineLevel="0" collapsed="false">
      <c r="A621" s="4" t="s">
        <v>1127</v>
      </c>
      <c r="B621" s="5" t="s">
        <v>27</v>
      </c>
      <c r="C621" s="5" t="s">
        <v>27</v>
      </c>
      <c r="D621" s="5" t="str">
        <f aca="false">IF(AND(ISNUMBER(B621),ISNUMBER(C621)),C621-B621,"")</f>
        <v/>
      </c>
      <c r="E621" s="4" t="s">
        <v>531</v>
      </c>
    </row>
    <row r="622" customFormat="false" ht="15" hidden="false" customHeight="false" outlineLevel="0" collapsed="false">
      <c r="A622" s="4" t="s">
        <v>1128</v>
      </c>
      <c r="B622" s="5" t="n">
        <v>0.01</v>
      </c>
      <c r="C622" s="5" t="n">
        <v>0.01</v>
      </c>
      <c r="D622" s="5" t="n">
        <f aca="false">IF(AND(ISNUMBER(B622),ISNUMBER(C622)),C622-B622,"")</f>
        <v>0</v>
      </c>
      <c r="E622" s="4" t="s">
        <v>531</v>
      </c>
    </row>
    <row r="623" customFormat="false" ht="15" hidden="false" customHeight="false" outlineLevel="0" collapsed="false">
      <c r="A623" s="4" t="s">
        <v>1129</v>
      </c>
      <c r="B623" s="5" t="n">
        <v>0</v>
      </c>
      <c r="C623" s="5" t="n">
        <v>0</v>
      </c>
      <c r="D623" s="5" t="n">
        <f aca="false">IF(AND(ISNUMBER(B623),ISNUMBER(C623)),C623-B623,"")</f>
        <v>0</v>
      </c>
      <c r="E623" s="4" t="s">
        <v>531</v>
      </c>
    </row>
    <row r="624" customFormat="false" ht="15" hidden="false" customHeight="false" outlineLevel="0" collapsed="false">
      <c r="A624" s="4" t="s">
        <v>1130</v>
      </c>
      <c r="B624" s="5" t="n">
        <v>0.019</v>
      </c>
      <c r="C624" s="5" t="n">
        <v>0.019</v>
      </c>
      <c r="D624" s="5" t="n">
        <f aca="false">IF(AND(ISNUMBER(B624),ISNUMBER(C624)),C624-B624,"")</f>
        <v>0</v>
      </c>
      <c r="E624" s="4" t="s">
        <v>531</v>
      </c>
    </row>
    <row r="625" customFormat="false" ht="15" hidden="false" customHeight="false" outlineLevel="0" collapsed="false">
      <c r="A625" s="4" t="s">
        <v>1131</v>
      </c>
      <c r="B625" s="5" t="n">
        <v>-0.01</v>
      </c>
      <c r="C625" s="5" t="n">
        <v>-0.01</v>
      </c>
      <c r="D625" s="5" t="n">
        <f aca="false">IF(AND(ISNUMBER(B625),ISNUMBER(C625)),C625-B625,"")</f>
        <v>0</v>
      </c>
      <c r="E625" s="4" t="s">
        <v>531</v>
      </c>
    </row>
    <row r="626" customFormat="false" ht="15" hidden="false" customHeight="false" outlineLevel="0" collapsed="false">
      <c r="A626" s="4" t="s">
        <v>1132</v>
      </c>
      <c r="B626" s="5" t="n">
        <v>0.008</v>
      </c>
      <c r="C626" s="5" t="n">
        <v>0.008</v>
      </c>
      <c r="D626" s="5" t="n">
        <f aca="false">IF(AND(ISNUMBER(B626),ISNUMBER(C626)),C626-B626,"")</f>
        <v>0</v>
      </c>
      <c r="E626" s="4" t="s">
        <v>531</v>
      </c>
    </row>
    <row r="627" customFormat="false" ht="15" hidden="false" customHeight="false" outlineLevel="0" collapsed="false">
      <c r="A627" s="4" t="s">
        <v>1133</v>
      </c>
      <c r="B627" s="5" t="s">
        <v>27</v>
      </c>
      <c r="C627" s="5" t="s">
        <v>27</v>
      </c>
      <c r="D627" s="5" t="str">
        <f aca="false">IF(AND(ISNUMBER(B627),ISNUMBER(C627)),C627-B627,"")</f>
        <v/>
      </c>
      <c r="E627" s="4" t="s">
        <v>531</v>
      </c>
    </row>
    <row r="628" customFormat="false" ht="15" hidden="false" customHeight="false" outlineLevel="0" collapsed="false">
      <c r="A628" s="4" t="s">
        <v>1134</v>
      </c>
      <c r="B628" s="5" t="s">
        <v>27</v>
      </c>
      <c r="C628" s="5" t="s">
        <v>27</v>
      </c>
      <c r="D628" s="5" t="str">
        <f aca="false">IF(AND(ISNUMBER(B628),ISNUMBER(C628)),C628-B628,"")</f>
        <v/>
      </c>
      <c r="E628" s="4" t="s">
        <v>531</v>
      </c>
    </row>
    <row r="629" customFormat="false" ht="15" hidden="false" customHeight="false" outlineLevel="0" collapsed="false">
      <c r="A629" s="4" t="s">
        <v>1135</v>
      </c>
      <c r="B629" s="5" t="n">
        <v>0.169</v>
      </c>
      <c r="C629" s="5" t="n">
        <v>0.169</v>
      </c>
      <c r="D629" s="5" t="n">
        <f aca="false">IF(AND(ISNUMBER(B629),ISNUMBER(C629)),C629-B629,"")</f>
        <v>0</v>
      </c>
      <c r="E629" s="4" t="s">
        <v>531</v>
      </c>
    </row>
    <row r="630" customFormat="false" ht="15" hidden="false" customHeight="false" outlineLevel="0" collapsed="false">
      <c r="A630" s="4" t="s">
        <v>1136</v>
      </c>
      <c r="B630" s="5" t="n">
        <v>0.044</v>
      </c>
      <c r="C630" s="5" t="n">
        <v>0.044</v>
      </c>
      <c r="D630" s="5" t="n">
        <f aca="false">IF(AND(ISNUMBER(B630),ISNUMBER(C630)),C630-B630,"")</f>
        <v>0</v>
      </c>
      <c r="E630" s="4" t="s">
        <v>531</v>
      </c>
    </row>
    <row r="631" customFormat="false" ht="15" hidden="false" customHeight="false" outlineLevel="0" collapsed="false">
      <c r="A631" s="4" t="s">
        <v>1137</v>
      </c>
      <c r="B631" s="5" t="n">
        <v>-0.194</v>
      </c>
      <c r="C631" s="5" t="n">
        <v>-0.194</v>
      </c>
      <c r="D631" s="5" t="n">
        <f aca="false">IF(AND(ISNUMBER(B631),ISNUMBER(C631)),C631-B631,"")</f>
        <v>0</v>
      </c>
      <c r="E631" s="4" t="s">
        <v>531</v>
      </c>
    </row>
    <row r="632" customFormat="false" ht="15" hidden="false" customHeight="false" outlineLevel="0" collapsed="false">
      <c r="A632" s="4" t="s">
        <v>1138</v>
      </c>
      <c r="B632" s="5" t="n">
        <v>-0.199</v>
      </c>
      <c r="C632" s="5" t="n">
        <v>-0.199</v>
      </c>
      <c r="D632" s="5" t="n">
        <f aca="false">IF(AND(ISNUMBER(B632),ISNUMBER(C632)),C632-B632,"")</f>
        <v>0</v>
      </c>
      <c r="E632" s="4" t="s">
        <v>531</v>
      </c>
    </row>
    <row r="633" customFormat="false" ht="15" hidden="false" customHeight="false" outlineLevel="0" collapsed="false">
      <c r="A633" s="4" t="s">
        <v>1139</v>
      </c>
      <c r="B633" s="5" t="n">
        <v>-0.199</v>
      </c>
      <c r="C633" s="5" t="n">
        <v>-0.199</v>
      </c>
      <c r="D633" s="5" t="n">
        <f aca="false">IF(AND(ISNUMBER(B633),ISNUMBER(C633)),C633-B633,"")</f>
        <v>0</v>
      </c>
      <c r="E633" s="4" t="s">
        <v>531</v>
      </c>
    </row>
    <row r="634" customFormat="false" ht="15" hidden="false" customHeight="false" outlineLevel="0" collapsed="false">
      <c r="A634" s="4" t="s">
        <v>1140</v>
      </c>
      <c r="B634" s="5" t="s">
        <v>27</v>
      </c>
      <c r="C634" s="5" t="s">
        <v>27</v>
      </c>
      <c r="D634" s="5" t="str">
        <f aca="false">IF(AND(ISNUMBER(B634),ISNUMBER(C634)),C634-B634,"")</f>
        <v/>
      </c>
      <c r="E634" s="4" t="s">
        <v>531</v>
      </c>
    </row>
    <row r="635" customFormat="false" ht="15" hidden="false" customHeight="false" outlineLevel="0" collapsed="false">
      <c r="A635" s="4" t="s">
        <v>1141</v>
      </c>
      <c r="B635" s="5" t="s">
        <v>27</v>
      </c>
      <c r="C635" s="5" t="s">
        <v>27</v>
      </c>
      <c r="D635" s="5" t="str">
        <f aca="false">IF(AND(ISNUMBER(B635),ISNUMBER(C635)),C635-B635,"")</f>
        <v/>
      </c>
      <c r="E635" s="4" t="s">
        <v>531</v>
      </c>
    </row>
    <row r="636" customFormat="false" ht="15" hidden="false" customHeight="false" outlineLevel="0" collapsed="false">
      <c r="A636" s="4" t="s">
        <v>1142</v>
      </c>
      <c r="B636" s="5" t="n">
        <v>0.219</v>
      </c>
      <c r="C636" s="5" t="n">
        <v>0.219</v>
      </c>
      <c r="D636" s="5" t="n">
        <f aca="false">IF(AND(ISNUMBER(B636),ISNUMBER(C636)),C636-B636,"")</f>
        <v>0</v>
      </c>
      <c r="E636" s="4" t="s">
        <v>531</v>
      </c>
    </row>
    <row r="637" customFormat="false" ht="15" hidden="false" customHeight="false" outlineLevel="0" collapsed="false">
      <c r="A637" s="4" t="s">
        <v>1143</v>
      </c>
      <c r="B637" s="5" t="n">
        <v>0.102</v>
      </c>
      <c r="C637" s="5" t="n">
        <v>0.102</v>
      </c>
      <c r="D637" s="5" t="n">
        <f aca="false">IF(AND(ISNUMBER(B637),ISNUMBER(C637)),C637-B637,"")</f>
        <v>0</v>
      </c>
      <c r="E637" s="4" t="s">
        <v>531</v>
      </c>
    </row>
    <row r="638" customFormat="false" ht="15" hidden="false" customHeight="false" outlineLevel="0" collapsed="false">
      <c r="A638" s="4" t="s">
        <v>1144</v>
      </c>
      <c r="B638" s="5" t="n">
        <v>-0.164</v>
      </c>
      <c r="C638" s="5" t="n">
        <v>-0.164</v>
      </c>
      <c r="D638" s="5" t="n">
        <f aca="false">IF(AND(ISNUMBER(B638),ISNUMBER(C638)),C638-B638,"")</f>
        <v>0</v>
      </c>
      <c r="E638" s="4" t="s">
        <v>531</v>
      </c>
    </row>
    <row r="639" customFormat="false" ht="15" hidden="false" customHeight="false" outlineLevel="0" collapsed="false">
      <c r="A639" s="4" t="s">
        <v>1145</v>
      </c>
      <c r="B639" s="5" t="n">
        <v>-0.199</v>
      </c>
      <c r="C639" s="5" t="n">
        <v>-0.199</v>
      </c>
      <c r="D639" s="5" t="n">
        <f aca="false">IF(AND(ISNUMBER(B639),ISNUMBER(C639)),C639-B639,"")</f>
        <v>0</v>
      </c>
      <c r="E639" s="4" t="s">
        <v>531</v>
      </c>
    </row>
    <row r="640" customFormat="false" ht="15" hidden="false" customHeight="false" outlineLevel="0" collapsed="false">
      <c r="A640" s="4" t="s">
        <v>1146</v>
      </c>
      <c r="B640" s="5" t="n">
        <v>-0.258</v>
      </c>
      <c r="C640" s="5" t="n">
        <v>-0.258</v>
      </c>
      <c r="D640" s="5" t="n">
        <f aca="false">IF(AND(ISNUMBER(B640),ISNUMBER(C640)),C640-B640,"")</f>
        <v>0</v>
      </c>
      <c r="E640" s="4" t="s">
        <v>531</v>
      </c>
    </row>
    <row r="641" customFormat="false" ht="15" hidden="false" customHeight="false" outlineLevel="0" collapsed="false">
      <c r="A641" s="4" t="s">
        <v>1147</v>
      </c>
      <c r="B641" s="5" t="s">
        <v>27</v>
      </c>
      <c r="C641" s="5" t="s">
        <v>27</v>
      </c>
      <c r="D641" s="5" t="str">
        <f aca="false">IF(AND(ISNUMBER(B641),ISNUMBER(C641)),C641-B641,"")</f>
        <v/>
      </c>
      <c r="E641" s="4" t="s">
        <v>531</v>
      </c>
    </row>
    <row r="642" customFormat="false" ht="15" hidden="false" customHeight="false" outlineLevel="0" collapsed="false">
      <c r="A642" s="4" t="s">
        <v>1148</v>
      </c>
      <c r="B642" s="5" t="s">
        <v>27</v>
      </c>
      <c r="C642" s="5" t="s">
        <v>27</v>
      </c>
      <c r="D642" s="5" t="str">
        <f aca="false">IF(AND(ISNUMBER(B642),ISNUMBER(C642)),C642-B642,"")</f>
        <v/>
      </c>
      <c r="E642" s="4" t="s">
        <v>531</v>
      </c>
    </row>
    <row r="643" customFormat="false" ht="15" hidden="false" customHeight="false" outlineLevel="0" collapsed="false">
      <c r="A643" s="4" t="s">
        <v>1149</v>
      </c>
      <c r="B643" s="5" t="n">
        <v>0.004</v>
      </c>
      <c r="C643" s="5" t="n">
        <v>0.004</v>
      </c>
      <c r="D643" s="5" t="n">
        <f aca="false">IF(AND(ISNUMBER(B643),ISNUMBER(C643)),C643-B643,"")</f>
        <v>0</v>
      </c>
      <c r="E643" s="4" t="s">
        <v>531</v>
      </c>
    </row>
    <row r="644" customFormat="false" ht="15" hidden="false" customHeight="false" outlineLevel="0" collapsed="false">
      <c r="A644" s="4" t="s">
        <v>1150</v>
      </c>
      <c r="B644" s="5" t="n">
        <v>0</v>
      </c>
      <c r="C644" s="5" t="n">
        <v>0</v>
      </c>
      <c r="D644" s="5" t="n">
        <f aca="false">IF(AND(ISNUMBER(B644),ISNUMBER(C644)),C644-B644,"")</f>
        <v>0</v>
      </c>
      <c r="E644" s="4" t="s">
        <v>531</v>
      </c>
    </row>
    <row r="645" customFormat="false" ht="15" hidden="false" customHeight="false" outlineLevel="0" collapsed="false">
      <c r="A645" s="4" t="s">
        <v>1151</v>
      </c>
      <c r="B645" s="5" t="n">
        <v>-0.026</v>
      </c>
      <c r="C645" s="5" t="n">
        <v>-0.026</v>
      </c>
      <c r="D645" s="5" t="n">
        <f aca="false">IF(AND(ISNUMBER(B645),ISNUMBER(C645)),C645-B645,"")</f>
        <v>0</v>
      </c>
      <c r="E645" s="4" t="s">
        <v>531</v>
      </c>
    </row>
    <row r="646" customFormat="false" ht="15" hidden="false" customHeight="false" outlineLevel="0" collapsed="false">
      <c r="A646" s="4" t="s">
        <v>1152</v>
      </c>
      <c r="B646" s="5" t="n">
        <v>-0.007</v>
      </c>
      <c r="C646" s="5" t="n">
        <v>-0.007</v>
      </c>
      <c r="D646" s="5" t="n">
        <f aca="false">IF(AND(ISNUMBER(B646),ISNUMBER(C646)),C646-B646,"")</f>
        <v>0</v>
      </c>
      <c r="E646" s="4" t="s">
        <v>531</v>
      </c>
    </row>
    <row r="647" customFormat="false" ht="15" hidden="false" customHeight="false" outlineLevel="0" collapsed="false">
      <c r="A647" s="4" t="s">
        <v>1153</v>
      </c>
      <c r="B647" s="5" t="n">
        <v>-0.002</v>
      </c>
      <c r="C647" s="5" t="n">
        <v>-0.002</v>
      </c>
      <c r="D647" s="5" t="n">
        <f aca="false">IF(AND(ISNUMBER(B647),ISNUMBER(C647)),C647-B647,"")</f>
        <v>0</v>
      </c>
      <c r="E647" s="4" t="s">
        <v>531</v>
      </c>
    </row>
    <row r="648" customFormat="false" ht="15" hidden="false" customHeight="false" outlineLevel="0" collapsed="false">
      <c r="A648" s="4" t="s">
        <v>788</v>
      </c>
      <c r="B648" s="5" t="s">
        <v>27</v>
      </c>
      <c r="C648" s="5" t="s">
        <v>27</v>
      </c>
      <c r="D648" s="5" t="str">
        <f aca="false">IF(AND(ISNUMBER(B648),ISNUMBER(C648)),C648-B648,"")</f>
        <v/>
      </c>
      <c r="E648" s="4" t="s">
        <v>531</v>
      </c>
    </row>
    <row r="649" customFormat="false" ht="23.85" hidden="false" customHeight="false" outlineLevel="0" collapsed="false">
      <c r="A649" s="4" t="s">
        <v>789</v>
      </c>
      <c r="B649" s="5" t="s">
        <v>27</v>
      </c>
      <c r="C649" s="5" t="s">
        <v>27</v>
      </c>
      <c r="D649" s="5" t="str">
        <f aca="false">IF(AND(ISNUMBER(B649),ISNUMBER(C649)),C649-B649,"")</f>
        <v/>
      </c>
      <c r="E649" s="4" t="s">
        <v>556</v>
      </c>
    </row>
    <row r="650" customFormat="false" ht="15" hidden="false" customHeight="false" outlineLevel="0" collapsed="false">
      <c r="A650" s="4" t="s">
        <v>790</v>
      </c>
      <c r="B650" s="5" t="n">
        <v>0.006</v>
      </c>
      <c r="C650" s="5" t="n">
        <v>0.006</v>
      </c>
      <c r="D650" s="5" t="n">
        <f aca="false">IF(AND(ISNUMBER(B650),ISNUMBER(C650)),C650-B650,"")</f>
        <v>0</v>
      </c>
      <c r="E650" s="4" t="s">
        <v>531</v>
      </c>
    </row>
    <row r="651" customFormat="false" ht="15" hidden="false" customHeight="false" outlineLevel="0" collapsed="false">
      <c r="A651" s="4" t="s">
        <v>791</v>
      </c>
      <c r="B651" s="5" t="n">
        <v>0</v>
      </c>
      <c r="C651" s="5" t="n">
        <v>0</v>
      </c>
      <c r="D651" s="5" t="n">
        <f aca="false">IF(AND(ISNUMBER(B651),ISNUMBER(C651)),C651-B651,"")</f>
        <v>0</v>
      </c>
      <c r="E651" s="4" t="s">
        <v>531</v>
      </c>
    </row>
    <row r="652" customFormat="false" ht="15" hidden="false" customHeight="false" outlineLevel="0" collapsed="false">
      <c r="A652" s="4" t="s">
        <v>1154</v>
      </c>
      <c r="B652" s="5" t="n">
        <v>0.012</v>
      </c>
      <c r="C652" s="5" t="n">
        <v>0.012</v>
      </c>
      <c r="D652" s="5" t="n">
        <f aca="false">IF(AND(ISNUMBER(B652),ISNUMBER(C652)),C652-B652,"")</f>
        <v>0</v>
      </c>
      <c r="E652" s="4" t="s">
        <v>531</v>
      </c>
    </row>
    <row r="653" customFormat="false" ht="23.85" hidden="false" customHeight="false" outlineLevel="0" collapsed="false">
      <c r="A653" s="4" t="s">
        <v>1155</v>
      </c>
      <c r="B653" s="5" t="n">
        <v>0.003</v>
      </c>
      <c r="C653" s="5" t="n">
        <v>0.003</v>
      </c>
      <c r="D653" s="5" t="n">
        <f aca="false">IF(AND(ISNUMBER(B653),ISNUMBER(C653)),C653-B653,"")</f>
        <v>0</v>
      </c>
      <c r="E653" s="4" t="s">
        <v>531</v>
      </c>
    </row>
    <row r="654" customFormat="false" ht="23.85" hidden="false" customHeight="false" outlineLevel="0" collapsed="false">
      <c r="A654" s="4" t="s">
        <v>1156</v>
      </c>
      <c r="B654" s="5" t="n">
        <v>0.015</v>
      </c>
      <c r="C654" s="5" t="n">
        <v>0.015</v>
      </c>
      <c r="D654" s="5" t="n">
        <f aca="false">IF(AND(ISNUMBER(B654),ISNUMBER(C654)),C654-B654,"")</f>
        <v>0</v>
      </c>
      <c r="E654" s="4" t="s">
        <v>531</v>
      </c>
    </row>
    <row r="655" customFormat="false" ht="15" hidden="false" customHeight="false" outlineLevel="0" collapsed="false">
      <c r="A655" s="4" t="s">
        <v>1157</v>
      </c>
      <c r="B655" s="5" t="s">
        <v>27</v>
      </c>
      <c r="C655" s="5" t="s">
        <v>27</v>
      </c>
      <c r="D655" s="5" t="str">
        <f aca="false">IF(AND(ISNUMBER(B655),ISNUMBER(C655)),C655-B655,"")</f>
        <v/>
      </c>
      <c r="E655" s="4" t="s">
        <v>531</v>
      </c>
    </row>
    <row r="656" customFormat="false" ht="15" hidden="false" customHeight="false" outlineLevel="0" collapsed="false">
      <c r="A656" s="4" t="s">
        <v>1158</v>
      </c>
      <c r="B656" s="5" t="s">
        <v>27</v>
      </c>
      <c r="C656" s="5" t="s">
        <v>27</v>
      </c>
      <c r="D656" s="5" t="str">
        <f aca="false">IF(AND(ISNUMBER(B656),ISNUMBER(C656)),C656-B656,"")</f>
        <v/>
      </c>
      <c r="E656" s="4" t="s">
        <v>531</v>
      </c>
    </row>
    <row r="657" customFormat="false" ht="15" hidden="false" customHeight="false" outlineLevel="0" collapsed="false">
      <c r="A657" s="4" t="s">
        <v>1159</v>
      </c>
      <c r="B657" s="5" t="n">
        <v>0.128</v>
      </c>
      <c r="C657" s="5" t="n">
        <v>0.128</v>
      </c>
      <c r="D657" s="5" t="n">
        <f aca="false">IF(AND(ISNUMBER(B657),ISNUMBER(C657)),C657-B657,"")</f>
        <v>0</v>
      </c>
      <c r="E657" s="4" t="s">
        <v>531</v>
      </c>
    </row>
    <row r="658" customFormat="false" ht="15" hidden="false" customHeight="false" outlineLevel="0" collapsed="false">
      <c r="A658" s="4" t="s">
        <v>1160</v>
      </c>
      <c r="B658" s="5" t="n">
        <v>0</v>
      </c>
      <c r="C658" s="5" t="n">
        <v>0</v>
      </c>
      <c r="D658" s="5" t="n">
        <f aca="false">IF(AND(ISNUMBER(B658),ISNUMBER(C658)),C658-B658,"")</f>
        <v>0</v>
      </c>
      <c r="E658" s="4" t="s">
        <v>531</v>
      </c>
    </row>
    <row r="659" customFormat="false" ht="15" hidden="false" customHeight="false" outlineLevel="0" collapsed="false">
      <c r="A659" s="4" t="s">
        <v>1161</v>
      </c>
      <c r="B659" s="5" t="n">
        <v>-0.115</v>
      </c>
      <c r="C659" s="5" t="n">
        <v>-0.115</v>
      </c>
      <c r="D659" s="5" t="n">
        <f aca="false">IF(AND(ISNUMBER(B659),ISNUMBER(C659)),C659-B659,"")</f>
        <v>0</v>
      </c>
      <c r="E659" s="4" t="s">
        <v>531</v>
      </c>
    </row>
    <row r="660" customFormat="false" ht="23.85" hidden="false" customHeight="false" outlineLevel="0" collapsed="false">
      <c r="A660" s="4" t="s">
        <v>1162</v>
      </c>
      <c r="B660" s="5" t="n">
        <v>-0.147</v>
      </c>
      <c r="C660" s="5" t="n">
        <v>-0.147</v>
      </c>
      <c r="D660" s="5" t="n">
        <f aca="false">IF(AND(ISNUMBER(B660),ISNUMBER(C660)),C660-B660,"")</f>
        <v>0</v>
      </c>
      <c r="E660" s="4" t="s">
        <v>531</v>
      </c>
    </row>
    <row r="661" customFormat="false" ht="23.85" hidden="false" customHeight="false" outlineLevel="0" collapsed="false">
      <c r="A661" s="4" t="s">
        <v>1163</v>
      </c>
      <c r="B661" s="5" t="n">
        <v>-0.152</v>
      </c>
      <c r="C661" s="5" t="n">
        <v>-0.152</v>
      </c>
      <c r="D661" s="5" t="n">
        <f aca="false">IF(AND(ISNUMBER(B661),ISNUMBER(C661)),C661-B661,"")</f>
        <v>0</v>
      </c>
      <c r="E661" s="4" t="s">
        <v>531</v>
      </c>
    </row>
    <row r="662" customFormat="false" ht="15" hidden="false" customHeight="false" outlineLevel="0" collapsed="false">
      <c r="A662" s="4" t="s">
        <v>1164</v>
      </c>
      <c r="B662" s="5" t="s">
        <v>27</v>
      </c>
      <c r="C662" s="5" t="s">
        <v>27</v>
      </c>
      <c r="D662" s="5" t="str">
        <f aca="false">IF(AND(ISNUMBER(B662),ISNUMBER(C662)),C662-B662,"")</f>
        <v/>
      </c>
      <c r="E662" s="4" t="s">
        <v>531</v>
      </c>
    </row>
    <row r="663" customFormat="false" ht="15" hidden="false" customHeight="false" outlineLevel="0" collapsed="false">
      <c r="A663" s="4" t="s">
        <v>1165</v>
      </c>
      <c r="B663" s="5" t="s">
        <v>27</v>
      </c>
      <c r="C663" s="5" t="s">
        <v>27</v>
      </c>
      <c r="D663" s="5" t="str">
        <f aca="false">IF(AND(ISNUMBER(B663),ISNUMBER(C663)),C663-B663,"")</f>
        <v/>
      </c>
      <c r="E663" s="4" t="s">
        <v>531</v>
      </c>
    </row>
    <row r="664" customFormat="false" ht="15" hidden="false" customHeight="false" outlineLevel="0" collapsed="false">
      <c r="A664" s="4" t="s">
        <v>1166</v>
      </c>
      <c r="B664" s="5" t="n">
        <v>0.095</v>
      </c>
      <c r="C664" s="5" t="n">
        <v>0.095</v>
      </c>
      <c r="D664" s="5" t="n">
        <f aca="false">IF(AND(ISNUMBER(B664),ISNUMBER(C664)),C664-B664,"")</f>
        <v>0</v>
      </c>
      <c r="E664" s="4" t="s">
        <v>531</v>
      </c>
    </row>
    <row r="665" customFormat="false" ht="15" hidden="false" customHeight="false" outlineLevel="0" collapsed="false">
      <c r="A665" s="4" t="s">
        <v>1167</v>
      </c>
      <c r="B665" s="5" t="n">
        <v>0</v>
      </c>
      <c r="C665" s="5" t="n">
        <v>0</v>
      </c>
      <c r="D665" s="5" t="n">
        <f aca="false">IF(AND(ISNUMBER(B665),ISNUMBER(C665)),C665-B665,"")</f>
        <v>0</v>
      </c>
      <c r="E665" s="4" t="s">
        <v>531</v>
      </c>
    </row>
    <row r="666" customFormat="false" ht="15" hidden="false" customHeight="false" outlineLevel="0" collapsed="false">
      <c r="A666" s="4" t="s">
        <v>1168</v>
      </c>
      <c r="B666" s="5" t="n">
        <v>-0.099</v>
      </c>
      <c r="C666" s="5" t="n">
        <v>-0.099</v>
      </c>
      <c r="D666" s="5" t="n">
        <f aca="false">IF(AND(ISNUMBER(B666),ISNUMBER(C666)),C666-B666,"")</f>
        <v>0</v>
      </c>
      <c r="E666" s="4" t="s">
        <v>531</v>
      </c>
    </row>
    <row r="667" customFormat="false" ht="15" hidden="false" customHeight="false" outlineLevel="0" collapsed="false">
      <c r="A667" s="4" t="s">
        <v>1169</v>
      </c>
      <c r="B667" s="5" t="n">
        <v>-0.1</v>
      </c>
      <c r="C667" s="5" t="n">
        <v>-0.1</v>
      </c>
      <c r="D667" s="5" t="n">
        <f aca="false">IF(AND(ISNUMBER(B667),ISNUMBER(C667)),C667-B667,"")</f>
        <v>0</v>
      </c>
      <c r="E667" s="4" t="s">
        <v>531</v>
      </c>
    </row>
    <row r="668" customFormat="false" ht="15" hidden="false" customHeight="false" outlineLevel="0" collapsed="false">
      <c r="A668" s="4" t="s">
        <v>1170</v>
      </c>
      <c r="B668" s="5" t="n">
        <v>-0.104</v>
      </c>
      <c r="C668" s="5" t="n">
        <v>-0.104</v>
      </c>
      <c r="D668" s="5" t="n">
        <f aca="false">IF(AND(ISNUMBER(B668),ISNUMBER(C668)),C668-B668,"")</f>
        <v>0</v>
      </c>
      <c r="E668" s="4" t="s">
        <v>531</v>
      </c>
    </row>
    <row r="669" customFormat="false" ht="15" hidden="false" customHeight="false" outlineLevel="0" collapsed="false">
      <c r="A669" s="4" t="s">
        <v>1171</v>
      </c>
      <c r="B669" s="5" t="s">
        <v>27</v>
      </c>
      <c r="C669" s="5" t="s">
        <v>27</v>
      </c>
      <c r="D669" s="5" t="str">
        <f aca="false">IF(AND(ISNUMBER(B669),ISNUMBER(C669)),C669-B669,"")</f>
        <v/>
      </c>
      <c r="E669" s="4" t="s">
        <v>531</v>
      </c>
    </row>
    <row r="670" customFormat="false" ht="15" hidden="false" customHeight="false" outlineLevel="0" collapsed="false">
      <c r="A670" s="4" t="s">
        <v>1172</v>
      </c>
      <c r="B670" s="5" t="s">
        <v>27</v>
      </c>
      <c r="C670" s="5" t="s">
        <v>27</v>
      </c>
      <c r="D670" s="5" t="str">
        <f aca="false">IF(AND(ISNUMBER(B670),ISNUMBER(C670)),C670-B670,"")</f>
        <v/>
      </c>
      <c r="E670" s="4" t="s">
        <v>531</v>
      </c>
    </row>
    <row r="671" customFormat="false" ht="15" hidden="false" customHeight="false" outlineLevel="0" collapsed="false">
      <c r="A671" s="4" t="s">
        <v>1173</v>
      </c>
      <c r="B671" s="5" t="n">
        <v>0.149</v>
      </c>
      <c r="C671" s="5" t="n">
        <v>0.149</v>
      </c>
      <c r="D671" s="5" t="n">
        <f aca="false">IF(AND(ISNUMBER(B671),ISNUMBER(C671)),C671-B671,"")</f>
        <v>0</v>
      </c>
      <c r="E671" s="4" t="s">
        <v>531</v>
      </c>
    </row>
    <row r="672" customFormat="false" ht="15" hidden="false" customHeight="false" outlineLevel="0" collapsed="false">
      <c r="A672" s="4" t="s">
        <v>1174</v>
      </c>
      <c r="B672" s="5" t="n">
        <v>0.021</v>
      </c>
      <c r="C672" s="5" t="n">
        <v>0.021</v>
      </c>
      <c r="D672" s="5" t="n">
        <f aca="false">IF(AND(ISNUMBER(B672),ISNUMBER(C672)),C672-B672,"")</f>
        <v>0</v>
      </c>
      <c r="E672" s="4" t="s">
        <v>531</v>
      </c>
    </row>
    <row r="673" customFormat="false" ht="23.85" hidden="false" customHeight="false" outlineLevel="0" collapsed="false">
      <c r="A673" s="4" t="s">
        <v>1175</v>
      </c>
      <c r="B673" s="5" t="n">
        <v>-0.112</v>
      </c>
      <c r="C673" s="5" t="n">
        <v>-0.112</v>
      </c>
      <c r="D673" s="5" t="n">
        <f aca="false">IF(AND(ISNUMBER(B673),ISNUMBER(C673)),C673-B673,"")</f>
        <v>0</v>
      </c>
      <c r="E673" s="4" t="s">
        <v>531</v>
      </c>
    </row>
    <row r="674" customFormat="false" ht="23.85" hidden="false" customHeight="false" outlineLevel="0" collapsed="false">
      <c r="A674" s="4" t="s">
        <v>1176</v>
      </c>
      <c r="B674" s="5" t="n">
        <v>-0.148</v>
      </c>
      <c r="C674" s="5" t="n">
        <v>-0.148</v>
      </c>
      <c r="D674" s="5" t="n">
        <f aca="false">IF(AND(ISNUMBER(B674),ISNUMBER(C674)),C674-B674,"")</f>
        <v>0</v>
      </c>
      <c r="E674" s="4" t="s">
        <v>531</v>
      </c>
    </row>
    <row r="675" customFormat="false" ht="23.85" hidden="false" customHeight="false" outlineLevel="0" collapsed="false">
      <c r="A675" s="4" t="s">
        <v>1177</v>
      </c>
      <c r="B675" s="5" t="n">
        <v>-0.156</v>
      </c>
      <c r="C675" s="5" t="n">
        <v>-0.156</v>
      </c>
      <c r="D675" s="5" t="n">
        <f aca="false">IF(AND(ISNUMBER(B675),ISNUMBER(C675)),C675-B675,"")</f>
        <v>0</v>
      </c>
      <c r="E675" s="4" t="s">
        <v>531</v>
      </c>
    </row>
    <row r="676" customFormat="false" ht="15" hidden="false" customHeight="false" outlineLevel="0" collapsed="false">
      <c r="A676" s="4" t="s">
        <v>1178</v>
      </c>
      <c r="B676" s="5" t="s">
        <v>27</v>
      </c>
      <c r="C676" s="5" t="s">
        <v>27</v>
      </c>
      <c r="D676" s="5" t="str">
        <f aca="false">IF(AND(ISNUMBER(B676),ISNUMBER(C676)),C676-B676,"")</f>
        <v/>
      </c>
      <c r="E676" s="4" t="s">
        <v>531</v>
      </c>
    </row>
    <row r="677" customFormat="false" ht="15" hidden="false" customHeight="false" outlineLevel="0" collapsed="false">
      <c r="A677" s="4" t="s">
        <v>1179</v>
      </c>
      <c r="B677" s="5" t="n">
        <v>0.137</v>
      </c>
      <c r="C677" s="5" t="n">
        <v>0.137</v>
      </c>
      <c r="D677" s="5" t="n">
        <f aca="false">IF(AND(ISNUMBER(B677),ISNUMBER(C677)),C677-B677,"")</f>
        <v>0</v>
      </c>
      <c r="E677" s="4" t="s">
        <v>531</v>
      </c>
    </row>
    <row r="678" customFormat="false" ht="15" hidden="false" customHeight="false" outlineLevel="0" collapsed="false">
      <c r="A678" s="4" t="s">
        <v>1180</v>
      </c>
      <c r="B678" s="5" t="s">
        <v>27</v>
      </c>
      <c r="C678" s="5" t="s">
        <v>27</v>
      </c>
      <c r="D678" s="5" t="str">
        <f aca="false">IF(AND(ISNUMBER(B678),ISNUMBER(C678)),C678-B678,"")</f>
        <v/>
      </c>
      <c r="E678" s="4" t="s">
        <v>531</v>
      </c>
    </row>
    <row r="679" customFormat="false" ht="15" hidden="false" customHeight="false" outlineLevel="0" collapsed="false">
      <c r="A679" s="4" t="s">
        <v>1181</v>
      </c>
      <c r="B679" s="5" t="n">
        <v>1.371</v>
      </c>
      <c r="C679" s="5" t="n">
        <v>1.371</v>
      </c>
      <c r="D679" s="5" t="n">
        <f aca="false">IF(AND(ISNUMBER(B679),ISNUMBER(C679)),C679-B679,"")</f>
        <v>0</v>
      </c>
      <c r="E679" s="4" t="s">
        <v>531</v>
      </c>
    </row>
    <row r="680" customFormat="false" ht="15" hidden="false" customHeight="false" outlineLevel="0" collapsed="false">
      <c r="A680" s="4" t="s">
        <v>1182</v>
      </c>
      <c r="B680" s="5" t="n">
        <v>0.225</v>
      </c>
      <c r="C680" s="5" t="n">
        <v>0.225</v>
      </c>
      <c r="D680" s="5" t="n">
        <f aca="false">IF(AND(ISNUMBER(B680),ISNUMBER(C680)),C680-B680,"")</f>
        <v>0</v>
      </c>
      <c r="E680" s="4" t="s">
        <v>531</v>
      </c>
    </row>
    <row r="681" customFormat="false" ht="15" hidden="false" customHeight="false" outlineLevel="0" collapsed="false">
      <c r="A681" s="4" t="s">
        <v>1183</v>
      </c>
      <c r="B681" s="5" t="n">
        <v>0.221</v>
      </c>
      <c r="C681" s="5" t="n">
        <v>0.221</v>
      </c>
      <c r="D681" s="5" t="n">
        <f aca="false">IF(AND(ISNUMBER(B681),ISNUMBER(C681)),C681-B681,"")</f>
        <v>0</v>
      </c>
      <c r="E681" s="4" t="s">
        <v>531</v>
      </c>
    </row>
    <row r="682" customFormat="false" ht="15" hidden="false" customHeight="false" outlineLevel="0" collapsed="false">
      <c r="A682" s="4" t="s">
        <v>1184</v>
      </c>
      <c r="B682" s="5" t="n">
        <v>0.191</v>
      </c>
      <c r="C682" s="5" t="n">
        <v>0.191</v>
      </c>
      <c r="D682" s="5" t="n">
        <f aca="false">IF(AND(ISNUMBER(B682),ISNUMBER(C682)),C682-B682,"")</f>
        <v>0</v>
      </c>
      <c r="E682" s="4" t="s">
        <v>531</v>
      </c>
    </row>
    <row r="683" customFormat="false" ht="15" hidden="false" customHeight="false" outlineLevel="0" collapsed="false">
      <c r="A683" s="4" t="s">
        <v>1185</v>
      </c>
      <c r="B683" s="5" t="n">
        <v>0.211</v>
      </c>
      <c r="C683" s="5" t="n">
        <v>0.211</v>
      </c>
      <c r="D683" s="5" t="n">
        <f aca="false">IF(AND(ISNUMBER(B683),ISNUMBER(C683)),C683-B683,"")</f>
        <v>0</v>
      </c>
      <c r="E683" s="4" t="s">
        <v>531</v>
      </c>
    </row>
    <row r="684" customFormat="false" ht="15" hidden="false" customHeight="false" outlineLevel="0" collapsed="false">
      <c r="A684" s="4" t="s">
        <v>1186</v>
      </c>
      <c r="B684" s="5" t="n">
        <v>0.231</v>
      </c>
      <c r="C684" s="5" t="n">
        <v>0.231</v>
      </c>
      <c r="D684" s="5" t="n">
        <f aca="false">IF(AND(ISNUMBER(B684),ISNUMBER(C684)),C684-B684,"")</f>
        <v>0</v>
      </c>
      <c r="E684" s="4" t="s">
        <v>531</v>
      </c>
    </row>
    <row r="685" customFormat="false" ht="15" hidden="false" customHeight="false" outlineLevel="0" collapsed="false">
      <c r="A685" s="4" t="s">
        <v>1187</v>
      </c>
      <c r="B685" s="5" t="n">
        <v>0.221</v>
      </c>
      <c r="C685" s="5" t="n">
        <v>0.221</v>
      </c>
      <c r="D685" s="5" t="n">
        <f aca="false">IF(AND(ISNUMBER(B685),ISNUMBER(C685)),C685-B685,"")</f>
        <v>0</v>
      </c>
      <c r="E685" s="4" t="s">
        <v>531</v>
      </c>
    </row>
    <row r="686" customFormat="false" ht="15" hidden="false" customHeight="false" outlineLevel="0" collapsed="false">
      <c r="A686" s="4" t="s">
        <v>1188</v>
      </c>
      <c r="B686" s="5" t="n">
        <v>0.226</v>
      </c>
      <c r="C686" s="5" t="n">
        <v>0.226</v>
      </c>
      <c r="D686" s="5" t="n">
        <f aca="false">IF(AND(ISNUMBER(B686),ISNUMBER(C686)),C686-B686,"")</f>
        <v>0</v>
      </c>
      <c r="E686" s="4" t="s">
        <v>531</v>
      </c>
    </row>
    <row r="687" customFormat="false" ht="15" hidden="false" customHeight="false" outlineLevel="0" collapsed="false">
      <c r="A687" s="4" t="s">
        <v>815</v>
      </c>
      <c r="B687" s="5" t="n">
        <v>0.237</v>
      </c>
      <c r="C687" s="5" t="n">
        <v>0.237</v>
      </c>
      <c r="D687" s="5" t="n">
        <f aca="false">IF(AND(ISNUMBER(B687),ISNUMBER(C687)),C687-B687,"")</f>
        <v>0</v>
      </c>
      <c r="E687" s="4" t="s">
        <v>531</v>
      </c>
    </row>
    <row r="688" customFormat="false" ht="15" hidden="false" customHeight="false" outlineLevel="0" collapsed="false">
      <c r="A688" s="4" t="s">
        <v>1189</v>
      </c>
      <c r="B688" s="5" t="n">
        <v>0.238</v>
      </c>
      <c r="C688" s="5" t="n">
        <v>0.238</v>
      </c>
      <c r="D688" s="5" t="n">
        <f aca="false">IF(AND(ISNUMBER(B688),ISNUMBER(C688)),C688-B688,"")</f>
        <v>0</v>
      </c>
      <c r="E688" s="4" t="s">
        <v>531</v>
      </c>
    </row>
    <row r="689" customFormat="false" ht="15" hidden="false" customHeight="false" outlineLevel="0" collapsed="false">
      <c r="A689" s="4" t="s">
        <v>1190</v>
      </c>
      <c r="B689" s="5" t="n">
        <v>0.212</v>
      </c>
      <c r="C689" s="5" t="n">
        <v>0.212</v>
      </c>
      <c r="D689" s="5" t="n">
        <f aca="false">IF(AND(ISNUMBER(B689),ISNUMBER(C689)),C689-B689,"")</f>
        <v>0</v>
      </c>
      <c r="E689" s="4" t="s">
        <v>531</v>
      </c>
    </row>
    <row r="690" customFormat="false" ht="15" hidden="false" customHeight="false" outlineLevel="0" collapsed="false">
      <c r="A690" s="4" t="s">
        <v>1191</v>
      </c>
      <c r="B690" s="5" t="n">
        <v>0.205</v>
      </c>
      <c r="C690" s="5" t="n">
        <v>0.205</v>
      </c>
      <c r="D690" s="5" t="n">
        <f aca="false">IF(AND(ISNUMBER(B690),ISNUMBER(C690)),C690-B690,"")</f>
        <v>0</v>
      </c>
      <c r="E690" s="4" t="s">
        <v>531</v>
      </c>
    </row>
    <row r="692" customFormat="false" ht="15" hidden="false" customHeight="false" outlineLevel="0" collapsed="false">
      <c r="A692" s="13" t="s">
        <v>1192</v>
      </c>
      <c r="B692" s="14"/>
      <c r="C692" s="14"/>
      <c r="D692" s="19" t="n">
        <f aca="false">MAX(MAX(D341:D690),-MIN(D341:D690))</f>
        <v>0.024</v>
      </c>
      <c r="E692" s="14"/>
    </row>
    <row r="694" customFormat="false" ht="15" hidden="false" customHeight="false" outlineLevel="0" collapsed="false">
      <c r="A694" s="8" t="s">
        <v>1193</v>
      </c>
    </row>
    <row r="695" customFormat="false" ht="165" hidden="false" customHeight="true" outlineLevel="0" collapsed="false">
      <c r="A695" s="2" t="s">
        <v>1194</v>
      </c>
      <c r="B695" s="2"/>
      <c r="C695" s="2"/>
      <c r="D695" s="2"/>
      <c r="E695" s="2"/>
      <c r="F695" s="2"/>
      <c r="G695" s="2"/>
      <c r="H695" s="2"/>
    </row>
    <row r="696" customFormat="false" ht="30" hidden="false" customHeight="true" outlineLevel="0" collapsed="false">
      <c r="A696" s="3" t="s">
        <v>527</v>
      </c>
      <c r="B696" s="3" t="s">
        <v>528</v>
      </c>
      <c r="C696" s="3" t="s">
        <v>529</v>
      </c>
      <c r="D696" s="3" t="s">
        <v>402</v>
      </c>
      <c r="E696" s="3" t="s">
        <v>17</v>
      </c>
    </row>
    <row r="697" customFormat="false" ht="15" hidden="false" customHeight="false" outlineLevel="0" collapsed="false">
      <c r="A697" s="4" t="s">
        <v>1195</v>
      </c>
      <c r="B697" s="5" t="n">
        <v>0.922</v>
      </c>
      <c r="C697" s="5" t="n">
        <v>0.922</v>
      </c>
      <c r="D697" s="5" t="n">
        <f aca="false">IF(AND(ISNUMBER(B697),ISNUMBER(C697)),C697-B697,"")</f>
        <v>0</v>
      </c>
      <c r="E697" s="4" t="s">
        <v>531</v>
      </c>
    </row>
    <row r="698" customFormat="false" ht="15" hidden="false" customHeight="false" outlineLevel="0" collapsed="false">
      <c r="A698" s="4" t="s">
        <v>1196</v>
      </c>
      <c r="B698" s="5" t="n">
        <v>0.782</v>
      </c>
      <c r="C698" s="5" t="n">
        <v>0.782</v>
      </c>
      <c r="D698" s="5" t="n">
        <f aca="false">IF(AND(ISNUMBER(B698),ISNUMBER(C698)),C698-B698,"")</f>
        <v>0</v>
      </c>
      <c r="E698" s="4" t="s">
        <v>531</v>
      </c>
    </row>
    <row r="699" customFormat="false" ht="15" hidden="false" customHeight="false" outlineLevel="0" collapsed="false">
      <c r="A699" s="4" t="s">
        <v>1197</v>
      </c>
      <c r="B699" s="5" t="s">
        <v>27</v>
      </c>
      <c r="C699" s="5" t="s">
        <v>27</v>
      </c>
      <c r="D699" s="5" t="str">
        <f aca="false">IF(AND(ISNUMBER(B699),ISNUMBER(C699)),C699-B699,"")</f>
        <v/>
      </c>
      <c r="E699" s="4" t="s">
        <v>531</v>
      </c>
    </row>
    <row r="700" customFormat="false" ht="15" hidden="false" customHeight="false" outlineLevel="0" collapsed="false">
      <c r="A700" s="4" t="s">
        <v>1198</v>
      </c>
      <c r="B700" s="5" t="s">
        <v>27</v>
      </c>
      <c r="C700" s="5" t="s">
        <v>27</v>
      </c>
      <c r="D700" s="5" t="str">
        <f aca="false">IF(AND(ISNUMBER(B700),ISNUMBER(C700)),C700-B700,"")</f>
        <v/>
      </c>
      <c r="E700" s="4" t="s">
        <v>531</v>
      </c>
    </row>
    <row r="701" customFormat="false" ht="15" hidden="false" customHeight="false" outlineLevel="0" collapsed="false">
      <c r="A701" s="4" t="s">
        <v>1199</v>
      </c>
      <c r="B701" s="5" t="s">
        <v>27</v>
      </c>
      <c r="C701" s="5" t="s">
        <v>27</v>
      </c>
      <c r="D701" s="5" t="str">
        <f aca="false">IF(AND(ISNUMBER(B701),ISNUMBER(C701)),C701-B701,"")</f>
        <v/>
      </c>
      <c r="E701" s="4" t="s">
        <v>531</v>
      </c>
    </row>
    <row r="702" customFormat="false" ht="23.85" hidden="false" customHeight="false" outlineLevel="0" collapsed="false">
      <c r="A702" s="4" t="s">
        <v>1200</v>
      </c>
      <c r="B702" s="5" t="s">
        <v>27</v>
      </c>
      <c r="C702" s="5" t="s">
        <v>27</v>
      </c>
      <c r="D702" s="5" t="str">
        <f aca="false">IF(AND(ISNUMBER(B702),ISNUMBER(C702)),C702-B702,"")</f>
        <v/>
      </c>
      <c r="E702" s="4" t="s">
        <v>531</v>
      </c>
    </row>
    <row r="703" customFormat="false" ht="15" hidden="false" customHeight="false" outlineLevel="0" collapsed="false">
      <c r="A703" s="4" t="s">
        <v>1201</v>
      </c>
      <c r="B703" s="5" t="s">
        <v>27</v>
      </c>
      <c r="C703" s="5" t="s">
        <v>27</v>
      </c>
      <c r="D703" s="5" t="str">
        <f aca="false">IF(AND(ISNUMBER(B703),ISNUMBER(C703)),C703-B703,"")</f>
        <v/>
      </c>
      <c r="E703" s="4" t="s">
        <v>531</v>
      </c>
    </row>
    <row r="704" customFormat="false" ht="15" hidden="false" customHeight="false" outlineLevel="0" collapsed="false">
      <c r="A704" s="4" t="s">
        <v>1202</v>
      </c>
      <c r="B704" s="5" t="s">
        <v>27</v>
      </c>
      <c r="C704" s="5" t="s">
        <v>27</v>
      </c>
      <c r="D704" s="5" t="str">
        <f aca="false">IF(AND(ISNUMBER(B704),ISNUMBER(C704)),C704-B704,"")</f>
        <v/>
      </c>
      <c r="E704" s="4" t="s">
        <v>531</v>
      </c>
    </row>
    <row r="705" customFormat="false" ht="23.85" hidden="false" customHeight="false" outlineLevel="0" collapsed="false">
      <c r="A705" s="4" t="s">
        <v>1203</v>
      </c>
      <c r="B705" s="5" t="s">
        <v>27</v>
      </c>
      <c r="C705" s="5" t="s">
        <v>27</v>
      </c>
      <c r="D705" s="5" t="str">
        <f aca="false">IF(AND(ISNUMBER(B705),ISNUMBER(C705)),C705-B705,"")</f>
        <v/>
      </c>
      <c r="E705" s="4" t="s">
        <v>531</v>
      </c>
    </row>
    <row r="706" customFormat="false" ht="15" hidden="false" customHeight="false" outlineLevel="0" collapsed="false">
      <c r="A706" s="4" t="s">
        <v>1204</v>
      </c>
      <c r="B706" s="5" t="s">
        <v>27</v>
      </c>
      <c r="C706" s="5" t="s">
        <v>27</v>
      </c>
      <c r="D706" s="5" t="str">
        <f aca="false">IF(AND(ISNUMBER(B706),ISNUMBER(C706)),C706-B706,"")</f>
        <v/>
      </c>
      <c r="E706" s="4" t="s">
        <v>531</v>
      </c>
    </row>
    <row r="707" customFormat="false" ht="15" hidden="false" customHeight="false" outlineLevel="0" collapsed="false">
      <c r="A707" s="4" t="s">
        <v>1205</v>
      </c>
      <c r="B707" s="5" t="s">
        <v>27</v>
      </c>
      <c r="C707" s="5" t="s">
        <v>27</v>
      </c>
      <c r="D707" s="5" t="str">
        <f aca="false">IF(AND(ISNUMBER(B707),ISNUMBER(C707)),C707-B707,"")</f>
        <v/>
      </c>
      <c r="E707" s="4" t="s">
        <v>531</v>
      </c>
    </row>
    <row r="708" customFormat="false" ht="23.85" hidden="false" customHeight="false" outlineLevel="0" collapsed="false">
      <c r="A708" s="4" t="s">
        <v>1206</v>
      </c>
      <c r="B708" s="5" t="s">
        <v>27</v>
      </c>
      <c r="C708" s="5" t="s">
        <v>27</v>
      </c>
      <c r="D708" s="5" t="str">
        <f aca="false">IF(AND(ISNUMBER(B708),ISNUMBER(C708)),C708-B708,"")</f>
        <v/>
      </c>
      <c r="E708" s="4" t="s">
        <v>531</v>
      </c>
    </row>
    <row r="709" customFormat="false" ht="15" hidden="false" customHeight="false" outlineLevel="0" collapsed="false">
      <c r="A709" s="4" t="s">
        <v>1207</v>
      </c>
      <c r="B709" s="5" t="s">
        <v>27</v>
      </c>
      <c r="C709" s="5" t="s">
        <v>27</v>
      </c>
      <c r="D709" s="5" t="str">
        <f aca="false">IF(AND(ISNUMBER(B709),ISNUMBER(C709)),C709-B709,"")</f>
        <v/>
      </c>
      <c r="E709" s="4" t="s">
        <v>531</v>
      </c>
    </row>
    <row r="710" customFormat="false" ht="15" hidden="false" customHeight="false" outlineLevel="0" collapsed="false">
      <c r="A710" s="4" t="s">
        <v>1208</v>
      </c>
      <c r="B710" s="5" t="s">
        <v>27</v>
      </c>
      <c r="C710" s="5" t="s">
        <v>27</v>
      </c>
      <c r="D710" s="5" t="str">
        <f aca="false">IF(AND(ISNUMBER(B710),ISNUMBER(C710)),C710-B710,"")</f>
        <v/>
      </c>
      <c r="E710" s="4" t="s">
        <v>531</v>
      </c>
    </row>
    <row r="711" customFormat="false" ht="15" hidden="false" customHeight="false" outlineLevel="0" collapsed="false">
      <c r="A711" s="4" t="s">
        <v>1209</v>
      </c>
      <c r="B711" s="5" t="s">
        <v>27</v>
      </c>
      <c r="C711" s="5" t="s">
        <v>27</v>
      </c>
      <c r="D711" s="5" t="str">
        <f aca="false">IF(AND(ISNUMBER(B711),ISNUMBER(C711)),C711-B711,"")</f>
        <v/>
      </c>
      <c r="E711" s="4" t="s">
        <v>531</v>
      </c>
    </row>
    <row r="712" customFormat="false" ht="15" hidden="false" customHeight="false" outlineLevel="0" collapsed="false">
      <c r="A712" s="4" t="s">
        <v>1210</v>
      </c>
      <c r="B712" s="5" t="s">
        <v>27</v>
      </c>
      <c r="C712" s="5" t="s">
        <v>27</v>
      </c>
      <c r="D712" s="5" t="str">
        <f aca="false">IF(AND(ISNUMBER(B712),ISNUMBER(C712)),C712-B712,"")</f>
        <v/>
      </c>
      <c r="E712" s="4" t="s">
        <v>531</v>
      </c>
    </row>
    <row r="713" customFormat="false" ht="15" hidden="false" customHeight="false" outlineLevel="0" collapsed="false">
      <c r="A713" s="4" t="s">
        <v>1211</v>
      </c>
      <c r="B713" s="5" t="s">
        <v>27</v>
      </c>
      <c r="C713" s="5" t="s">
        <v>27</v>
      </c>
      <c r="D713" s="5" t="str">
        <f aca="false">IF(AND(ISNUMBER(B713),ISNUMBER(C713)),C713-B713,"")</f>
        <v/>
      </c>
      <c r="E713" s="4" t="s">
        <v>531</v>
      </c>
    </row>
    <row r="714" customFormat="false" ht="15" hidden="false" customHeight="false" outlineLevel="0" collapsed="false">
      <c r="A714" s="4" t="s">
        <v>1212</v>
      </c>
      <c r="B714" s="5" t="s">
        <v>27</v>
      </c>
      <c r="C714" s="5" t="s">
        <v>27</v>
      </c>
      <c r="D714" s="5" t="str">
        <f aca="false">IF(AND(ISNUMBER(B714),ISNUMBER(C714)),C714-B714,"")</f>
        <v/>
      </c>
      <c r="E714" s="4" t="s">
        <v>531</v>
      </c>
    </row>
    <row r="715" customFormat="false" ht="15" hidden="false" customHeight="false" outlineLevel="0" collapsed="false">
      <c r="A715" s="4" t="s">
        <v>1213</v>
      </c>
      <c r="B715" s="5" t="s">
        <v>27</v>
      </c>
      <c r="C715" s="5" t="s">
        <v>27</v>
      </c>
      <c r="D715" s="5" t="str">
        <f aca="false">IF(AND(ISNUMBER(B715),ISNUMBER(C715)),C715-B715,"")</f>
        <v/>
      </c>
      <c r="E715" s="4" t="s">
        <v>531</v>
      </c>
    </row>
    <row r="716" customFormat="false" ht="15" hidden="false" customHeight="false" outlineLevel="0" collapsed="false">
      <c r="A716" s="4" t="s">
        <v>1214</v>
      </c>
      <c r="B716" s="5" t="s">
        <v>27</v>
      </c>
      <c r="C716" s="5" t="s">
        <v>27</v>
      </c>
      <c r="D716" s="5" t="str">
        <f aca="false">IF(AND(ISNUMBER(B716),ISNUMBER(C716)),C716-B716,"")</f>
        <v/>
      </c>
      <c r="E716" s="4" t="s">
        <v>531</v>
      </c>
    </row>
    <row r="717" customFormat="false" ht="15" hidden="false" customHeight="false" outlineLevel="0" collapsed="false">
      <c r="A717" s="4" t="s">
        <v>1215</v>
      </c>
      <c r="B717" s="5" t="s">
        <v>27</v>
      </c>
      <c r="C717" s="5" t="s">
        <v>27</v>
      </c>
      <c r="D717" s="5" t="str">
        <f aca="false">IF(AND(ISNUMBER(B717),ISNUMBER(C717)),C717-B717,"")</f>
        <v/>
      </c>
      <c r="E717" s="4" t="s">
        <v>531</v>
      </c>
    </row>
    <row r="718" customFormat="false" ht="15" hidden="false" customHeight="false" outlineLevel="0" collapsed="false">
      <c r="A718" s="4" t="s">
        <v>1216</v>
      </c>
      <c r="B718" s="5" t="s">
        <v>27</v>
      </c>
      <c r="C718" s="5" t="s">
        <v>27</v>
      </c>
      <c r="D718" s="5" t="str">
        <f aca="false">IF(AND(ISNUMBER(B718),ISNUMBER(C718)),C718-B718,"")</f>
        <v/>
      </c>
      <c r="E718" s="4" t="s">
        <v>531</v>
      </c>
    </row>
    <row r="719" customFormat="false" ht="15" hidden="false" customHeight="false" outlineLevel="0" collapsed="false">
      <c r="A719" s="4" t="s">
        <v>1217</v>
      </c>
      <c r="B719" s="5" t="s">
        <v>27</v>
      </c>
      <c r="C719" s="5" t="s">
        <v>27</v>
      </c>
      <c r="D719" s="5" t="str">
        <f aca="false">IF(AND(ISNUMBER(B719),ISNUMBER(C719)),C719-B719,"")</f>
        <v/>
      </c>
      <c r="E719" s="4" t="s">
        <v>531</v>
      </c>
    </row>
    <row r="720" customFormat="false" ht="15" hidden="false" customHeight="false" outlineLevel="0" collapsed="false">
      <c r="A720" s="4" t="s">
        <v>1218</v>
      </c>
      <c r="B720" s="5" t="s">
        <v>27</v>
      </c>
      <c r="C720" s="5" t="s">
        <v>27</v>
      </c>
      <c r="D720" s="5" t="str">
        <f aca="false">IF(AND(ISNUMBER(B720),ISNUMBER(C720)),C720-B720,"")</f>
        <v/>
      </c>
      <c r="E720" s="4" t="s">
        <v>531</v>
      </c>
    </row>
    <row r="721" customFormat="false" ht="23.85" hidden="false" customHeight="false" outlineLevel="0" collapsed="false">
      <c r="A721" s="4" t="s">
        <v>1219</v>
      </c>
      <c r="B721" s="5" t="s">
        <v>27</v>
      </c>
      <c r="C721" s="5" t="s">
        <v>27</v>
      </c>
      <c r="D721" s="5" t="str">
        <f aca="false">IF(AND(ISNUMBER(B721),ISNUMBER(C721)),C721-B721,"")</f>
        <v/>
      </c>
      <c r="E721" s="4" t="s">
        <v>531</v>
      </c>
    </row>
    <row r="722" customFormat="false" ht="15" hidden="false" customHeight="false" outlineLevel="0" collapsed="false">
      <c r="A722" s="4" t="s">
        <v>1220</v>
      </c>
      <c r="B722" s="5" t="s">
        <v>27</v>
      </c>
      <c r="C722" s="5" t="s">
        <v>27</v>
      </c>
      <c r="D722" s="5" t="str">
        <f aca="false">IF(AND(ISNUMBER(B722),ISNUMBER(C722)),C722-B722,"")</f>
        <v/>
      </c>
      <c r="E722" s="4" t="s">
        <v>531</v>
      </c>
    </row>
    <row r="723" customFormat="false" ht="15" hidden="false" customHeight="false" outlineLevel="0" collapsed="false">
      <c r="A723" s="4" t="s">
        <v>1221</v>
      </c>
      <c r="B723" s="5" t="s">
        <v>27</v>
      </c>
      <c r="C723" s="5" t="s">
        <v>27</v>
      </c>
      <c r="D723" s="5" t="str">
        <f aca="false">IF(AND(ISNUMBER(B723),ISNUMBER(C723)),C723-B723,"")</f>
        <v/>
      </c>
      <c r="E723" s="4" t="s">
        <v>531</v>
      </c>
    </row>
    <row r="724" customFormat="false" ht="23.85" hidden="false" customHeight="false" outlineLevel="0" collapsed="false">
      <c r="A724" s="4" t="s">
        <v>1222</v>
      </c>
      <c r="B724" s="5" t="s">
        <v>27</v>
      </c>
      <c r="C724" s="5" t="s">
        <v>27</v>
      </c>
      <c r="D724" s="5" t="str">
        <f aca="false">IF(AND(ISNUMBER(B724),ISNUMBER(C724)),C724-B724,"")</f>
        <v/>
      </c>
      <c r="E724" s="4" t="s">
        <v>531</v>
      </c>
    </row>
    <row r="725" customFormat="false" ht="15" hidden="false" customHeight="false" outlineLevel="0" collapsed="false">
      <c r="A725" s="4" t="s">
        <v>1223</v>
      </c>
      <c r="B725" s="5" t="s">
        <v>27</v>
      </c>
      <c r="C725" s="5" t="s">
        <v>27</v>
      </c>
      <c r="D725" s="5" t="str">
        <f aca="false">IF(AND(ISNUMBER(B725),ISNUMBER(C725)),C725-B725,"")</f>
        <v/>
      </c>
      <c r="E725" s="4" t="s">
        <v>531</v>
      </c>
    </row>
    <row r="726" customFormat="false" ht="15" hidden="false" customHeight="false" outlineLevel="0" collapsed="false">
      <c r="A726" s="4" t="s">
        <v>1224</v>
      </c>
      <c r="B726" s="5" t="s">
        <v>27</v>
      </c>
      <c r="C726" s="5" t="s">
        <v>27</v>
      </c>
      <c r="D726" s="5" t="str">
        <f aca="false">IF(AND(ISNUMBER(B726),ISNUMBER(C726)),C726-B726,"")</f>
        <v/>
      </c>
      <c r="E726" s="4" t="s">
        <v>531</v>
      </c>
    </row>
    <row r="727" customFormat="false" ht="15" hidden="false" customHeight="false" outlineLevel="0" collapsed="false">
      <c r="A727" s="4" t="s">
        <v>1225</v>
      </c>
      <c r="B727" s="5" t="s">
        <v>27</v>
      </c>
      <c r="C727" s="5" t="s">
        <v>27</v>
      </c>
      <c r="D727" s="5" t="str">
        <f aca="false">IF(AND(ISNUMBER(B727),ISNUMBER(C727)),C727-B727,"")</f>
        <v/>
      </c>
      <c r="E727" s="4" t="s">
        <v>531</v>
      </c>
    </row>
    <row r="728" customFormat="false" ht="23.85" hidden="false" customHeight="false" outlineLevel="0" collapsed="false">
      <c r="A728" s="4" t="s">
        <v>1226</v>
      </c>
      <c r="B728" s="5" t="s">
        <v>27</v>
      </c>
      <c r="C728" s="5" t="s">
        <v>27</v>
      </c>
      <c r="D728" s="5" t="str">
        <f aca="false">IF(AND(ISNUMBER(B728),ISNUMBER(C728)),C728-B728,"")</f>
        <v/>
      </c>
      <c r="E728" s="4" t="s">
        <v>531</v>
      </c>
    </row>
    <row r="729" customFormat="false" ht="23.85" hidden="false" customHeight="false" outlineLevel="0" collapsed="false">
      <c r="A729" s="4" t="s">
        <v>1227</v>
      </c>
      <c r="B729" s="5" t="s">
        <v>27</v>
      </c>
      <c r="C729" s="5" t="s">
        <v>27</v>
      </c>
      <c r="D729" s="5" t="str">
        <f aca="false">IF(AND(ISNUMBER(B729),ISNUMBER(C729)),C729-B729,"")</f>
        <v/>
      </c>
      <c r="E729" s="4" t="s">
        <v>531</v>
      </c>
    </row>
    <row r="730" customFormat="false" ht="23.85" hidden="false" customHeight="false" outlineLevel="0" collapsed="false">
      <c r="A730" s="4" t="s">
        <v>1228</v>
      </c>
      <c r="B730" s="5" t="s">
        <v>27</v>
      </c>
      <c r="C730" s="5" t="s">
        <v>27</v>
      </c>
      <c r="D730" s="5" t="str">
        <f aca="false">IF(AND(ISNUMBER(B730),ISNUMBER(C730)),C730-B730,"")</f>
        <v/>
      </c>
      <c r="E730" s="4" t="s">
        <v>531</v>
      </c>
    </row>
    <row r="731" customFormat="false" ht="15" hidden="false" customHeight="false" outlineLevel="0" collapsed="false">
      <c r="A731" s="4" t="s">
        <v>1229</v>
      </c>
      <c r="B731" s="5" t="s">
        <v>27</v>
      </c>
      <c r="C731" s="5" t="s">
        <v>27</v>
      </c>
      <c r="D731" s="5" t="str">
        <f aca="false">IF(AND(ISNUMBER(B731),ISNUMBER(C731)),C731-B731,"")</f>
        <v/>
      </c>
      <c r="E731" s="4" t="s">
        <v>531</v>
      </c>
    </row>
    <row r="732" customFormat="false" ht="15" hidden="false" customHeight="false" outlineLevel="0" collapsed="false">
      <c r="A732" s="4" t="s">
        <v>1230</v>
      </c>
      <c r="B732" s="5" t="s">
        <v>27</v>
      </c>
      <c r="C732" s="5" t="s">
        <v>27</v>
      </c>
      <c r="D732" s="5" t="str">
        <f aca="false">IF(AND(ISNUMBER(B732),ISNUMBER(C732)),C732-B732,"")</f>
        <v/>
      </c>
      <c r="E732" s="4" t="s">
        <v>531</v>
      </c>
    </row>
    <row r="733" customFormat="false" ht="23.85" hidden="false" customHeight="false" outlineLevel="0" collapsed="false">
      <c r="A733" s="4" t="s">
        <v>1231</v>
      </c>
      <c r="B733" s="5" t="n">
        <v>0.61</v>
      </c>
      <c r="C733" s="5" t="n">
        <v>0.61</v>
      </c>
      <c r="D733" s="5" t="n">
        <f aca="false">IF(AND(ISNUMBER(B733),ISNUMBER(C733)),C733-B733,"")</f>
        <v>0</v>
      </c>
      <c r="E733" s="4" t="s">
        <v>531</v>
      </c>
    </row>
    <row r="734" customFormat="false" ht="15" hidden="false" customHeight="false" outlineLevel="0" collapsed="false">
      <c r="A734" s="4" t="s">
        <v>1232</v>
      </c>
      <c r="B734" s="5" t="s">
        <v>27</v>
      </c>
      <c r="C734" s="5" t="s">
        <v>27</v>
      </c>
      <c r="D734" s="5" t="str">
        <f aca="false">IF(AND(ISNUMBER(B734),ISNUMBER(C734)),C734-B734,"")</f>
        <v/>
      </c>
      <c r="E734" s="4" t="s">
        <v>531</v>
      </c>
    </row>
    <row r="735" customFormat="false" ht="15" hidden="false" customHeight="false" outlineLevel="0" collapsed="false">
      <c r="A735" s="4" t="s">
        <v>1233</v>
      </c>
      <c r="B735" s="5" t="s">
        <v>27</v>
      </c>
      <c r="C735" s="5" t="s">
        <v>27</v>
      </c>
      <c r="D735" s="5" t="str">
        <f aca="false">IF(AND(ISNUMBER(B735),ISNUMBER(C735)),C735-B735,"")</f>
        <v/>
      </c>
      <c r="E735" s="4" t="s">
        <v>531</v>
      </c>
    </row>
    <row r="736" customFormat="false" ht="15" hidden="false" customHeight="false" outlineLevel="0" collapsed="false">
      <c r="A736" s="4" t="s">
        <v>1234</v>
      </c>
      <c r="B736" s="5" t="s">
        <v>27</v>
      </c>
      <c r="C736" s="5" t="s">
        <v>27</v>
      </c>
      <c r="D736" s="5" t="str">
        <f aca="false">IF(AND(ISNUMBER(B736),ISNUMBER(C736)),C736-B736,"")</f>
        <v/>
      </c>
      <c r="E736" s="4" t="s">
        <v>1235</v>
      </c>
    </row>
    <row r="737" customFormat="false" ht="15" hidden="false" customHeight="false" outlineLevel="0" collapsed="false">
      <c r="A737" s="4" t="s">
        <v>1236</v>
      </c>
      <c r="B737" s="5" t="n">
        <v>0.47</v>
      </c>
      <c r="C737" s="5" t="n">
        <v>0.48</v>
      </c>
      <c r="D737" s="5" t="n">
        <f aca="false">IF(AND(ISNUMBER(B737),ISNUMBER(C737)),C737-B737,"")</f>
        <v>0.01</v>
      </c>
      <c r="E737" s="4" t="s">
        <v>1235</v>
      </c>
    </row>
    <row r="738" customFormat="false" ht="15" hidden="false" customHeight="false" outlineLevel="0" collapsed="false">
      <c r="A738" s="4" t="s">
        <v>1237</v>
      </c>
      <c r="B738" s="5" t="s">
        <v>27</v>
      </c>
      <c r="C738" s="5" t="s">
        <v>27</v>
      </c>
      <c r="D738" s="5" t="str">
        <f aca="false">IF(AND(ISNUMBER(B738),ISNUMBER(C738)),C738-B738,"")</f>
        <v/>
      </c>
      <c r="E738" s="4" t="s">
        <v>531</v>
      </c>
    </row>
    <row r="739" customFormat="false" ht="15" hidden="false" customHeight="false" outlineLevel="0" collapsed="false">
      <c r="A739" s="4" t="s">
        <v>1238</v>
      </c>
      <c r="B739" s="5" t="n">
        <v>0.4</v>
      </c>
      <c r="C739" s="5" t="n">
        <v>0.4</v>
      </c>
      <c r="D739" s="5" t="n">
        <f aca="false">IF(AND(ISNUMBER(B739),ISNUMBER(C739)),C739-B739,"")</f>
        <v>0</v>
      </c>
      <c r="E739" s="4" t="s">
        <v>531</v>
      </c>
    </row>
    <row r="740" customFormat="false" ht="15" hidden="false" customHeight="false" outlineLevel="0" collapsed="false">
      <c r="A740" s="4" t="s">
        <v>1239</v>
      </c>
      <c r="B740" s="5" t="s">
        <v>27</v>
      </c>
      <c r="C740" s="5" t="s">
        <v>27</v>
      </c>
      <c r="D740" s="5" t="str">
        <f aca="false">IF(AND(ISNUMBER(B740),ISNUMBER(C740)),C740-B740,"")</f>
        <v/>
      </c>
      <c r="E740" s="4" t="s">
        <v>531</v>
      </c>
    </row>
    <row r="741" customFormat="false" ht="15" hidden="false" customHeight="false" outlineLevel="0" collapsed="false">
      <c r="A741" s="4" t="s">
        <v>1240</v>
      </c>
      <c r="B741" s="5" t="s">
        <v>27</v>
      </c>
      <c r="C741" s="5" t="s">
        <v>27</v>
      </c>
      <c r="D741" s="5" t="str">
        <f aca="false">IF(AND(ISNUMBER(B741),ISNUMBER(C741)),C741-B741,"")</f>
        <v/>
      </c>
      <c r="E741" s="4" t="s">
        <v>531</v>
      </c>
    </row>
    <row r="742" customFormat="false" ht="23.85" hidden="false" customHeight="false" outlineLevel="0" collapsed="false">
      <c r="A742" s="4" t="s">
        <v>1241</v>
      </c>
      <c r="B742" s="5" t="n">
        <v>-0.38</v>
      </c>
      <c r="C742" s="5" t="n">
        <v>-0.38</v>
      </c>
      <c r="D742" s="5" t="n">
        <f aca="false">IF(AND(ISNUMBER(B742),ISNUMBER(C742)),C742-B742,"")</f>
        <v>0</v>
      </c>
      <c r="E742" s="4" t="s">
        <v>531</v>
      </c>
    </row>
    <row r="743" customFormat="false" ht="15" hidden="false" customHeight="false" outlineLevel="0" collapsed="false">
      <c r="A743" s="4" t="s">
        <v>1242</v>
      </c>
      <c r="B743" s="5" t="s">
        <v>27</v>
      </c>
      <c r="C743" s="5" t="s">
        <v>27</v>
      </c>
      <c r="D743" s="5" t="str">
        <f aca="false">IF(AND(ISNUMBER(B743),ISNUMBER(C743)),C743-B743,"")</f>
        <v/>
      </c>
      <c r="E743" s="4" t="s">
        <v>531</v>
      </c>
    </row>
    <row r="744" customFormat="false" ht="15" hidden="false" customHeight="false" outlineLevel="0" collapsed="false">
      <c r="A744" s="4" t="s">
        <v>1243</v>
      </c>
      <c r="B744" s="5" t="s">
        <v>27</v>
      </c>
      <c r="C744" s="5" t="s">
        <v>27</v>
      </c>
      <c r="D744" s="5" t="str">
        <f aca="false">IF(AND(ISNUMBER(B744),ISNUMBER(C744)),C744-B744,"")</f>
        <v/>
      </c>
      <c r="E744" s="4" t="s">
        <v>531</v>
      </c>
    </row>
    <row r="745" customFormat="false" ht="15" hidden="false" customHeight="false" outlineLevel="0" collapsed="false">
      <c r="A745" s="4" t="s">
        <v>1244</v>
      </c>
      <c r="B745" s="5" t="s">
        <v>27</v>
      </c>
      <c r="C745" s="5" t="s">
        <v>27</v>
      </c>
      <c r="D745" s="5" t="str">
        <f aca="false">IF(AND(ISNUMBER(B745),ISNUMBER(C745)),C745-B745,"")</f>
        <v/>
      </c>
      <c r="E745" s="4" t="s">
        <v>531</v>
      </c>
    </row>
    <row r="746" customFormat="false" ht="15" hidden="false" customHeight="false" outlineLevel="0" collapsed="false">
      <c r="A746" s="4" t="s">
        <v>1245</v>
      </c>
      <c r="B746" s="5" t="n">
        <v>-0.3</v>
      </c>
      <c r="C746" s="5" t="n">
        <v>-0.3</v>
      </c>
      <c r="D746" s="5" t="n">
        <f aca="false">IF(AND(ISNUMBER(B746),ISNUMBER(C746)),C746-B746,"")</f>
        <v>0</v>
      </c>
      <c r="E746" s="4" t="s">
        <v>531</v>
      </c>
    </row>
    <row r="747" customFormat="false" ht="15" hidden="false" customHeight="false" outlineLevel="0" collapsed="false">
      <c r="A747" s="4" t="s">
        <v>1246</v>
      </c>
      <c r="B747" s="5" t="s">
        <v>27</v>
      </c>
      <c r="C747" s="5" t="s">
        <v>27</v>
      </c>
      <c r="D747" s="5" t="str">
        <f aca="false">IF(AND(ISNUMBER(B747),ISNUMBER(C747)),C747-B747,"")</f>
        <v/>
      </c>
      <c r="E747" s="4" t="s">
        <v>531</v>
      </c>
    </row>
    <row r="748" customFormat="false" ht="15" hidden="false" customHeight="false" outlineLevel="0" collapsed="false">
      <c r="A748" s="4" t="s">
        <v>1247</v>
      </c>
      <c r="B748" s="5" t="n">
        <v>-0.58</v>
      </c>
      <c r="C748" s="5" t="n">
        <v>-0.58</v>
      </c>
      <c r="D748" s="5" t="n">
        <f aca="false">IF(AND(ISNUMBER(B748),ISNUMBER(C748)),C748-B748,"")</f>
        <v>0</v>
      </c>
      <c r="E748" s="4" t="s">
        <v>531</v>
      </c>
    </row>
    <row r="749" customFormat="false" ht="15" hidden="false" customHeight="false" outlineLevel="0" collapsed="false">
      <c r="A749" s="4" t="s">
        <v>1248</v>
      </c>
      <c r="B749" s="5" t="s">
        <v>27</v>
      </c>
      <c r="C749" s="5" t="s">
        <v>27</v>
      </c>
      <c r="D749" s="5" t="str">
        <f aca="false">IF(AND(ISNUMBER(B749),ISNUMBER(C749)),C749-B749,"")</f>
        <v/>
      </c>
      <c r="E749" s="4" t="s">
        <v>531</v>
      </c>
    </row>
    <row r="750" customFormat="false" ht="15" hidden="false" customHeight="false" outlineLevel="0" collapsed="false">
      <c r="A750" s="4" t="s">
        <v>1249</v>
      </c>
      <c r="B750" s="5" t="s">
        <v>27</v>
      </c>
      <c r="C750" s="5" t="s">
        <v>27</v>
      </c>
      <c r="D750" s="5" t="str">
        <f aca="false">IF(AND(ISNUMBER(B750),ISNUMBER(C750)),C750-B750,"")</f>
        <v/>
      </c>
      <c r="E750" s="4" t="s">
        <v>531</v>
      </c>
    </row>
    <row r="751" customFormat="false" ht="23.85" hidden="false" customHeight="false" outlineLevel="0" collapsed="false">
      <c r="A751" s="4" t="s">
        <v>1250</v>
      </c>
      <c r="B751" s="5" t="n">
        <v>0.1</v>
      </c>
      <c r="C751" s="5" t="n">
        <v>0.1</v>
      </c>
      <c r="D751" s="5" t="n">
        <f aca="false">IF(AND(ISNUMBER(B751),ISNUMBER(C751)),C751-B751,"")</f>
        <v>0</v>
      </c>
      <c r="E751" s="4" t="s">
        <v>531</v>
      </c>
    </row>
    <row r="752" customFormat="false" ht="15" hidden="false" customHeight="false" outlineLevel="0" collapsed="false">
      <c r="A752" s="4" t="s">
        <v>1251</v>
      </c>
      <c r="B752" s="5" t="s">
        <v>27</v>
      </c>
      <c r="C752" s="5" t="s">
        <v>27</v>
      </c>
      <c r="D752" s="5" t="str">
        <f aca="false">IF(AND(ISNUMBER(B752),ISNUMBER(C752)),C752-B752,"")</f>
        <v/>
      </c>
      <c r="E752" s="4" t="s">
        <v>531</v>
      </c>
    </row>
    <row r="753" customFormat="false" ht="15" hidden="false" customHeight="false" outlineLevel="0" collapsed="false">
      <c r="A753" s="4" t="s">
        <v>1252</v>
      </c>
      <c r="B753" s="5" t="s">
        <v>27</v>
      </c>
      <c r="C753" s="5" t="s">
        <v>27</v>
      </c>
      <c r="D753" s="5" t="str">
        <f aca="false">IF(AND(ISNUMBER(B753),ISNUMBER(C753)),C753-B753,"")</f>
        <v/>
      </c>
      <c r="E753" s="4" t="s">
        <v>531</v>
      </c>
    </row>
    <row r="754" customFormat="false" ht="15" hidden="false" customHeight="false" outlineLevel="0" collapsed="false">
      <c r="A754" s="4" t="s">
        <v>1253</v>
      </c>
      <c r="B754" s="5" t="s">
        <v>27</v>
      </c>
      <c r="C754" s="5" t="s">
        <v>27</v>
      </c>
      <c r="D754" s="5" t="str">
        <f aca="false">IF(AND(ISNUMBER(B754),ISNUMBER(C754)),C754-B754,"")</f>
        <v/>
      </c>
      <c r="E754" s="4" t="s">
        <v>531</v>
      </c>
    </row>
    <row r="755" customFormat="false" ht="15" hidden="false" customHeight="false" outlineLevel="0" collapsed="false">
      <c r="A755" s="4" t="s">
        <v>1254</v>
      </c>
      <c r="B755" s="5" t="n">
        <v>0.08</v>
      </c>
      <c r="C755" s="5" t="n">
        <v>0.08</v>
      </c>
      <c r="D755" s="5" t="n">
        <f aca="false">IF(AND(ISNUMBER(B755),ISNUMBER(C755)),C755-B755,"")</f>
        <v>0</v>
      </c>
      <c r="E755" s="4" t="s">
        <v>531</v>
      </c>
    </row>
    <row r="756" customFormat="false" ht="15" hidden="false" customHeight="false" outlineLevel="0" collapsed="false">
      <c r="A756" s="4" t="s">
        <v>1255</v>
      </c>
      <c r="B756" s="5" t="s">
        <v>27</v>
      </c>
      <c r="C756" s="5" t="s">
        <v>27</v>
      </c>
      <c r="D756" s="5" t="str">
        <f aca="false">IF(AND(ISNUMBER(B756),ISNUMBER(C756)),C756-B756,"")</f>
        <v/>
      </c>
      <c r="E756" s="4" t="s">
        <v>531</v>
      </c>
    </row>
    <row r="757" customFormat="false" ht="15" hidden="false" customHeight="false" outlineLevel="0" collapsed="false">
      <c r="A757" s="4" t="s">
        <v>1256</v>
      </c>
      <c r="B757" s="5" t="n">
        <v>-0.01</v>
      </c>
      <c r="C757" s="5" t="n">
        <v>-0.01</v>
      </c>
      <c r="D757" s="5" t="n">
        <f aca="false">IF(AND(ISNUMBER(B757),ISNUMBER(C757)),C757-B757,"")</f>
        <v>0</v>
      </c>
      <c r="E757" s="4" t="s">
        <v>531</v>
      </c>
    </row>
    <row r="758" customFormat="false" ht="15" hidden="false" customHeight="false" outlineLevel="0" collapsed="false">
      <c r="A758" s="4" t="s">
        <v>1257</v>
      </c>
      <c r="B758" s="5" t="s">
        <v>27</v>
      </c>
      <c r="C758" s="5" t="s">
        <v>27</v>
      </c>
      <c r="D758" s="5" t="str">
        <f aca="false">IF(AND(ISNUMBER(B758),ISNUMBER(C758)),C758-B758,"")</f>
        <v/>
      </c>
      <c r="E758" s="4" t="s">
        <v>531</v>
      </c>
    </row>
    <row r="759" customFormat="false" ht="15" hidden="false" customHeight="false" outlineLevel="0" collapsed="false">
      <c r="A759" s="4" t="s">
        <v>1258</v>
      </c>
      <c r="B759" s="5" t="s">
        <v>27</v>
      </c>
      <c r="C759" s="5" t="s">
        <v>27</v>
      </c>
      <c r="D759" s="5" t="str">
        <f aca="false">IF(AND(ISNUMBER(B759),ISNUMBER(C759)),C759-B759,"")</f>
        <v/>
      </c>
      <c r="E759" s="4" t="s">
        <v>531</v>
      </c>
    </row>
    <row r="760" customFormat="false" ht="23.85" hidden="false" customHeight="false" outlineLevel="0" collapsed="false">
      <c r="A760" s="4" t="s">
        <v>1259</v>
      </c>
      <c r="B760" s="5" t="n">
        <v>0.45</v>
      </c>
      <c r="C760" s="5" t="n">
        <v>0.45</v>
      </c>
      <c r="D760" s="5" t="n">
        <f aca="false">IF(AND(ISNUMBER(B760),ISNUMBER(C760)),C760-B760,"")</f>
        <v>0</v>
      </c>
      <c r="E760" s="4" t="s">
        <v>531</v>
      </c>
    </row>
    <row r="761" customFormat="false" ht="15" hidden="false" customHeight="false" outlineLevel="0" collapsed="false">
      <c r="A761" s="4" t="s">
        <v>1260</v>
      </c>
      <c r="B761" s="5" t="s">
        <v>27</v>
      </c>
      <c r="C761" s="5" t="s">
        <v>27</v>
      </c>
      <c r="D761" s="5" t="str">
        <f aca="false">IF(AND(ISNUMBER(B761),ISNUMBER(C761)),C761-B761,"")</f>
        <v/>
      </c>
      <c r="E761" s="4" t="s">
        <v>531</v>
      </c>
    </row>
    <row r="762" customFormat="false" ht="15" hidden="false" customHeight="false" outlineLevel="0" collapsed="false">
      <c r="A762" s="4" t="s">
        <v>1261</v>
      </c>
      <c r="B762" s="5" t="s">
        <v>27</v>
      </c>
      <c r="C762" s="5" t="s">
        <v>27</v>
      </c>
      <c r="D762" s="5" t="str">
        <f aca="false">IF(AND(ISNUMBER(B762),ISNUMBER(C762)),C762-B762,"")</f>
        <v/>
      </c>
      <c r="E762" s="4" t="s">
        <v>531</v>
      </c>
    </row>
    <row r="763" customFormat="false" ht="15" hidden="false" customHeight="false" outlineLevel="0" collapsed="false">
      <c r="A763" s="4" t="s">
        <v>1262</v>
      </c>
      <c r="B763" s="5" t="s">
        <v>27</v>
      </c>
      <c r="C763" s="5" t="s">
        <v>27</v>
      </c>
      <c r="D763" s="5" t="str">
        <f aca="false">IF(AND(ISNUMBER(B763),ISNUMBER(C763)),C763-B763,"")</f>
        <v/>
      </c>
      <c r="E763" s="4" t="s">
        <v>531</v>
      </c>
    </row>
    <row r="764" customFormat="false" ht="15" hidden="false" customHeight="false" outlineLevel="0" collapsed="false">
      <c r="A764" s="4" t="s">
        <v>1263</v>
      </c>
      <c r="B764" s="5" t="n">
        <v>0.35</v>
      </c>
      <c r="C764" s="5" t="n">
        <v>0.35</v>
      </c>
      <c r="D764" s="5" t="n">
        <f aca="false">IF(AND(ISNUMBER(B764),ISNUMBER(C764)),C764-B764,"")</f>
        <v>0</v>
      </c>
      <c r="E764" s="4" t="s">
        <v>531</v>
      </c>
    </row>
    <row r="765" customFormat="false" ht="15" hidden="false" customHeight="false" outlineLevel="0" collapsed="false">
      <c r="A765" s="4" t="s">
        <v>1264</v>
      </c>
      <c r="B765" s="5" t="s">
        <v>27</v>
      </c>
      <c r="C765" s="5" t="s">
        <v>27</v>
      </c>
      <c r="D765" s="5" t="str">
        <f aca="false">IF(AND(ISNUMBER(B765),ISNUMBER(C765)),C765-B765,"")</f>
        <v/>
      </c>
      <c r="E765" s="4" t="s">
        <v>531</v>
      </c>
    </row>
    <row r="766" customFormat="false" ht="15" hidden="false" customHeight="false" outlineLevel="0" collapsed="false">
      <c r="A766" s="4" t="s">
        <v>1265</v>
      </c>
      <c r="B766" s="5" t="n">
        <v>0.17</v>
      </c>
      <c r="C766" s="5" t="n">
        <v>0.17</v>
      </c>
      <c r="D766" s="5" t="n">
        <f aca="false">IF(AND(ISNUMBER(B766),ISNUMBER(C766)),C766-B766,"")</f>
        <v>0</v>
      </c>
      <c r="E766" s="4" t="s">
        <v>531</v>
      </c>
    </row>
    <row r="767" customFormat="false" ht="15" hidden="false" customHeight="false" outlineLevel="0" collapsed="false">
      <c r="A767" s="4" t="s">
        <v>1266</v>
      </c>
      <c r="B767" s="5" t="n">
        <v>0.948</v>
      </c>
      <c r="C767" s="5" t="n">
        <v>0.948</v>
      </c>
      <c r="D767" s="5" t="n">
        <f aca="false">IF(AND(ISNUMBER(B767),ISNUMBER(C767)),C767-B767,"")</f>
        <v>0</v>
      </c>
      <c r="E767" s="4" t="s">
        <v>531</v>
      </c>
    </row>
    <row r="768" customFormat="false" ht="15" hidden="false" customHeight="false" outlineLevel="0" collapsed="false">
      <c r="A768" s="4" t="s">
        <v>1267</v>
      </c>
      <c r="B768" s="5" t="n">
        <v>0.768</v>
      </c>
      <c r="C768" s="5" t="n">
        <v>0.768</v>
      </c>
      <c r="D768" s="5" t="n">
        <f aca="false">IF(AND(ISNUMBER(B768),ISNUMBER(C768)),C768-B768,"")</f>
        <v>0</v>
      </c>
      <c r="E768" s="4" t="s">
        <v>531</v>
      </c>
    </row>
    <row r="769" customFormat="false" ht="15" hidden="false" customHeight="false" outlineLevel="0" collapsed="false">
      <c r="A769" s="4" t="s">
        <v>1268</v>
      </c>
      <c r="B769" s="5" t="n">
        <v>0.665</v>
      </c>
      <c r="C769" s="5" t="n">
        <v>0.665</v>
      </c>
      <c r="D769" s="5" t="n">
        <f aca="false">IF(AND(ISNUMBER(B769),ISNUMBER(C769)),C769-B769,"")</f>
        <v>0</v>
      </c>
      <c r="E769" s="4" t="s">
        <v>531</v>
      </c>
    </row>
    <row r="770" customFormat="false" ht="15" hidden="false" customHeight="false" outlineLevel="0" collapsed="false">
      <c r="A770" s="4" t="s">
        <v>1269</v>
      </c>
      <c r="B770" s="5" t="n">
        <v>0.863</v>
      </c>
      <c r="C770" s="5" t="n">
        <v>0.863</v>
      </c>
      <c r="D770" s="5" t="n">
        <f aca="false">IF(AND(ISNUMBER(B770),ISNUMBER(C770)),C770-B770,"")</f>
        <v>0</v>
      </c>
      <c r="E770" s="4" t="s">
        <v>531</v>
      </c>
    </row>
    <row r="771" customFormat="false" ht="15" hidden="false" customHeight="false" outlineLevel="0" collapsed="false">
      <c r="A771" s="4" t="s">
        <v>1270</v>
      </c>
      <c r="B771" s="5" t="n">
        <v>0.198</v>
      </c>
      <c r="C771" s="5" t="n">
        <v>0.198</v>
      </c>
      <c r="D771" s="5" t="n">
        <f aca="false">IF(AND(ISNUMBER(B771),ISNUMBER(C771)),C771-B771,"")</f>
        <v>0</v>
      </c>
      <c r="E771" s="4" t="s">
        <v>531</v>
      </c>
    </row>
    <row r="772" customFormat="false" ht="23.85" hidden="false" customHeight="false" outlineLevel="0" collapsed="false">
      <c r="A772" s="4" t="s">
        <v>1271</v>
      </c>
      <c r="B772" s="5" t="n">
        <v>0.094</v>
      </c>
      <c r="C772" s="5" t="n">
        <v>0.087</v>
      </c>
      <c r="D772" s="5" t="n">
        <f aca="false">IF(AND(ISNUMBER(B772),ISNUMBER(C772)),C772-B772,"")</f>
        <v>-0.00700000000000001</v>
      </c>
      <c r="E772" s="4" t="s">
        <v>605</v>
      </c>
    </row>
    <row r="773" customFormat="false" ht="15" hidden="false" customHeight="false" outlineLevel="0" collapsed="false">
      <c r="A773" s="4" t="s">
        <v>1272</v>
      </c>
      <c r="B773" s="5" t="n">
        <v>0.209</v>
      </c>
      <c r="C773" s="5" t="n">
        <v>0.209</v>
      </c>
      <c r="D773" s="5" t="n">
        <f aca="false">IF(AND(ISNUMBER(B773),ISNUMBER(C773)),C773-B773,"")</f>
        <v>0</v>
      </c>
      <c r="E773" s="4" t="s">
        <v>531</v>
      </c>
    </row>
    <row r="774" customFormat="false" ht="15" hidden="false" customHeight="false" outlineLevel="0" collapsed="false">
      <c r="A774" s="4" t="s">
        <v>1273</v>
      </c>
      <c r="B774" s="5" t="n">
        <v>0.071</v>
      </c>
      <c r="C774" s="5" t="n">
        <v>0.071</v>
      </c>
      <c r="D774" s="5" t="n">
        <f aca="false">IF(AND(ISNUMBER(B774),ISNUMBER(C774)),C774-B774,"")</f>
        <v>0</v>
      </c>
      <c r="E774" s="4" t="s">
        <v>531</v>
      </c>
    </row>
    <row r="775" customFormat="false" ht="15" hidden="false" customHeight="false" outlineLevel="0" collapsed="false">
      <c r="A775" s="4" t="s">
        <v>1274</v>
      </c>
      <c r="B775" s="5" t="n">
        <v>0.003</v>
      </c>
      <c r="C775" s="5" t="n">
        <v>0.003</v>
      </c>
      <c r="D775" s="5" t="n">
        <f aca="false">IF(AND(ISNUMBER(B775),ISNUMBER(C775)),C775-B775,"")</f>
        <v>0</v>
      </c>
      <c r="E775" s="4" t="s">
        <v>531</v>
      </c>
    </row>
    <row r="776" customFormat="false" ht="23.85" hidden="false" customHeight="false" outlineLevel="0" collapsed="false">
      <c r="A776" s="4" t="s">
        <v>1275</v>
      </c>
      <c r="B776" s="5" t="n">
        <v>0.656</v>
      </c>
      <c r="C776" s="5" t="n">
        <v>0.656</v>
      </c>
      <c r="D776" s="5" t="n">
        <f aca="false">IF(AND(ISNUMBER(B776),ISNUMBER(C776)),C776-B776,"")</f>
        <v>0</v>
      </c>
      <c r="E776" s="4" t="s">
        <v>531</v>
      </c>
    </row>
    <row r="777" customFormat="false" ht="23.85" hidden="false" customHeight="false" outlineLevel="0" collapsed="false">
      <c r="A777" s="4" t="s">
        <v>1276</v>
      </c>
      <c r="B777" s="5" t="n">
        <v>0.253</v>
      </c>
      <c r="C777" s="5" t="n">
        <v>0.253</v>
      </c>
      <c r="D777" s="5" t="n">
        <f aca="false">IF(AND(ISNUMBER(B777),ISNUMBER(C777)),C777-B777,"")</f>
        <v>0</v>
      </c>
      <c r="E777" s="4" t="s">
        <v>531</v>
      </c>
    </row>
    <row r="778" customFormat="false" ht="23.85" hidden="false" customHeight="false" outlineLevel="0" collapsed="false">
      <c r="A778" s="4" t="s">
        <v>1277</v>
      </c>
      <c r="B778" s="5" t="n">
        <v>0.07</v>
      </c>
      <c r="C778" s="5" t="n">
        <v>0.07</v>
      </c>
      <c r="D778" s="5" t="n">
        <f aca="false">IF(AND(ISNUMBER(B778),ISNUMBER(C778)),C778-B778,"")</f>
        <v>0</v>
      </c>
      <c r="E778" s="4" t="s">
        <v>531</v>
      </c>
    </row>
    <row r="779" customFormat="false" ht="23.85" hidden="false" customHeight="false" outlineLevel="0" collapsed="false">
      <c r="A779" s="4" t="s">
        <v>1278</v>
      </c>
      <c r="B779" s="5" t="n">
        <v>0</v>
      </c>
      <c r="C779" s="5" t="n">
        <v>0</v>
      </c>
      <c r="D779" s="5" t="n">
        <f aca="false">IF(AND(ISNUMBER(B779),ISNUMBER(C779)),C779-B779,"")</f>
        <v>0</v>
      </c>
      <c r="E779" s="4" t="s">
        <v>531</v>
      </c>
    </row>
    <row r="780" customFormat="false" ht="23.85" hidden="false" customHeight="false" outlineLevel="0" collapsed="false">
      <c r="A780" s="4" t="s">
        <v>1279</v>
      </c>
      <c r="B780" s="5" t="n">
        <v>0.281</v>
      </c>
      <c r="C780" s="5" t="n">
        <v>0.281</v>
      </c>
      <c r="D780" s="5" t="n">
        <f aca="false">IF(AND(ISNUMBER(B780),ISNUMBER(C780)),C780-B780,"")</f>
        <v>0</v>
      </c>
      <c r="E780" s="4" t="s">
        <v>531</v>
      </c>
    </row>
    <row r="781" customFormat="false" ht="15" hidden="false" customHeight="false" outlineLevel="0" collapsed="false">
      <c r="A781" s="4" t="s">
        <v>1280</v>
      </c>
      <c r="B781" s="5" t="n">
        <v>0.164</v>
      </c>
      <c r="C781" s="5" t="n">
        <v>0.164</v>
      </c>
      <c r="D781" s="5" t="n">
        <f aca="false">IF(AND(ISNUMBER(B781),ISNUMBER(C781)),C781-B781,"")</f>
        <v>0</v>
      </c>
      <c r="E781" s="4" t="s">
        <v>531</v>
      </c>
    </row>
    <row r="782" customFormat="false" ht="23.85" hidden="false" customHeight="false" outlineLevel="0" collapsed="false">
      <c r="A782" s="4" t="s">
        <v>1281</v>
      </c>
      <c r="B782" s="5" t="n">
        <v>-0.117</v>
      </c>
      <c r="C782" s="5" t="n">
        <v>-0.117</v>
      </c>
      <c r="D782" s="5" t="n">
        <f aca="false">IF(AND(ISNUMBER(B782),ISNUMBER(C782)),C782-B782,"")</f>
        <v>0</v>
      </c>
      <c r="E782" s="4" t="s">
        <v>531</v>
      </c>
    </row>
    <row r="783" customFormat="false" ht="23.85" hidden="false" customHeight="false" outlineLevel="0" collapsed="false">
      <c r="A783" s="4" t="s">
        <v>1282</v>
      </c>
      <c r="B783" s="5" t="n">
        <v>0.085</v>
      </c>
      <c r="C783" s="5" t="n">
        <v>0.093</v>
      </c>
      <c r="D783" s="5" t="n">
        <f aca="false">IF(AND(ISNUMBER(B783),ISNUMBER(C783)),C783-B783,"")</f>
        <v>0.00799999999999999</v>
      </c>
      <c r="E783" s="4" t="s">
        <v>605</v>
      </c>
    </row>
    <row r="784" customFormat="false" ht="23.85" hidden="false" customHeight="false" outlineLevel="0" collapsed="false">
      <c r="A784" s="4" t="s">
        <v>1283</v>
      </c>
      <c r="B784" s="5" t="n">
        <v>-0.109</v>
      </c>
      <c r="C784" s="5" t="n">
        <v>-0.109</v>
      </c>
      <c r="D784" s="5" t="n">
        <f aca="false">IF(AND(ISNUMBER(B784),ISNUMBER(C784)),C784-B784,"")</f>
        <v>0</v>
      </c>
      <c r="E784" s="4" t="s">
        <v>531</v>
      </c>
    </row>
    <row r="785" customFormat="false" ht="23.85" hidden="false" customHeight="false" outlineLevel="0" collapsed="false">
      <c r="A785" s="4" t="s">
        <v>1284</v>
      </c>
      <c r="B785" s="5" t="n">
        <v>0.068</v>
      </c>
      <c r="C785" s="5" t="n">
        <v>0.068</v>
      </c>
      <c r="D785" s="5" t="n">
        <f aca="false">IF(AND(ISNUMBER(B785),ISNUMBER(C785)),C785-B785,"")</f>
        <v>0</v>
      </c>
      <c r="E785" s="4" t="s">
        <v>531</v>
      </c>
    </row>
    <row r="786" customFormat="false" ht="15" hidden="false" customHeight="false" outlineLevel="0" collapsed="false">
      <c r="A786" s="4" t="s">
        <v>1285</v>
      </c>
      <c r="B786" s="5" t="n">
        <v>0.11</v>
      </c>
      <c r="C786" s="5" t="n">
        <v>0.11</v>
      </c>
      <c r="D786" s="5" t="n">
        <f aca="false">IF(AND(ISNUMBER(B786),ISNUMBER(C786)),C786-B786,"")</f>
        <v>0</v>
      </c>
      <c r="E786" s="4" t="s">
        <v>531</v>
      </c>
    </row>
    <row r="787" customFormat="false" ht="23.85" hidden="false" customHeight="false" outlineLevel="0" collapsed="false">
      <c r="A787" s="4" t="s">
        <v>1286</v>
      </c>
      <c r="B787" s="5" t="n">
        <v>0.293</v>
      </c>
      <c r="C787" s="5" t="n">
        <v>0.293</v>
      </c>
      <c r="D787" s="5" t="n">
        <f aca="false">IF(AND(ISNUMBER(B787),ISNUMBER(C787)),C787-B787,"")</f>
        <v>0</v>
      </c>
      <c r="E787" s="4" t="s">
        <v>531</v>
      </c>
    </row>
    <row r="788" customFormat="false" ht="15" hidden="false" customHeight="false" outlineLevel="0" collapsed="false">
      <c r="A788" s="4" t="s">
        <v>1287</v>
      </c>
      <c r="B788" s="5" t="n">
        <v>0.301</v>
      </c>
      <c r="C788" s="5" t="n">
        <v>0.301</v>
      </c>
      <c r="D788" s="5" t="n">
        <f aca="false">IF(AND(ISNUMBER(B788),ISNUMBER(C788)),C788-B788,"")</f>
        <v>0</v>
      </c>
      <c r="E788" s="4" t="s">
        <v>531</v>
      </c>
    </row>
    <row r="789" customFormat="false" ht="23.85" hidden="false" customHeight="false" outlineLevel="0" collapsed="false">
      <c r="A789" s="4" t="s">
        <v>1288</v>
      </c>
      <c r="B789" s="5" t="n">
        <v>0.008</v>
      </c>
      <c r="C789" s="5" t="n">
        <v>0.008</v>
      </c>
      <c r="D789" s="5" t="n">
        <f aca="false">IF(AND(ISNUMBER(B789),ISNUMBER(C789)),C789-B789,"")</f>
        <v>0</v>
      </c>
      <c r="E789" s="4" t="s">
        <v>531</v>
      </c>
    </row>
    <row r="790" customFormat="false" ht="23.85" hidden="false" customHeight="false" outlineLevel="0" collapsed="false">
      <c r="A790" s="4" t="s">
        <v>1289</v>
      </c>
      <c r="B790" s="5" t="n">
        <v>0.096</v>
      </c>
      <c r="C790" s="5" t="n">
        <v>0.093</v>
      </c>
      <c r="D790" s="5" t="n">
        <f aca="false">IF(AND(ISNUMBER(B790),ISNUMBER(C790)),C790-B790,"")</f>
        <v>-0.003</v>
      </c>
      <c r="E790" s="4" t="s">
        <v>605</v>
      </c>
    </row>
    <row r="791" customFormat="false" ht="15" hidden="false" customHeight="false" outlineLevel="0" collapsed="false">
      <c r="A791" s="4" t="s">
        <v>1290</v>
      </c>
      <c r="B791" s="5" t="n">
        <v>0.039</v>
      </c>
      <c r="C791" s="5" t="n">
        <v>0.039</v>
      </c>
      <c r="D791" s="5" t="n">
        <f aca="false">IF(AND(ISNUMBER(B791),ISNUMBER(C791)),C791-B791,"")</f>
        <v>0</v>
      </c>
      <c r="E791" s="4" t="s">
        <v>531</v>
      </c>
    </row>
    <row r="792" customFormat="false" ht="23.85" hidden="false" customHeight="false" outlineLevel="0" collapsed="false">
      <c r="A792" s="4" t="s">
        <v>1291</v>
      </c>
      <c r="B792" s="5" t="n">
        <v>0.089</v>
      </c>
      <c r="C792" s="5" t="n">
        <v>0.089</v>
      </c>
      <c r="D792" s="5" t="n">
        <f aca="false">IF(AND(ISNUMBER(B792),ISNUMBER(C792)),C792-B792,"")</f>
        <v>0</v>
      </c>
      <c r="E792" s="4" t="s">
        <v>531</v>
      </c>
    </row>
    <row r="793" customFormat="false" ht="15" hidden="false" customHeight="false" outlineLevel="0" collapsed="false">
      <c r="A793" s="4" t="s">
        <v>1292</v>
      </c>
      <c r="B793" s="5" t="n">
        <v>0.66</v>
      </c>
      <c r="C793" s="5" t="n">
        <v>0.66</v>
      </c>
      <c r="D793" s="5" t="n">
        <f aca="false">IF(AND(ISNUMBER(B793),ISNUMBER(C793)),C793-B793,"")</f>
        <v>0</v>
      </c>
      <c r="E793" s="4" t="s">
        <v>531</v>
      </c>
    </row>
    <row r="794" customFormat="false" ht="15" hidden="false" customHeight="false" outlineLevel="0" collapsed="false">
      <c r="A794" s="4" t="s">
        <v>1293</v>
      </c>
      <c r="B794" s="5" t="n">
        <v>0.584</v>
      </c>
      <c r="C794" s="5" t="n">
        <v>0.584</v>
      </c>
      <c r="D794" s="5" t="n">
        <f aca="false">IF(AND(ISNUMBER(B794),ISNUMBER(C794)),C794-B794,"")</f>
        <v>0</v>
      </c>
      <c r="E794" s="4" t="s">
        <v>531</v>
      </c>
    </row>
    <row r="795" customFormat="false" ht="15" hidden="false" customHeight="false" outlineLevel="0" collapsed="false">
      <c r="A795" s="4" t="s">
        <v>1294</v>
      </c>
      <c r="B795" s="5" t="n">
        <v>0.342</v>
      </c>
      <c r="C795" s="5" t="n">
        <v>0.342</v>
      </c>
      <c r="D795" s="5" t="n">
        <f aca="false">IF(AND(ISNUMBER(B795),ISNUMBER(C795)),C795-B795,"")</f>
        <v>0</v>
      </c>
      <c r="E795" s="4" t="s">
        <v>531</v>
      </c>
    </row>
    <row r="796" customFormat="false" ht="15" hidden="false" customHeight="false" outlineLevel="0" collapsed="false">
      <c r="A796" s="4" t="s">
        <v>1295</v>
      </c>
      <c r="B796" s="5" t="n">
        <v>-0.241</v>
      </c>
      <c r="C796" s="5" t="n">
        <v>-0.241</v>
      </c>
      <c r="D796" s="5" t="n">
        <f aca="false">IF(AND(ISNUMBER(B796),ISNUMBER(C796)),C796-B796,"")</f>
        <v>0</v>
      </c>
      <c r="E796" s="4" t="s">
        <v>531</v>
      </c>
    </row>
    <row r="797" customFormat="false" ht="23.85" hidden="false" customHeight="false" outlineLevel="0" collapsed="false">
      <c r="A797" s="4" t="s">
        <v>1296</v>
      </c>
      <c r="B797" s="5" t="n">
        <v>0.098</v>
      </c>
      <c r="C797" s="5" t="n">
        <v>0.1</v>
      </c>
      <c r="D797" s="5" t="n">
        <f aca="false">IF(AND(ISNUMBER(B797),ISNUMBER(C797)),C797-B797,"")</f>
        <v>0.002</v>
      </c>
      <c r="E797" s="4" t="s">
        <v>605</v>
      </c>
    </row>
    <row r="798" customFormat="false" ht="15" hidden="false" customHeight="false" outlineLevel="0" collapsed="false">
      <c r="A798" s="4" t="s">
        <v>1297</v>
      </c>
      <c r="B798" s="5" t="n">
        <v>-0.199</v>
      </c>
      <c r="C798" s="5" t="n">
        <v>-0.199</v>
      </c>
      <c r="D798" s="5" t="n">
        <f aca="false">IF(AND(ISNUMBER(B798),ISNUMBER(C798)),C798-B798,"")</f>
        <v>0</v>
      </c>
      <c r="E798" s="4" t="s">
        <v>531</v>
      </c>
    </row>
    <row r="799" customFormat="false" ht="23.85" hidden="false" customHeight="false" outlineLevel="0" collapsed="false">
      <c r="A799" s="4" t="s">
        <v>1298</v>
      </c>
      <c r="B799" s="5" t="n">
        <v>0.094</v>
      </c>
      <c r="C799" s="5" t="n">
        <v>0.094</v>
      </c>
      <c r="D799" s="5" t="n">
        <f aca="false">IF(AND(ISNUMBER(B799),ISNUMBER(C799)),C799-B799,"")</f>
        <v>0</v>
      </c>
      <c r="E799" s="4" t="s">
        <v>531</v>
      </c>
    </row>
    <row r="800" customFormat="false" ht="15" hidden="false" customHeight="false" outlineLevel="0" collapsed="false">
      <c r="A800" s="4" t="s">
        <v>1299</v>
      </c>
      <c r="B800" s="5" t="n">
        <v>0.034</v>
      </c>
      <c r="C800" s="5" t="n">
        <v>0.034</v>
      </c>
      <c r="D800" s="5" t="n">
        <f aca="false">IF(AND(ISNUMBER(B800),ISNUMBER(C800)),C800-B800,"")</f>
        <v>0</v>
      </c>
      <c r="E800" s="4" t="s">
        <v>531</v>
      </c>
    </row>
    <row r="801" customFormat="false" ht="15" hidden="false" customHeight="false" outlineLevel="0" collapsed="false">
      <c r="A801" s="4" t="s">
        <v>1300</v>
      </c>
      <c r="B801" s="5" t="n">
        <v>0.812</v>
      </c>
      <c r="C801" s="5" t="n">
        <v>0.812</v>
      </c>
      <c r="D801" s="5" t="n">
        <f aca="false">IF(AND(ISNUMBER(B801),ISNUMBER(C801)),C801-B801,"")</f>
        <v>0</v>
      </c>
      <c r="E801" s="4" t="s">
        <v>531</v>
      </c>
    </row>
    <row r="802" customFormat="false" ht="15" hidden="false" customHeight="false" outlineLevel="0" collapsed="false">
      <c r="A802" s="4" t="s">
        <v>1301</v>
      </c>
      <c r="B802" s="5" t="n">
        <v>0.616</v>
      </c>
      <c r="C802" s="5" t="n">
        <v>0.616</v>
      </c>
      <c r="D802" s="5" t="n">
        <f aca="false">IF(AND(ISNUMBER(B802),ISNUMBER(C802)),C802-B802,"")</f>
        <v>0</v>
      </c>
      <c r="E802" s="4" t="s">
        <v>531</v>
      </c>
    </row>
    <row r="803" customFormat="false" ht="15" hidden="false" customHeight="false" outlineLevel="0" collapsed="false">
      <c r="A803" s="4" t="s">
        <v>1302</v>
      </c>
      <c r="B803" s="5" t="n">
        <v>-0.195</v>
      </c>
      <c r="C803" s="5" t="n">
        <v>-0.195</v>
      </c>
      <c r="D803" s="5" t="n">
        <f aca="false">IF(AND(ISNUMBER(B803),ISNUMBER(C803)),C803-B803,"")</f>
        <v>0</v>
      </c>
      <c r="E803" s="4" t="s">
        <v>531</v>
      </c>
    </row>
    <row r="804" customFormat="false" ht="23.85" hidden="false" customHeight="false" outlineLevel="0" collapsed="false">
      <c r="A804" s="4" t="s">
        <v>1303</v>
      </c>
      <c r="B804" s="5" t="n">
        <v>0.08</v>
      </c>
      <c r="C804" s="5" t="n">
        <v>0.087</v>
      </c>
      <c r="D804" s="5" t="n">
        <f aca="false">IF(AND(ISNUMBER(B804),ISNUMBER(C804)),C804-B804,"")</f>
        <v>0.00699999999999999</v>
      </c>
      <c r="E804" s="4" t="s">
        <v>605</v>
      </c>
    </row>
    <row r="805" customFormat="false" ht="15" hidden="false" customHeight="false" outlineLevel="0" collapsed="false">
      <c r="A805" s="4" t="s">
        <v>1304</v>
      </c>
      <c r="B805" s="5" t="n">
        <v>-0.17</v>
      </c>
      <c r="C805" s="5" t="n">
        <v>-0.17</v>
      </c>
      <c r="D805" s="5" t="n">
        <f aca="false">IF(AND(ISNUMBER(B805),ISNUMBER(C805)),C805-B805,"")</f>
        <v>0</v>
      </c>
      <c r="E805" s="4" t="s">
        <v>531</v>
      </c>
    </row>
    <row r="806" customFormat="false" ht="23.85" hidden="false" customHeight="false" outlineLevel="0" collapsed="false">
      <c r="A806" s="4" t="s">
        <v>1305</v>
      </c>
      <c r="B806" s="5" t="n">
        <v>0.087</v>
      </c>
      <c r="C806" s="5" t="n">
        <v>0.087</v>
      </c>
      <c r="D806" s="5" t="n">
        <f aca="false">IF(AND(ISNUMBER(B806),ISNUMBER(C806)),C806-B806,"")</f>
        <v>0</v>
      </c>
      <c r="E806" s="4" t="s">
        <v>531</v>
      </c>
    </row>
    <row r="807" customFormat="false" ht="15" hidden="false" customHeight="false" outlineLevel="0" collapsed="false">
      <c r="A807" s="4" t="s">
        <v>1306</v>
      </c>
      <c r="B807" s="5" t="n">
        <v>0.05</v>
      </c>
      <c r="C807" s="5" t="n">
        <v>0.05</v>
      </c>
      <c r="D807" s="5" t="n">
        <f aca="false">IF(AND(ISNUMBER(B807),ISNUMBER(C807)),C807-B807,"")</f>
        <v>0</v>
      </c>
      <c r="E807" s="4" t="s">
        <v>531</v>
      </c>
    </row>
    <row r="808" customFormat="false" ht="15" hidden="false" customHeight="false" outlineLevel="0" collapsed="false">
      <c r="A808" s="4" t="s">
        <v>1307</v>
      </c>
      <c r="B808" s="5" t="n">
        <v>0.357</v>
      </c>
      <c r="C808" s="5" t="n">
        <v>0.357</v>
      </c>
      <c r="D808" s="5" t="n">
        <f aca="false">IF(AND(ISNUMBER(B808),ISNUMBER(C808)),C808-B808,"")</f>
        <v>0</v>
      </c>
      <c r="E808" s="4" t="s">
        <v>531</v>
      </c>
    </row>
    <row r="809" customFormat="false" ht="15" hidden="false" customHeight="false" outlineLevel="0" collapsed="false">
      <c r="A809" s="4" t="s">
        <v>1308</v>
      </c>
      <c r="B809" s="5" t="n">
        <v>0.37</v>
      </c>
      <c r="C809" s="5" t="n">
        <v>0.37</v>
      </c>
      <c r="D809" s="5" t="n">
        <f aca="false">IF(AND(ISNUMBER(B809),ISNUMBER(C809)),C809-B809,"")</f>
        <v>0</v>
      </c>
      <c r="E809" s="4" t="s">
        <v>531</v>
      </c>
    </row>
    <row r="810" customFormat="false" ht="15" hidden="false" customHeight="false" outlineLevel="0" collapsed="false">
      <c r="A810" s="4" t="s">
        <v>1309</v>
      </c>
      <c r="B810" s="5" t="n">
        <v>0.013</v>
      </c>
      <c r="C810" s="5" t="n">
        <v>0.013</v>
      </c>
      <c r="D810" s="5" t="n">
        <f aca="false">IF(AND(ISNUMBER(B810),ISNUMBER(C810)),C810-B810,"")</f>
        <v>0</v>
      </c>
      <c r="E810" s="4" t="s">
        <v>531</v>
      </c>
    </row>
    <row r="811" customFormat="false" ht="23.85" hidden="false" customHeight="false" outlineLevel="0" collapsed="false">
      <c r="A811" s="4" t="s">
        <v>1310</v>
      </c>
      <c r="B811" s="5" t="n">
        <v>0.095</v>
      </c>
      <c r="C811" s="5" t="n">
        <v>0.094</v>
      </c>
      <c r="D811" s="5" t="n">
        <f aca="false">IF(AND(ISNUMBER(B811),ISNUMBER(C811)),C811-B811,"")</f>
        <v>-0.001</v>
      </c>
      <c r="E811" s="4" t="s">
        <v>605</v>
      </c>
    </row>
    <row r="812" customFormat="false" ht="15" hidden="false" customHeight="false" outlineLevel="0" collapsed="false">
      <c r="A812" s="4" t="s">
        <v>1311</v>
      </c>
      <c r="B812" s="5" t="n">
        <v>0.09</v>
      </c>
      <c r="C812" s="5" t="n">
        <v>0.09</v>
      </c>
      <c r="D812" s="5" t="n">
        <f aca="false">IF(AND(ISNUMBER(B812),ISNUMBER(C812)),C812-B812,"")</f>
        <v>0</v>
      </c>
      <c r="E812" s="4" t="s">
        <v>531</v>
      </c>
    </row>
    <row r="813" customFormat="false" ht="23.85" hidden="false" customHeight="false" outlineLevel="0" collapsed="false">
      <c r="A813" s="4" t="s">
        <v>1312</v>
      </c>
      <c r="B813" s="5" t="n">
        <v>0.093</v>
      </c>
      <c r="C813" s="5" t="n">
        <v>0.093</v>
      </c>
      <c r="D813" s="5" t="n">
        <f aca="false">IF(AND(ISNUMBER(B813),ISNUMBER(C813)),C813-B813,"")</f>
        <v>0</v>
      </c>
      <c r="E813" s="4" t="s">
        <v>531</v>
      </c>
    </row>
    <row r="814" customFormat="false" ht="15" hidden="false" customHeight="false" outlineLevel="0" collapsed="false">
      <c r="A814" s="4" t="s">
        <v>1313</v>
      </c>
      <c r="B814" s="5" t="n">
        <v>0.336</v>
      </c>
      <c r="C814" s="5" t="n">
        <v>0.336</v>
      </c>
      <c r="D814" s="5" t="n">
        <f aca="false">IF(AND(ISNUMBER(B814),ISNUMBER(C814)),C814-B814,"")</f>
        <v>0</v>
      </c>
      <c r="E814" s="4" t="s">
        <v>531</v>
      </c>
    </row>
    <row r="815" customFormat="false" ht="23.85" hidden="false" customHeight="false" outlineLevel="0" collapsed="false">
      <c r="A815" s="4" t="s">
        <v>1314</v>
      </c>
      <c r="B815" s="5" t="n">
        <v>0.513</v>
      </c>
      <c r="C815" s="5" t="n">
        <v>0.513</v>
      </c>
      <c r="D815" s="5" t="n">
        <f aca="false">IF(AND(ISNUMBER(B815),ISNUMBER(C815)),C815-B815,"")</f>
        <v>0</v>
      </c>
      <c r="E815" s="4" t="s">
        <v>531</v>
      </c>
    </row>
    <row r="816" customFormat="false" ht="15" hidden="false" customHeight="false" outlineLevel="0" collapsed="false">
      <c r="A816" s="4" t="s">
        <v>1315</v>
      </c>
      <c r="B816" s="5" t="n">
        <v>0.671</v>
      </c>
      <c r="C816" s="5" t="n">
        <v>0.671</v>
      </c>
      <c r="D816" s="5" t="n">
        <f aca="false">IF(AND(ISNUMBER(B816),ISNUMBER(C816)),C816-B816,"")</f>
        <v>0</v>
      </c>
      <c r="E816" s="4" t="s">
        <v>531</v>
      </c>
    </row>
    <row r="817" customFormat="false" ht="23.85" hidden="false" customHeight="false" outlineLevel="0" collapsed="false">
      <c r="A817" s="4" t="s">
        <v>1316</v>
      </c>
      <c r="B817" s="5" t="n">
        <v>0.159</v>
      </c>
      <c r="C817" s="5" t="n">
        <v>0.159</v>
      </c>
      <c r="D817" s="5" t="n">
        <f aca="false">IF(AND(ISNUMBER(B817),ISNUMBER(C817)),C817-B817,"")</f>
        <v>0</v>
      </c>
      <c r="E817" s="4" t="s">
        <v>531</v>
      </c>
    </row>
    <row r="818" customFormat="false" ht="23.85" hidden="false" customHeight="false" outlineLevel="0" collapsed="false">
      <c r="A818" s="4" t="s">
        <v>1317</v>
      </c>
      <c r="B818" s="5" t="n">
        <v>0.099</v>
      </c>
      <c r="C818" s="5" t="n">
        <v>0.104</v>
      </c>
      <c r="D818" s="5" t="n">
        <f aca="false">IF(AND(ISNUMBER(B818),ISNUMBER(C818)),C818-B818,"")</f>
        <v>0.00499999999999999</v>
      </c>
      <c r="E818" s="4" t="s">
        <v>605</v>
      </c>
    </row>
    <row r="819" customFormat="false" ht="15" hidden="false" customHeight="false" outlineLevel="0" collapsed="false">
      <c r="A819" s="4" t="s">
        <v>1318</v>
      </c>
      <c r="B819" s="5" t="n">
        <v>0.1</v>
      </c>
      <c r="C819" s="5" t="n">
        <v>0.1</v>
      </c>
      <c r="D819" s="5" t="n">
        <f aca="false">IF(AND(ISNUMBER(B819),ISNUMBER(C819)),C819-B819,"")</f>
        <v>0</v>
      </c>
      <c r="E819" s="4" t="s">
        <v>531</v>
      </c>
    </row>
    <row r="820" customFormat="false" ht="23.85" hidden="false" customHeight="false" outlineLevel="0" collapsed="false">
      <c r="A820" s="4" t="s">
        <v>1319</v>
      </c>
      <c r="B820" s="5" t="n">
        <v>0.088</v>
      </c>
      <c r="C820" s="5" t="n">
        <v>0.088</v>
      </c>
      <c r="D820" s="5" t="n">
        <f aca="false">IF(AND(ISNUMBER(B820),ISNUMBER(C820)),C820-B820,"")</f>
        <v>0</v>
      </c>
      <c r="E820" s="4" t="s">
        <v>531</v>
      </c>
    </row>
    <row r="821" customFormat="false" ht="15" hidden="false" customHeight="false" outlineLevel="0" collapsed="false">
      <c r="A821" s="4" t="s">
        <v>1320</v>
      </c>
      <c r="B821" s="5" t="n">
        <v>0.256</v>
      </c>
      <c r="C821" s="5" t="n">
        <v>0.256</v>
      </c>
      <c r="D821" s="5" t="n">
        <f aca="false">IF(AND(ISNUMBER(B821),ISNUMBER(C821)),C821-B821,"")</f>
        <v>0</v>
      </c>
      <c r="E821" s="4" t="s">
        <v>531</v>
      </c>
    </row>
    <row r="822" customFormat="false" ht="23.85" hidden="false" customHeight="false" outlineLevel="0" collapsed="false">
      <c r="A822" s="4" t="s">
        <v>1321</v>
      </c>
      <c r="B822" s="5" t="n">
        <v>0.56</v>
      </c>
      <c r="C822" s="5" t="n">
        <v>0.56</v>
      </c>
      <c r="D822" s="5" t="n">
        <f aca="false">IF(AND(ISNUMBER(B822),ISNUMBER(C822)),C822-B822,"")</f>
        <v>0</v>
      </c>
      <c r="E822" s="4" t="s">
        <v>531</v>
      </c>
    </row>
    <row r="823" customFormat="false" ht="15" hidden="false" customHeight="false" outlineLevel="0" collapsed="false">
      <c r="A823" s="4" t="s">
        <v>1322</v>
      </c>
      <c r="B823" s="5" t="n">
        <v>0.452</v>
      </c>
      <c r="C823" s="5" t="n">
        <v>0.452</v>
      </c>
      <c r="D823" s="5" t="n">
        <f aca="false">IF(AND(ISNUMBER(B823),ISNUMBER(C823)),C823-B823,"")</f>
        <v>0</v>
      </c>
      <c r="E823" s="4" t="s">
        <v>531</v>
      </c>
    </row>
    <row r="824" customFormat="false" ht="23.85" hidden="false" customHeight="false" outlineLevel="0" collapsed="false">
      <c r="A824" s="4" t="s">
        <v>1323</v>
      </c>
      <c r="B824" s="5" t="n">
        <v>-0.108</v>
      </c>
      <c r="C824" s="5" t="n">
        <v>-0.108</v>
      </c>
      <c r="D824" s="5" t="n">
        <f aca="false">IF(AND(ISNUMBER(B824),ISNUMBER(C824)),C824-B824,"")</f>
        <v>0</v>
      </c>
      <c r="E824" s="4" t="s">
        <v>531</v>
      </c>
    </row>
    <row r="825" customFormat="false" ht="23.85" hidden="false" customHeight="false" outlineLevel="0" collapsed="false">
      <c r="A825" s="4" t="s">
        <v>1324</v>
      </c>
      <c r="B825" s="5" t="n">
        <v>0.098</v>
      </c>
      <c r="C825" s="5" t="n">
        <v>0.104</v>
      </c>
      <c r="D825" s="5" t="n">
        <f aca="false">IF(AND(ISNUMBER(B825),ISNUMBER(C825)),C825-B825,"")</f>
        <v>0.00599999999999999</v>
      </c>
      <c r="E825" s="4" t="s">
        <v>605</v>
      </c>
    </row>
    <row r="826" customFormat="false" ht="15" hidden="false" customHeight="false" outlineLevel="0" collapsed="false">
      <c r="A826" s="4" t="s">
        <v>1325</v>
      </c>
      <c r="B826" s="5" t="n">
        <v>-0.082</v>
      </c>
      <c r="C826" s="5" t="n">
        <v>-0.082</v>
      </c>
      <c r="D826" s="5" t="n">
        <f aca="false">IF(AND(ISNUMBER(B826),ISNUMBER(C826)),C826-B826,"")</f>
        <v>0</v>
      </c>
      <c r="E826" s="4" t="s">
        <v>531</v>
      </c>
    </row>
    <row r="827" customFormat="false" ht="23.85" hidden="false" customHeight="false" outlineLevel="0" collapsed="false">
      <c r="A827" s="4" t="s">
        <v>1326</v>
      </c>
      <c r="B827" s="5" t="n">
        <v>0.095</v>
      </c>
      <c r="C827" s="5" t="n">
        <v>0.095</v>
      </c>
      <c r="D827" s="5" t="n">
        <f aca="false">IF(AND(ISNUMBER(B827),ISNUMBER(C827)),C827-B827,"")</f>
        <v>0</v>
      </c>
      <c r="E827" s="4" t="s">
        <v>531</v>
      </c>
    </row>
    <row r="828" customFormat="false" ht="15" hidden="false" customHeight="false" outlineLevel="0" collapsed="false">
      <c r="A828" s="4" t="s">
        <v>1327</v>
      </c>
      <c r="B828" s="5" t="n">
        <v>0.385</v>
      </c>
      <c r="C828" s="5" t="n">
        <v>0.385</v>
      </c>
      <c r="D828" s="5" t="n">
        <f aca="false">IF(AND(ISNUMBER(B828),ISNUMBER(C828)),C828-B828,"")</f>
        <v>0</v>
      </c>
      <c r="E828" s="4" t="s">
        <v>531</v>
      </c>
    </row>
    <row r="829" customFormat="false" ht="15" hidden="false" customHeight="false" outlineLevel="0" collapsed="false">
      <c r="A829" s="4" t="s">
        <v>1328</v>
      </c>
      <c r="B829" s="5" t="n">
        <v>0.247</v>
      </c>
      <c r="C829" s="5" t="n">
        <v>0.247</v>
      </c>
      <c r="D829" s="5" t="n">
        <f aca="false">IF(AND(ISNUMBER(B829),ISNUMBER(C829)),C829-B829,"")</f>
        <v>0</v>
      </c>
      <c r="E829" s="4" t="s">
        <v>531</v>
      </c>
    </row>
    <row r="830" customFormat="false" ht="15" hidden="false" customHeight="false" outlineLevel="0" collapsed="false">
      <c r="A830" s="4" t="s">
        <v>1329</v>
      </c>
      <c r="B830" s="5" t="n">
        <v>0.219</v>
      </c>
      <c r="C830" s="5" t="n">
        <v>0.219</v>
      </c>
      <c r="D830" s="5" t="n">
        <f aca="false">IF(AND(ISNUMBER(B830),ISNUMBER(C830)),C830-B830,"")</f>
        <v>0</v>
      </c>
      <c r="E830" s="4" t="s">
        <v>531</v>
      </c>
    </row>
    <row r="831" customFormat="false" ht="15" hidden="false" customHeight="false" outlineLevel="0" collapsed="false">
      <c r="A831" s="4" t="s">
        <v>1330</v>
      </c>
      <c r="B831" s="5" t="n">
        <v>-0.028</v>
      </c>
      <c r="C831" s="5" t="n">
        <v>-0.028</v>
      </c>
      <c r="D831" s="5" t="n">
        <f aca="false">IF(AND(ISNUMBER(B831),ISNUMBER(C831)),C831-B831,"")</f>
        <v>0</v>
      </c>
      <c r="E831" s="4" t="s">
        <v>531</v>
      </c>
    </row>
    <row r="832" customFormat="false" ht="23.85" hidden="false" customHeight="false" outlineLevel="0" collapsed="false">
      <c r="A832" s="4" t="s">
        <v>1331</v>
      </c>
      <c r="B832" s="5" t="n">
        <v>0.092</v>
      </c>
      <c r="C832" s="5" t="n">
        <v>0.088</v>
      </c>
      <c r="D832" s="5" t="n">
        <f aca="false">IF(AND(ISNUMBER(B832),ISNUMBER(C832)),C832-B832,"")</f>
        <v>-0.004</v>
      </c>
      <c r="E832" s="4" t="s">
        <v>605</v>
      </c>
    </row>
    <row r="833" customFormat="false" ht="15" hidden="false" customHeight="false" outlineLevel="0" collapsed="false">
      <c r="A833" s="4" t="s">
        <v>1332</v>
      </c>
      <c r="B833" s="5" t="n">
        <v>-0.058</v>
      </c>
      <c r="C833" s="5" t="n">
        <v>-0.058</v>
      </c>
      <c r="D833" s="5" t="n">
        <f aca="false">IF(AND(ISNUMBER(B833),ISNUMBER(C833)),C833-B833,"")</f>
        <v>0</v>
      </c>
      <c r="E833" s="4" t="s">
        <v>531</v>
      </c>
    </row>
    <row r="834" customFormat="false" ht="23.85" hidden="false" customHeight="false" outlineLevel="0" collapsed="false">
      <c r="A834" s="4" t="s">
        <v>1333</v>
      </c>
      <c r="B834" s="5" t="n">
        <v>0.083</v>
      </c>
      <c r="C834" s="5" t="n">
        <v>0.083</v>
      </c>
      <c r="D834" s="5" t="n">
        <f aca="false">IF(AND(ISNUMBER(B834),ISNUMBER(C834)),C834-B834,"")</f>
        <v>0</v>
      </c>
      <c r="E834" s="4" t="s">
        <v>531</v>
      </c>
    </row>
    <row r="835" customFormat="false" ht="15" hidden="false" customHeight="false" outlineLevel="0" collapsed="false">
      <c r="A835" s="4" t="s">
        <v>1334</v>
      </c>
      <c r="B835" s="5" t="n">
        <v>0.485</v>
      </c>
      <c r="C835" s="5" t="n">
        <v>0.485</v>
      </c>
      <c r="D835" s="5" t="n">
        <f aca="false">IF(AND(ISNUMBER(B835),ISNUMBER(C835)),C835-B835,"")</f>
        <v>0</v>
      </c>
      <c r="E835" s="4" t="s">
        <v>531</v>
      </c>
    </row>
    <row r="836" customFormat="false" ht="23.85" hidden="false" customHeight="false" outlineLevel="0" collapsed="false">
      <c r="A836" s="4" t="s">
        <v>1335</v>
      </c>
      <c r="B836" s="5" t="n">
        <v>0.265</v>
      </c>
      <c r="C836" s="5" t="n">
        <v>0.265</v>
      </c>
      <c r="D836" s="5" t="n">
        <f aca="false">IF(AND(ISNUMBER(B836),ISNUMBER(C836)),C836-B836,"")</f>
        <v>0</v>
      </c>
      <c r="E836" s="4" t="s">
        <v>531</v>
      </c>
    </row>
    <row r="837" customFormat="false" ht="23.85" hidden="false" customHeight="false" outlineLevel="0" collapsed="false">
      <c r="A837" s="4" t="s">
        <v>1336</v>
      </c>
      <c r="B837" s="5" t="n">
        <v>0.205</v>
      </c>
      <c r="C837" s="5" t="n">
        <v>0.205</v>
      </c>
      <c r="D837" s="5" t="n">
        <f aca="false">IF(AND(ISNUMBER(B837),ISNUMBER(C837)),C837-B837,"")</f>
        <v>0</v>
      </c>
      <c r="E837" s="4" t="s">
        <v>531</v>
      </c>
    </row>
    <row r="838" customFormat="false" ht="23.85" hidden="false" customHeight="false" outlineLevel="0" collapsed="false">
      <c r="A838" s="4" t="s">
        <v>1337</v>
      </c>
      <c r="B838" s="5" t="n">
        <v>-0.06</v>
      </c>
      <c r="C838" s="5" t="n">
        <v>-0.06</v>
      </c>
      <c r="D838" s="5" t="n">
        <f aca="false">IF(AND(ISNUMBER(B838),ISNUMBER(C838)),C838-B838,"")</f>
        <v>0</v>
      </c>
      <c r="E838" s="4" t="s">
        <v>531</v>
      </c>
    </row>
    <row r="839" customFormat="false" ht="23.85" hidden="false" customHeight="false" outlineLevel="0" collapsed="false">
      <c r="A839" s="4" t="s">
        <v>1338</v>
      </c>
      <c r="B839" s="5" t="n">
        <v>0.09</v>
      </c>
      <c r="C839" s="5" t="n">
        <v>0.088</v>
      </c>
      <c r="D839" s="5" t="n">
        <f aca="false">IF(AND(ISNUMBER(B839),ISNUMBER(C839)),C839-B839,"")</f>
        <v>-0.002</v>
      </c>
      <c r="E839" s="4" t="s">
        <v>605</v>
      </c>
    </row>
    <row r="840" customFormat="false" ht="23.85" hidden="false" customHeight="false" outlineLevel="0" collapsed="false">
      <c r="A840" s="4" t="s">
        <v>1339</v>
      </c>
      <c r="B840" s="5" t="n">
        <v>-0.158</v>
      </c>
      <c r="C840" s="5" t="n">
        <v>-0.158</v>
      </c>
      <c r="D840" s="5" t="n">
        <f aca="false">IF(AND(ISNUMBER(B840),ISNUMBER(C840)),C840-B840,"")</f>
        <v>0</v>
      </c>
      <c r="E840" s="4" t="s">
        <v>531</v>
      </c>
    </row>
    <row r="841" customFormat="false" ht="23.85" hidden="false" customHeight="false" outlineLevel="0" collapsed="false">
      <c r="A841" s="4" t="s">
        <v>1340</v>
      </c>
      <c r="B841" s="5" t="n">
        <v>0.077</v>
      </c>
      <c r="C841" s="5" t="n">
        <v>0.077</v>
      </c>
      <c r="D841" s="5" t="n">
        <f aca="false">IF(AND(ISNUMBER(B841),ISNUMBER(C841)),C841-B841,"")</f>
        <v>0</v>
      </c>
      <c r="E841" s="4" t="s">
        <v>531</v>
      </c>
    </row>
    <row r="842" customFormat="false" ht="23.85" hidden="false" customHeight="false" outlineLevel="0" collapsed="false">
      <c r="A842" s="4" t="s">
        <v>1341</v>
      </c>
      <c r="B842" s="5" t="n">
        <v>0.041</v>
      </c>
      <c r="C842" s="5" t="n">
        <v>0.041</v>
      </c>
      <c r="D842" s="5" t="n">
        <f aca="false">IF(AND(ISNUMBER(B842),ISNUMBER(C842)),C842-B842,"")</f>
        <v>0</v>
      </c>
      <c r="E842" s="4" t="s">
        <v>531</v>
      </c>
    </row>
    <row r="843" customFormat="false" ht="23.85" hidden="false" customHeight="false" outlineLevel="0" collapsed="false">
      <c r="A843" s="4" t="s">
        <v>1342</v>
      </c>
      <c r="B843" s="5" t="n">
        <v>1.321</v>
      </c>
      <c r="C843" s="5" t="n">
        <v>1.321</v>
      </c>
      <c r="D843" s="5" t="n">
        <f aca="false">IF(AND(ISNUMBER(B843),ISNUMBER(C843)),C843-B843,"")</f>
        <v>0</v>
      </c>
      <c r="E843" s="4" t="s">
        <v>531</v>
      </c>
    </row>
    <row r="844" customFormat="false" ht="15" hidden="false" customHeight="false" outlineLevel="0" collapsed="false">
      <c r="A844" s="4" t="s">
        <v>1343</v>
      </c>
      <c r="B844" s="5" t="s">
        <v>27</v>
      </c>
      <c r="C844" s="5" t="s">
        <v>27</v>
      </c>
      <c r="D844" s="5" t="str">
        <f aca="false">IF(AND(ISNUMBER(B844),ISNUMBER(C844)),C844-B844,"")</f>
        <v/>
      </c>
      <c r="E844" s="4" t="s">
        <v>531</v>
      </c>
    </row>
    <row r="845" customFormat="false" ht="23.85" hidden="false" customHeight="false" outlineLevel="0" collapsed="false">
      <c r="A845" s="4" t="s">
        <v>1344</v>
      </c>
      <c r="B845" s="5" t="s">
        <v>27</v>
      </c>
      <c r="C845" s="5" t="s">
        <v>27</v>
      </c>
      <c r="D845" s="5" t="str">
        <f aca="false">IF(AND(ISNUMBER(B845),ISNUMBER(C845)),C845-B845,"")</f>
        <v/>
      </c>
      <c r="E845" s="4" t="s">
        <v>531</v>
      </c>
    </row>
    <row r="846" customFormat="false" ht="23.85" hidden="false" customHeight="false" outlineLevel="0" collapsed="false">
      <c r="A846" s="4" t="s">
        <v>1345</v>
      </c>
      <c r="B846" s="5" t="s">
        <v>27</v>
      </c>
      <c r="C846" s="5" t="s">
        <v>27</v>
      </c>
      <c r="D846" s="5" t="str">
        <f aca="false">IF(AND(ISNUMBER(B846),ISNUMBER(C846)),C846-B846,"")</f>
        <v/>
      </c>
      <c r="E846" s="4" t="s">
        <v>605</v>
      </c>
    </row>
    <row r="847" customFormat="false" ht="15" hidden="false" customHeight="false" outlineLevel="0" collapsed="false">
      <c r="A847" s="4" t="s">
        <v>1346</v>
      </c>
      <c r="B847" s="5" t="s">
        <v>27</v>
      </c>
      <c r="C847" s="5" t="s">
        <v>27</v>
      </c>
      <c r="D847" s="5" t="str">
        <f aca="false">IF(AND(ISNUMBER(B847),ISNUMBER(C847)),C847-B847,"")</f>
        <v/>
      </c>
      <c r="E847" s="4" t="s">
        <v>531</v>
      </c>
    </row>
    <row r="848" customFormat="false" ht="23.85" hidden="false" customHeight="false" outlineLevel="0" collapsed="false">
      <c r="A848" s="4" t="s">
        <v>1347</v>
      </c>
      <c r="B848" s="5" t="n">
        <v>0.462</v>
      </c>
      <c r="C848" s="5" t="n">
        <v>0.462</v>
      </c>
      <c r="D848" s="5" t="n">
        <f aca="false">IF(AND(ISNUMBER(B848),ISNUMBER(C848)),C848-B848,"")</f>
        <v>0</v>
      </c>
      <c r="E848" s="4" t="s">
        <v>531</v>
      </c>
    </row>
    <row r="849" customFormat="false" ht="23.85" hidden="false" customHeight="false" outlineLevel="0" collapsed="false">
      <c r="A849" s="4" t="s">
        <v>1348</v>
      </c>
      <c r="B849" s="5" t="n">
        <v>0.129</v>
      </c>
      <c r="C849" s="5" t="n">
        <v>0.129</v>
      </c>
      <c r="D849" s="5" t="n">
        <f aca="false">IF(AND(ISNUMBER(B849),ISNUMBER(C849)),C849-B849,"")</f>
        <v>0</v>
      </c>
      <c r="E849" s="4" t="s">
        <v>531</v>
      </c>
    </row>
    <row r="850" customFormat="false" ht="15" hidden="false" customHeight="false" outlineLevel="0" collapsed="false">
      <c r="A850" s="4" t="s">
        <v>1349</v>
      </c>
      <c r="B850" s="5" t="n">
        <v>0</v>
      </c>
      <c r="C850" s="5" t="n">
        <v>0</v>
      </c>
      <c r="D850" s="5" t="n">
        <f aca="false">IF(AND(ISNUMBER(B850),ISNUMBER(C850)),C850-B850,"")</f>
        <v>0</v>
      </c>
      <c r="E850" s="4" t="s">
        <v>531</v>
      </c>
    </row>
    <row r="851" customFormat="false" ht="23.85" hidden="false" customHeight="false" outlineLevel="0" collapsed="false">
      <c r="A851" s="4" t="s">
        <v>1350</v>
      </c>
      <c r="B851" s="5" t="n">
        <v>1.908</v>
      </c>
      <c r="C851" s="5" t="n">
        <v>1.908</v>
      </c>
      <c r="D851" s="5" t="n">
        <f aca="false">IF(AND(ISNUMBER(B851),ISNUMBER(C851)),C851-B851,"")</f>
        <v>0</v>
      </c>
      <c r="E851" s="4" t="s">
        <v>531</v>
      </c>
    </row>
    <row r="852" customFormat="false" ht="15" hidden="false" customHeight="false" outlineLevel="0" collapsed="false">
      <c r="A852" s="4" t="s">
        <v>1351</v>
      </c>
      <c r="B852" s="5" t="n">
        <v>1.63</v>
      </c>
      <c r="C852" s="5" t="n">
        <v>1.63</v>
      </c>
      <c r="D852" s="5" t="n">
        <f aca="false">IF(AND(ISNUMBER(B852),ISNUMBER(C852)),C852-B852,"")</f>
        <v>0</v>
      </c>
      <c r="E852" s="4" t="s">
        <v>531</v>
      </c>
    </row>
    <row r="853" customFormat="false" ht="23.85" hidden="false" customHeight="false" outlineLevel="0" collapsed="false">
      <c r="A853" s="4" t="s">
        <v>1352</v>
      </c>
      <c r="B853" s="5" t="n">
        <v>-0.278</v>
      </c>
      <c r="C853" s="5" t="n">
        <v>-0.278</v>
      </c>
      <c r="D853" s="5" t="n">
        <f aca="false">IF(AND(ISNUMBER(B853),ISNUMBER(C853)),C853-B853,"")</f>
        <v>0</v>
      </c>
      <c r="E853" s="4" t="s">
        <v>531</v>
      </c>
    </row>
    <row r="854" customFormat="false" ht="23.85" hidden="false" customHeight="false" outlineLevel="0" collapsed="false">
      <c r="A854" s="4" t="s">
        <v>1353</v>
      </c>
      <c r="B854" s="5" t="n">
        <v>0.208</v>
      </c>
      <c r="C854" s="5" t="n">
        <v>0.216</v>
      </c>
      <c r="D854" s="5" t="n">
        <f aca="false">IF(AND(ISNUMBER(B854),ISNUMBER(C854)),C854-B854,"")</f>
        <v>0.00800000000000001</v>
      </c>
      <c r="E854" s="4" t="s">
        <v>605</v>
      </c>
    </row>
    <row r="855" customFormat="false" ht="15" hidden="false" customHeight="false" outlineLevel="0" collapsed="false">
      <c r="A855" s="4" t="s">
        <v>1354</v>
      </c>
      <c r="B855" s="5" t="s">
        <v>27</v>
      </c>
      <c r="C855" s="5" t="s">
        <v>27</v>
      </c>
      <c r="D855" s="5" t="str">
        <f aca="false">IF(AND(ISNUMBER(B855),ISNUMBER(C855)),C855-B855,"")</f>
        <v/>
      </c>
      <c r="E855" s="4" t="s">
        <v>531</v>
      </c>
    </row>
    <row r="856" customFormat="false" ht="15" hidden="false" customHeight="false" outlineLevel="0" collapsed="false">
      <c r="A856" s="4" t="s">
        <v>1355</v>
      </c>
      <c r="B856" s="5" t="n">
        <v>-0.27</v>
      </c>
      <c r="C856" s="5" t="n">
        <v>-0.27</v>
      </c>
      <c r="D856" s="5" t="n">
        <f aca="false">IF(AND(ISNUMBER(B856),ISNUMBER(C856)),C856-B856,"")</f>
        <v>0</v>
      </c>
      <c r="E856" s="4" t="s">
        <v>531</v>
      </c>
    </row>
    <row r="857" customFormat="false" ht="23.85" hidden="false" customHeight="false" outlineLevel="0" collapsed="false">
      <c r="A857" s="4" t="s">
        <v>1356</v>
      </c>
      <c r="B857" s="5" t="n">
        <v>0.197</v>
      </c>
      <c r="C857" s="5" t="n">
        <v>0.197</v>
      </c>
      <c r="D857" s="5" t="n">
        <f aca="false">IF(AND(ISNUMBER(B857),ISNUMBER(C857)),C857-B857,"")</f>
        <v>0</v>
      </c>
      <c r="E857" s="4" t="s">
        <v>531</v>
      </c>
    </row>
    <row r="858" customFormat="false" ht="15" hidden="false" customHeight="false" outlineLevel="0" collapsed="false">
      <c r="A858" s="4" t="s">
        <v>1357</v>
      </c>
      <c r="B858" s="5" t="n">
        <v>0.172</v>
      </c>
      <c r="C858" s="5" t="n">
        <v>0.172</v>
      </c>
      <c r="D858" s="5" t="n">
        <f aca="false">IF(AND(ISNUMBER(B858),ISNUMBER(C858)),C858-B858,"")</f>
        <v>0</v>
      </c>
      <c r="E858" s="4" t="s">
        <v>531</v>
      </c>
    </row>
    <row r="859" customFormat="false" ht="23.85" hidden="false" customHeight="false" outlineLevel="0" collapsed="false">
      <c r="A859" s="4" t="s">
        <v>1358</v>
      </c>
      <c r="B859" s="5" t="n">
        <v>0.932</v>
      </c>
      <c r="C859" s="5" t="n">
        <v>0.932</v>
      </c>
      <c r="D859" s="5" t="n">
        <f aca="false">IF(AND(ISNUMBER(B859),ISNUMBER(C859)),C859-B859,"")</f>
        <v>0</v>
      </c>
      <c r="E859" s="4" t="s">
        <v>531</v>
      </c>
    </row>
    <row r="860" customFormat="false" ht="15" hidden="false" customHeight="false" outlineLevel="0" collapsed="false">
      <c r="A860" s="4" t="s">
        <v>1359</v>
      </c>
      <c r="B860" s="5" t="n">
        <v>0.836</v>
      </c>
      <c r="C860" s="5" t="n">
        <v>0.836</v>
      </c>
      <c r="D860" s="5" t="n">
        <f aca="false">IF(AND(ISNUMBER(B860),ISNUMBER(C860)),C860-B860,"")</f>
        <v>0</v>
      </c>
      <c r="E860" s="4" t="s">
        <v>531</v>
      </c>
    </row>
    <row r="861" customFormat="false" ht="23.85" hidden="false" customHeight="false" outlineLevel="0" collapsed="false">
      <c r="A861" s="4" t="s">
        <v>1360</v>
      </c>
      <c r="B861" s="5" t="n">
        <v>-0.096</v>
      </c>
      <c r="C861" s="5" t="n">
        <v>-0.096</v>
      </c>
      <c r="D861" s="5" t="n">
        <f aca="false">IF(AND(ISNUMBER(B861),ISNUMBER(C861)),C861-B861,"")</f>
        <v>0</v>
      </c>
      <c r="E861" s="4" t="s">
        <v>531</v>
      </c>
    </row>
    <row r="862" customFormat="false" ht="23.85" hidden="false" customHeight="false" outlineLevel="0" collapsed="false">
      <c r="A862" s="4" t="s">
        <v>1361</v>
      </c>
      <c r="B862" s="5" t="n">
        <v>0.191</v>
      </c>
      <c r="C862" s="5" t="n">
        <v>0.196</v>
      </c>
      <c r="D862" s="5" t="n">
        <f aca="false">IF(AND(ISNUMBER(B862),ISNUMBER(C862)),C862-B862,"")</f>
        <v>0.005</v>
      </c>
      <c r="E862" s="4" t="s">
        <v>605</v>
      </c>
    </row>
    <row r="863" customFormat="false" ht="15" hidden="false" customHeight="false" outlineLevel="0" collapsed="false">
      <c r="A863" s="4" t="s">
        <v>1362</v>
      </c>
      <c r="B863" s="5" t="s">
        <v>27</v>
      </c>
      <c r="C863" s="5" t="s">
        <v>27</v>
      </c>
      <c r="D863" s="5" t="str">
        <f aca="false">IF(AND(ISNUMBER(B863),ISNUMBER(C863)),C863-B863,"")</f>
        <v/>
      </c>
      <c r="E863" s="4" t="s">
        <v>531</v>
      </c>
    </row>
    <row r="864" customFormat="false" ht="23.85" hidden="false" customHeight="false" outlineLevel="0" collapsed="false">
      <c r="A864" s="4" t="s">
        <v>1363</v>
      </c>
      <c r="B864" s="5" t="n">
        <v>0.019</v>
      </c>
      <c r="C864" s="5" t="n">
        <v>0.019</v>
      </c>
      <c r="D864" s="5" t="n">
        <f aca="false">IF(AND(ISNUMBER(B864),ISNUMBER(C864)),C864-B864,"")</f>
        <v>0</v>
      </c>
      <c r="E864" s="4" t="s">
        <v>531</v>
      </c>
    </row>
    <row r="865" customFormat="false" ht="23.85" hidden="false" customHeight="false" outlineLevel="0" collapsed="false">
      <c r="A865" s="4" t="s">
        <v>1364</v>
      </c>
      <c r="B865" s="5" t="n">
        <v>0.176</v>
      </c>
      <c r="C865" s="5" t="n">
        <v>0.176</v>
      </c>
      <c r="D865" s="5" t="n">
        <f aca="false">IF(AND(ISNUMBER(B865),ISNUMBER(C865)),C865-B865,"")</f>
        <v>0</v>
      </c>
      <c r="E865" s="4" t="s">
        <v>531</v>
      </c>
    </row>
    <row r="866" customFormat="false" ht="15" hidden="false" customHeight="false" outlineLevel="0" collapsed="false">
      <c r="A866" s="4" t="s">
        <v>1365</v>
      </c>
      <c r="B866" s="5" t="n">
        <v>0.912</v>
      </c>
      <c r="C866" s="5" t="n">
        <v>0.912</v>
      </c>
      <c r="D866" s="5" t="n">
        <f aca="false">IF(AND(ISNUMBER(B866),ISNUMBER(C866)),C866-B866,"")</f>
        <v>0</v>
      </c>
      <c r="E866" s="4" t="s">
        <v>531</v>
      </c>
    </row>
    <row r="867" customFormat="false" ht="15" hidden="false" customHeight="false" outlineLevel="0" collapsed="false">
      <c r="A867" s="4" t="s">
        <v>1366</v>
      </c>
      <c r="B867" s="5" t="n">
        <v>1.922</v>
      </c>
      <c r="C867" s="5" t="n">
        <v>1.922</v>
      </c>
      <c r="D867" s="5" t="n">
        <f aca="false">IF(AND(ISNUMBER(B867),ISNUMBER(C867)),C867-B867,"")</f>
        <v>0</v>
      </c>
      <c r="E867" s="4" t="s">
        <v>531</v>
      </c>
    </row>
    <row r="868" customFormat="false" ht="15" hidden="false" customHeight="false" outlineLevel="0" collapsed="false">
      <c r="A868" s="4" t="s">
        <v>1367</v>
      </c>
      <c r="B868" s="5" t="n">
        <v>2.178</v>
      </c>
      <c r="C868" s="5" t="n">
        <v>2.178</v>
      </c>
      <c r="D868" s="5" t="n">
        <f aca="false">IF(AND(ISNUMBER(B868),ISNUMBER(C868)),C868-B868,"")</f>
        <v>0</v>
      </c>
      <c r="E868" s="4" t="s">
        <v>531</v>
      </c>
    </row>
    <row r="869" customFormat="false" ht="15" hidden="false" customHeight="false" outlineLevel="0" collapsed="false">
      <c r="A869" s="4" t="s">
        <v>1368</v>
      </c>
      <c r="B869" s="5" t="n">
        <v>0.256</v>
      </c>
      <c r="C869" s="5" t="n">
        <v>0.256</v>
      </c>
      <c r="D869" s="5" t="n">
        <f aca="false">IF(AND(ISNUMBER(B869),ISNUMBER(C869)),C869-B869,"")</f>
        <v>0</v>
      </c>
      <c r="E869" s="4" t="s">
        <v>531</v>
      </c>
    </row>
    <row r="870" customFormat="false" ht="23.85" hidden="false" customHeight="false" outlineLevel="0" collapsed="false">
      <c r="A870" s="4" t="s">
        <v>1369</v>
      </c>
      <c r="B870" s="5" t="n">
        <v>0.173</v>
      </c>
      <c r="C870" s="5" t="n">
        <v>0.174</v>
      </c>
      <c r="D870" s="5" t="n">
        <f aca="false">IF(AND(ISNUMBER(B870),ISNUMBER(C870)),C870-B870,"")</f>
        <v>0.001</v>
      </c>
      <c r="E870" s="4" t="s">
        <v>605</v>
      </c>
    </row>
    <row r="871" customFormat="false" ht="15" hidden="false" customHeight="false" outlineLevel="0" collapsed="false">
      <c r="A871" s="4" t="s">
        <v>1370</v>
      </c>
      <c r="B871" s="5" t="s">
        <v>27</v>
      </c>
      <c r="C871" s="5" t="s">
        <v>27</v>
      </c>
      <c r="D871" s="5" t="str">
        <f aca="false">IF(AND(ISNUMBER(B871),ISNUMBER(C871)),C871-B871,"")</f>
        <v/>
      </c>
      <c r="E871" s="4" t="s">
        <v>531</v>
      </c>
    </row>
    <row r="872" customFormat="false" ht="15" hidden="false" customHeight="false" outlineLevel="0" collapsed="false">
      <c r="A872" s="4" t="s">
        <v>1371</v>
      </c>
      <c r="B872" s="5" t="n">
        <v>0.358</v>
      </c>
      <c r="C872" s="5" t="n">
        <v>0.358</v>
      </c>
      <c r="D872" s="5" t="n">
        <f aca="false">IF(AND(ISNUMBER(B872),ISNUMBER(C872)),C872-B872,"")</f>
        <v>0</v>
      </c>
      <c r="E872" s="4" t="s">
        <v>531</v>
      </c>
    </row>
    <row r="873" customFormat="false" ht="23.85" hidden="false" customHeight="false" outlineLevel="0" collapsed="false">
      <c r="A873" s="4" t="s">
        <v>1372</v>
      </c>
      <c r="B873" s="5" t="n">
        <v>0.147</v>
      </c>
      <c r="C873" s="5" t="n">
        <v>0.147</v>
      </c>
      <c r="D873" s="5" t="n">
        <f aca="false">IF(AND(ISNUMBER(B873),ISNUMBER(C873)),C873-B873,"")</f>
        <v>0</v>
      </c>
      <c r="E873" s="4" t="s">
        <v>531</v>
      </c>
    </row>
    <row r="874" customFormat="false" ht="15" hidden="false" customHeight="false" outlineLevel="0" collapsed="false">
      <c r="A874" s="4" t="s">
        <v>1373</v>
      </c>
      <c r="B874" s="5" t="n">
        <v>0.015</v>
      </c>
      <c r="C874" s="5" t="n">
        <v>0.015</v>
      </c>
      <c r="D874" s="5" t="n">
        <f aca="false">IF(AND(ISNUMBER(B874),ISNUMBER(C874)),C874-B874,"")</f>
        <v>0</v>
      </c>
      <c r="E874" s="4" t="s">
        <v>531</v>
      </c>
    </row>
    <row r="875" customFormat="false" ht="15" hidden="false" customHeight="false" outlineLevel="0" collapsed="false">
      <c r="A875" s="4" t="s">
        <v>1374</v>
      </c>
      <c r="B875" s="5" t="n">
        <v>0.619</v>
      </c>
      <c r="C875" s="5" t="n">
        <v>0.619</v>
      </c>
      <c r="D875" s="5" t="n">
        <f aca="false">IF(AND(ISNUMBER(B875),ISNUMBER(C875)),C875-B875,"")</f>
        <v>0</v>
      </c>
      <c r="E875" s="4" t="s">
        <v>531</v>
      </c>
    </row>
    <row r="876" customFormat="false" ht="15" hidden="false" customHeight="false" outlineLevel="0" collapsed="false">
      <c r="A876" s="4" t="s">
        <v>1375</v>
      </c>
      <c r="B876" s="5" t="n">
        <v>0.571</v>
      </c>
      <c r="C876" s="5" t="n">
        <v>0.571</v>
      </c>
      <c r="D876" s="5" t="n">
        <f aca="false">IF(AND(ISNUMBER(B876),ISNUMBER(C876)),C876-B876,"")</f>
        <v>0</v>
      </c>
      <c r="E876" s="4" t="s">
        <v>531</v>
      </c>
    </row>
    <row r="877" customFormat="false" ht="15" hidden="false" customHeight="false" outlineLevel="0" collapsed="false">
      <c r="A877" s="4" t="s">
        <v>1376</v>
      </c>
      <c r="B877" s="5" t="s">
        <v>27</v>
      </c>
      <c r="C877" s="5" t="s">
        <v>27</v>
      </c>
      <c r="D877" s="5" t="str">
        <f aca="false">IF(AND(ISNUMBER(B877),ISNUMBER(C877)),C877-B877,"")</f>
        <v/>
      </c>
      <c r="E877" s="4" t="s">
        <v>531</v>
      </c>
    </row>
    <row r="878" customFormat="false" ht="15" hidden="false" customHeight="false" outlineLevel="0" collapsed="false">
      <c r="A878" s="4" t="s">
        <v>1377</v>
      </c>
      <c r="B878" s="5" t="n">
        <v>0.368</v>
      </c>
      <c r="C878" s="5" t="n">
        <v>0.368</v>
      </c>
      <c r="D878" s="5" t="n">
        <f aca="false">IF(AND(ISNUMBER(B878),ISNUMBER(C878)),C878-B878,"")</f>
        <v>0</v>
      </c>
      <c r="E878" s="4" t="s">
        <v>531</v>
      </c>
    </row>
    <row r="879" customFormat="false" ht="15" hidden="false" customHeight="false" outlineLevel="0" collapsed="false">
      <c r="A879" s="4" t="s">
        <v>1378</v>
      </c>
      <c r="B879" s="5" t="n">
        <v>0.738</v>
      </c>
      <c r="C879" s="5" t="n">
        <v>0.738</v>
      </c>
      <c r="D879" s="5" t="n">
        <f aca="false">IF(AND(ISNUMBER(B879),ISNUMBER(C879)),C879-B879,"")</f>
        <v>0</v>
      </c>
      <c r="E879" s="4" t="s">
        <v>531</v>
      </c>
    </row>
    <row r="880" customFormat="false" ht="15" hidden="false" customHeight="false" outlineLevel="0" collapsed="false">
      <c r="A880" s="4" t="s">
        <v>1379</v>
      </c>
      <c r="B880" s="5" t="n">
        <v>0.375</v>
      </c>
      <c r="C880" s="5" t="n">
        <v>0.375</v>
      </c>
      <c r="D880" s="5" t="n">
        <f aca="false">IF(AND(ISNUMBER(B880),ISNUMBER(C880)),C880-B880,"")</f>
        <v>0</v>
      </c>
      <c r="E880" s="4" t="s">
        <v>531</v>
      </c>
    </row>
    <row r="881" customFormat="false" ht="15" hidden="false" customHeight="false" outlineLevel="0" collapsed="false">
      <c r="A881" s="4" t="s">
        <v>1380</v>
      </c>
      <c r="B881" s="5" t="n">
        <v>0.571</v>
      </c>
      <c r="C881" s="5" t="n">
        <v>0.571</v>
      </c>
      <c r="D881" s="5" t="n">
        <f aca="false">IF(AND(ISNUMBER(B881),ISNUMBER(C881)),C881-B881,"")</f>
        <v>0</v>
      </c>
      <c r="E881" s="4" t="s">
        <v>531</v>
      </c>
    </row>
    <row r="882" customFormat="false" ht="15" hidden="false" customHeight="false" outlineLevel="0" collapsed="false">
      <c r="A882" s="4" t="s">
        <v>1381</v>
      </c>
      <c r="B882" s="5" t="n">
        <v>0.724</v>
      </c>
      <c r="C882" s="5" t="n">
        <v>0.724</v>
      </c>
      <c r="D882" s="5" t="n">
        <f aca="false">IF(AND(ISNUMBER(B882),ISNUMBER(C882)),C882-B882,"")</f>
        <v>0</v>
      </c>
      <c r="E882" s="4" t="s">
        <v>531</v>
      </c>
    </row>
    <row r="883" customFormat="false" ht="15" hidden="false" customHeight="false" outlineLevel="0" collapsed="false">
      <c r="A883" s="4" t="s">
        <v>1382</v>
      </c>
      <c r="B883" s="5" t="n">
        <v>0.5</v>
      </c>
      <c r="C883" s="5" t="n">
        <v>0.5</v>
      </c>
      <c r="D883" s="5" t="n">
        <f aca="false">IF(AND(ISNUMBER(B883),ISNUMBER(C883)),C883-B883,"")</f>
        <v>0</v>
      </c>
      <c r="E883" s="4" t="s">
        <v>531</v>
      </c>
    </row>
    <row r="884" customFormat="false" ht="15" hidden="false" customHeight="false" outlineLevel="0" collapsed="false">
      <c r="A884" s="4" t="s">
        <v>1383</v>
      </c>
      <c r="B884" s="5" t="n">
        <v>0.386</v>
      </c>
      <c r="C884" s="5" t="n">
        <v>0.386</v>
      </c>
      <c r="D884" s="5" t="n">
        <f aca="false">IF(AND(ISNUMBER(B884),ISNUMBER(C884)),C884-B884,"")</f>
        <v>0</v>
      </c>
      <c r="E884" s="4" t="s">
        <v>531</v>
      </c>
    </row>
    <row r="885" customFormat="false" ht="15" hidden="false" customHeight="false" outlineLevel="0" collapsed="false">
      <c r="A885" s="4" t="s">
        <v>1384</v>
      </c>
      <c r="B885" s="5" t="n">
        <v>0.738</v>
      </c>
      <c r="C885" s="5" t="n">
        <v>0.738</v>
      </c>
      <c r="D885" s="5" t="n">
        <f aca="false">IF(AND(ISNUMBER(B885),ISNUMBER(C885)),C885-B885,"")</f>
        <v>0</v>
      </c>
      <c r="E885" s="4" t="s">
        <v>531</v>
      </c>
    </row>
    <row r="886" customFormat="false" ht="15" hidden="false" customHeight="false" outlineLevel="0" collapsed="false">
      <c r="A886" s="4" t="s">
        <v>1385</v>
      </c>
      <c r="B886" s="5" t="n">
        <v>0.69</v>
      </c>
      <c r="C886" s="5" t="n">
        <v>0.69</v>
      </c>
      <c r="D886" s="5" t="n">
        <f aca="false">IF(AND(ISNUMBER(B886),ISNUMBER(C886)),C886-B886,"")</f>
        <v>0</v>
      </c>
      <c r="E886" s="4" t="s">
        <v>531</v>
      </c>
    </row>
    <row r="887" customFormat="false" ht="15" hidden="false" customHeight="false" outlineLevel="0" collapsed="false">
      <c r="A887" s="4" t="s">
        <v>1386</v>
      </c>
      <c r="B887" s="5" t="n">
        <v>0.5</v>
      </c>
      <c r="C887" s="5" t="n">
        <v>0.5</v>
      </c>
      <c r="D887" s="5" t="n">
        <f aca="false">IF(AND(ISNUMBER(B887),ISNUMBER(C887)),C887-B887,"")</f>
        <v>0</v>
      </c>
      <c r="E887" s="4" t="s">
        <v>531</v>
      </c>
    </row>
    <row r="888" customFormat="false" ht="15" hidden="false" customHeight="false" outlineLevel="0" collapsed="false">
      <c r="A888" s="4" t="s">
        <v>1387</v>
      </c>
      <c r="B888" s="5" t="n">
        <v>0.471</v>
      </c>
      <c r="C888" s="5" t="n">
        <v>0.471</v>
      </c>
      <c r="D888" s="5" t="n">
        <f aca="false">IF(AND(ISNUMBER(B888),ISNUMBER(C888)),C888-B888,"")</f>
        <v>0</v>
      </c>
      <c r="E888" s="4" t="s">
        <v>531</v>
      </c>
    </row>
    <row r="889" customFormat="false" ht="15" hidden="false" customHeight="false" outlineLevel="0" collapsed="false">
      <c r="A889" s="4" t="s">
        <v>1388</v>
      </c>
      <c r="B889" s="5" t="s">
        <v>27</v>
      </c>
      <c r="C889" s="5" t="s">
        <v>27</v>
      </c>
      <c r="D889" s="5" t="str">
        <f aca="false">IF(AND(ISNUMBER(B889),ISNUMBER(C889)),C889-B889,"")</f>
        <v/>
      </c>
      <c r="E889" s="4" t="s">
        <v>531</v>
      </c>
    </row>
    <row r="890" customFormat="false" ht="15" hidden="false" customHeight="false" outlineLevel="0" collapsed="false">
      <c r="A890" s="4" t="s">
        <v>1389</v>
      </c>
      <c r="B890" s="5" t="n">
        <v>0.172</v>
      </c>
      <c r="C890" s="5" t="n">
        <v>0.172</v>
      </c>
      <c r="D890" s="5" t="n">
        <f aca="false">IF(AND(ISNUMBER(B890),ISNUMBER(C890)),C890-B890,"")</f>
        <v>0</v>
      </c>
      <c r="E890" s="4" t="s">
        <v>531</v>
      </c>
    </row>
    <row r="891" customFormat="false" ht="15" hidden="false" customHeight="false" outlineLevel="0" collapsed="false">
      <c r="A891" s="4" t="s">
        <v>1390</v>
      </c>
      <c r="B891" s="5" t="n">
        <v>1.19</v>
      </c>
      <c r="C891" s="5" t="n">
        <v>1.19</v>
      </c>
      <c r="D891" s="5" t="n">
        <f aca="false">IF(AND(ISNUMBER(B891),ISNUMBER(C891)),C891-B891,"")</f>
        <v>0</v>
      </c>
      <c r="E891" s="4" t="s">
        <v>531</v>
      </c>
    </row>
    <row r="892" customFormat="false" ht="15" hidden="false" customHeight="false" outlineLevel="0" collapsed="false">
      <c r="A892" s="4" t="s">
        <v>1391</v>
      </c>
      <c r="B892" s="5" t="s">
        <v>27</v>
      </c>
      <c r="C892" s="5" t="s">
        <v>27</v>
      </c>
      <c r="D892" s="5" t="str">
        <f aca="false">IF(AND(ISNUMBER(B892),ISNUMBER(C892)),C892-B892,"")</f>
        <v/>
      </c>
      <c r="E892" s="4" t="s">
        <v>531</v>
      </c>
    </row>
    <row r="893" customFormat="false" ht="15" hidden="false" customHeight="false" outlineLevel="0" collapsed="false">
      <c r="A893" s="4" t="s">
        <v>1392</v>
      </c>
      <c r="B893" s="5" t="n">
        <v>2.048</v>
      </c>
      <c r="C893" s="5" t="n">
        <v>2.048</v>
      </c>
      <c r="D893" s="5" t="n">
        <f aca="false">IF(AND(ISNUMBER(B893),ISNUMBER(C893)),C893-B893,"")</f>
        <v>0</v>
      </c>
      <c r="E893" s="4" t="s">
        <v>531</v>
      </c>
    </row>
    <row r="894" customFormat="false" ht="15" hidden="false" customHeight="false" outlineLevel="0" collapsed="false">
      <c r="A894" s="4" t="s">
        <v>1393</v>
      </c>
      <c r="B894" s="5" t="n">
        <v>1.782</v>
      </c>
      <c r="C894" s="5" t="n">
        <v>1.782</v>
      </c>
      <c r="D894" s="5" t="n">
        <f aca="false">IF(AND(ISNUMBER(B894),ISNUMBER(C894)),C894-B894,"")</f>
        <v>0</v>
      </c>
      <c r="E894" s="4" t="s">
        <v>531</v>
      </c>
    </row>
    <row r="895" customFormat="false" ht="15" hidden="false" customHeight="false" outlineLevel="0" collapsed="false">
      <c r="A895" s="4" t="s">
        <v>1394</v>
      </c>
      <c r="B895" s="5" t="s">
        <v>27</v>
      </c>
      <c r="C895" s="5" t="s">
        <v>27</v>
      </c>
      <c r="D895" s="5" t="str">
        <f aca="false">IF(AND(ISNUMBER(B895),ISNUMBER(C895)),C895-B895,"")</f>
        <v/>
      </c>
      <c r="E895" s="4" t="s">
        <v>531</v>
      </c>
    </row>
    <row r="896" customFormat="false" ht="15" hidden="false" customHeight="false" outlineLevel="0" collapsed="false">
      <c r="A896" s="4" t="s">
        <v>1395</v>
      </c>
      <c r="B896" s="5" t="s">
        <v>27</v>
      </c>
      <c r="C896" s="5" t="s">
        <v>27</v>
      </c>
      <c r="D896" s="5" t="str">
        <f aca="false">IF(AND(ISNUMBER(B896),ISNUMBER(C896)),C896-B896,"")</f>
        <v/>
      </c>
      <c r="E896" s="4" t="s">
        <v>531</v>
      </c>
    </row>
    <row r="897" customFormat="false" ht="15" hidden="false" customHeight="false" outlineLevel="0" collapsed="false">
      <c r="A897" s="4" t="s">
        <v>1396</v>
      </c>
      <c r="B897" s="5" t="n">
        <v>1.69</v>
      </c>
      <c r="C897" s="5" t="n">
        <v>1.69</v>
      </c>
      <c r="D897" s="5" t="n">
        <f aca="false">IF(AND(ISNUMBER(B897),ISNUMBER(C897)),C897-B897,"")</f>
        <v>0</v>
      </c>
      <c r="E897" s="4" t="s">
        <v>531</v>
      </c>
    </row>
    <row r="898" customFormat="false" ht="15" hidden="false" customHeight="false" outlineLevel="0" collapsed="false">
      <c r="A898" s="4" t="s">
        <v>1397</v>
      </c>
      <c r="B898" s="5" t="n">
        <v>2.322</v>
      </c>
      <c r="C898" s="5" t="n">
        <v>2.322</v>
      </c>
      <c r="D898" s="5" t="n">
        <f aca="false">IF(AND(ISNUMBER(B898),ISNUMBER(C898)),C898-B898,"")</f>
        <v>0</v>
      </c>
      <c r="E898" s="4" t="s">
        <v>531</v>
      </c>
    </row>
    <row r="899" customFormat="false" ht="15" hidden="false" customHeight="false" outlineLevel="0" collapsed="false">
      <c r="A899" s="4" t="s">
        <v>1398</v>
      </c>
      <c r="B899" s="5" t="n">
        <v>0.273</v>
      </c>
      <c r="C899" s="5" t="n">
        <v>0.273</v>
      </c>
      <c r="D899" s="5" t="n">
        <f aca="false">IF(AND(ISNUMBER(B899),ISNUMBER(C899)),C899-B899,"")</f>
        <v>0</v>
      </c>
      <c r="E899" s="4" t="s">
        <v>531</v>
      </c>
    </row>
    <row r="900" customFormat="false" ht="23.85" hidden="false" customHeight="false" outlineLevel="0" collapsed="false">
      <c r="A900" s="4" t="s">
        <v>1399</v>
      </c>
      <c r="B900" s="5" t="n">
        <v>0.122</v>
      </c>
      <c r="C900" s="5" t="n">
        <v>0.122</v>
      </c>
      <c r="D900" s="5" t="n">
        <f aca="false">IF(AND(ISNUMBER(B900),ISNUMBER(C900)),C900-B900,"")</f>
        <v>0</v>
      </c>
      <c r="E900" s="4" t="s">
        <v>605</v>
      </c>
    </row>
    <row r="901" customFormat="false" ht="15" hidden="false" customHeight="false" outlineLevel="0" collapsed="false">
      <c r="A901" s="4" t="s">
        <v>1400</v>
      </c>
      <c r="B901" s="5" t="n">
        <v>0.212</v>
      </c>
      <c r="C901" s="5" t="n">
        <v>0.212</v>
      </c>
      <c r="D901" s="5" t="n">
        <f aca="false">IF(AND(ISNUMBER(B901),ISNUMBER(C901)),C901-B901,"")</f>
        <v>0</v>
      </c>
      <c r="E901" s="4" t="s">
        <v>531</v>
      </c>
    </row>
    <row r="902" customFormat="false" ht="23.85" hidden="false" customHeight="false" outlineLevel="0" collapsed="false">
      <c r="A902" s="4" t="s">
        <v>1401</v>
      </c>
      <c r="B902" s="5" t="n">
        <v>0.148</v>
      </c>
      <c r="C902" s="5" t="n">
        <v>0.148</v>
      </c>
      <c r="D902" s="5" t="n">
        <f aca="false">IF(AND(ISNUMBER(B902),ISNUMBER(C902)),C902-B902,"")</f>
        <v>0</v>
      </c>
      <c r="E902" s="4" t="s">
        <v>605</v>
      </c>
    </row>
    <row r="903" customFormat="false" ht="15" hidden="false" customHeight="false" outlineLevel="0" collapsed="false">
      <c r="A903" s="4" t="s">
        <v>1402</v>
      </c>
      <c r="B903" s="5" t="n">
        <v>0.264</v>
      </c>
      <c r="C903" s="5" t="n">
        <v>0.264</v>
      </c>
      <c r="D903" s="5" t="n">
        <f aca="false">IF(AND(ISNUMBER(B903),ISNUMBER(C903)),C903-B903,"")</f>
        <v>0</v>
      </c>
      <c r="E903" s="4" t="s">
        <v>531</v>
      </c>
    </row>
    <row r="904" customFormat="false" ht="23.85" hidden="false" customHeight="false" outlineLevel="0" collapsed="false">
      <c r="A904" s="4" t="s">
        <v>1403</v>
      </c>
      <c r="B904" s="5" t="n">
        <v>0.172</v>
      </c>
      <c r="C904" s="5" t="n">
        <v>0.169</v>
      </c>
      <c r="D904" s="5" t="n">
        <f aca="false">IF(AND(ISNUMBER(B904),ISNUMBER(C904)),C904-B904,"")</f>
        <v>-0.00299999999999998</v>
      </c>
      <c r="E904" s="4" t="s">
        <v>605</v>
      </c>
    </row>
    <row r="905" customFormat="false" ht="15" hidden="false" customHeight="false" outlineLevel="0" collapsed="false">
      <c r="A905" s="4" t="s">
        <v>1404</v>
      </c>
      <c r="B905" s="5" t="n">
        <v>0.318</v>
      </c>
      <c r="C905" s="5" t="n">
        <v>0.318</v>
      </c>
      <c r="D905" s="5" t="n">
        <f aca="false">IF(AND(ISNUMBER(B905),ISNUMBER(C905)),C905-B905,"")</f>
        <v>0</v>
      </c>
      <c r="E905" s="4" t="s">
        <v>531</v>
      </c>
    </row>
    <row r="906" customFormat="false" ht="23.85" hidden="false" customHeight="false" outlineLevel="0" collapsed="false">
      <c r="A906" s="4" t="s">
        <v>1405</v>
      </c>
      <c r="B906" s="5" t="n">
        <v>0.199</v>
      </c>
      <c r="C906" s="5" t="n">
        <v>0.197</v>
      </c>
      <c r="D906" s="5" t="n">
        <f aca="false">IF(AND(ISNUMBER(B906),ISNUMBER(C906)),C906-B906,"")</f>
        <v>-0.002</v>
      </c>
      <c r="E906" s="4" t="s">
        <v>605</v>
      </c>
    </row>
    <row r="907" customFormat="false" ht="15" hidden="false" customHeight="false" outlineLevel="0" collapsed="false">
      <c r="A907" s="4" t="s">
        <v>1406</v>
      </c>
      <c r="B907" s="5" t="n">
        <v>0.337</v>
      </c>
      <c r="C907" s="5" t="n">
        <v>0.337</v>
      </c>
      <c r="D907" s="5" t="n">
        <f aca="false">IF(AND(ISNUMBER(B907),ISNUMBER(C907)),C907-B907,"")</f>
        <v>0</v>
      </c>
      <c r="E907" s="4" t="s">
        <v>531</v>
      </c>
    </row>
    <row r="908" customFormat="false" ht="23.85" hidden="false" customHeight="false" outlineLevel="0" collapsed="false">
      <c r="A908" s="4" t="s">
        <v>1407</v>
      </c>
      <c r="B908" s="5" t="n">
        <v>0.179</v>
      </c>
      <c r="C908" s="5" t="n">
        <v>0.173</v>
      </c>
      <c r="D908" s="5" t="n">
        <f aca="false">IF(AND(ISNUMBER(B908),ISNUMBER(C908)),C908-B908,"")</f>
        <v>-0.00600000000000001</v>
      </c>
      <c r="E908" s="4" t="s">
        <v>605</v>
      </c>
    </row>
    <row r="909" customFormat="false" ht="15" hidden="false" customHeight="false" outlineLevel="0" collapsed="false">
      <c r="A909" s="4" t="s">
        <v>1408</v>
      </c>
      <c r="B909" s="5" t="n">
        <v>0.136</v>
      </c>
      <c r="C909" s="5" t="n">
        <v>0.136</v>
      </c>
      <c r="D909" s="5" t="n">
        <f aca="false">IF(AND(ISNUMBER(B909),ISNUMBER(C909)),C909-B909,"")</f>
        <v>0</v>
      </c>
      <c r="E909" s="4" t="s">
        <v>531</v>
      </c>
    </row>
    <row r="910" customFormat="false" ht="15" hidden="false" customHeight="false" outlineLevel="0" collapsed="false">
      <c r="A910" s="4" t="s">
        <v>1409</v>
      </c>
      <c r="B910" s="5" t="n">
        <v>0.118</v>
      </c>
      <c r="C910" s="5" t="n">
        <v>0.118</v>
      </c>
      <c r="D910" s="5" t="n">
        <f aca="false">IF(AND(ISNUMBER(B910),ISNUMBER(C910)),C910-B910,"")</f>
        <v>0</v>
      </c>
      <c r="E910" s="4" t="s">
        <v>531</v>
      </c>
    </row>
    <row r="911" customFormat="false" ht="46.25" hidden="false" customHeight="false" outlineLevel="0" collapsed="false">
      <c r="A911" s="4" t="s">
        <v>1410</v>
      </c>
      <c r="B911" s="5" t="n">
        <v>0.257</v>
      </c>
      <c r="C911" s="5" t="n">
        <v>0.317</v>
      </c>
      <c r="D911" s="5" t="n">
        <f aca="false">IF(AND(ISNUMBER(B911),ISNUMBER(C911)),C911-B911,"")</f>
        <v>0.06</v>
      </c>
      <c r="E911" s="4" t="s">
        <v>1411</v>
      </c>
    </row>
    <row r="912" customFormat="false" ht="15" hidden="false" customHeight="false" outlineLevel="0" collapsed="false">
      <c r="A912" s="4" t="s">
        <v>1412</v>
      </c>
      <c r="B912" s="5" t="n">
        <v>0.169</v>
      </c>
      <c r="C912" s="5" t="n">
        <v>0.169</v>
      </c>
      <c r="D912" s="5" t="n">
        <f aca="false">IF(AND(ISNUMBER(B912),ISNUMBER(C912)),C912-B912,"")</f>
        <v>0</v>
      </c>
      <c r="E912" s="4" t="s">
        <v>531</v>
      </c>
    </row>
    <row r="913" customFormat="false" ht="15" hidden="false" customHeight="false" outlineLevel="0" collapsed="false">
      <c r="A913" s="4" t="s">
        <v>1413</v>
      </c>
      <c r="B913" s="5" t="n">
        <v>2.47</v>
      </c>
      <c r="C913" s="5" t="n">
        <v>2.47</v>
      </c>
      <c r="D913" s="5" t="n">
        <f aca="false">IF(AND(ISNUMBER(B913),ISNUMBER(C913)),C913-B913,"")</f>
        <v>0</v>
      </c>
      <c r="E913" s="4" t="s">
        <v>531</v>
      </c>
    </row>
    <row r="914" customFormat="false" ht="15" hidden="false" customHeight="false" outlineLevel="0" collapsed="false">
      <c r="A914" s="4" t="s">
        <v>1414</v>
      </c>
      <c r="B914" s="5" t="n">
        <v>0.099</v>
      </c>
      <c r="C914" s="5" t="n">
        <v>0.099</v>
      </c>
      <c r="D914" s="5" t="n">
        <f aca="false">IF(AND(ISNUMBER(B914),ISNUMBER(C914)),C914-B914,"")</f>
        <v>0</v>
      </c>
      <c r="E914" s="4" t="s">
        <v>531</v>
      </c>
    </row>
    <row r="915" customFormat="false" ht="23.85" hidden="false" customHeight="false" outlineLevel="0" collapsed="false">
      <c r="A915" s="4" t="s">
        <v>1415</v>
      </c>
      <c r="B915" s="5" t="n">
        <v>0</v>
      </c>
      <c r="C915" s="5" t="n">
        <v>0</v>
      </c>
      <c r="D915" s="5" t="n">
        <f aca="false">IF(AND(ISNUMBER(B915),ISNUMBER(C915)),C915-B915,"")</f>
        <v>0</v>
      </c>
      <c r="E915" s="4" t="s">
        <v>531</v>
      </c>
    </row>
    <row r="916" customFormat="false" ht="23.85" hidden="false" customHeight="false" outlineLevel="0" collapsed="false">
      <c r="A916" s="4" t="s">
        <v>1416</v>
      </c>
      <c r="B916" s="5" t="n">
        <v>0.112</v>
      </c>
      <c r="C916" s="5" t="n">
        <v>0.112</v>
      </c>
      <c r="D916" s="5" t="n">
        <f aca="false">IF(AND(ISNUMBER(B916),ISNUMBER(C916)),C916-B916,"")</f>
        <v>0</v>
      </c>
      <c r="E916" s="4" t="s">
        <v>531</v>
      </c>
    </row>
    <row r="917" customFormat="false" ht="23.85" hidden="false" customHeight="false" outlineLevel="0" collapsed="false">
      <c r="A917" s="4" t="s">
        <v>1417</v>
      </c>
      <c r="B917" s="5" t="n">
        <v>0.177</v>
      </c>
      <c r="C917" s="5" t="n">
        <v>0.177</v>
      </c>
      <c r="D917" s="5" t="n">
        <f aca="false">IF(AND(ISNUMBER(B917),ISNUMBER(C917)),C917-B917,"")</f>
        <v>0</v>
      </c>
      <c r="E917" s="4" t="s">
        <v>531</v>
      </c>
    </row>
    <row r="918" customFormat="false" ht="23.85" hidden="false" customHeight="false" outlineLevel="0" collapsed="false">
      <c r="A918" s="4" t="s">
        <v>1418</v>
      </c>
      <c r="B918" s="5" t="n">
        <v>0.201</v>
      </c>
      <c r="C918" s="5" t="n">
        <v>0.201</v>
      </c>
      <c r="D918" s="5" t="n">
        <f aca="false">IF(AND(ISNUMBER(B918),ISNUMBER(C918)),C918-B918,"")</f>
        <v>0</v>
      </c>
      <c r="E918" s="4" t="s">
        <v>531</v>
      </c>
    </row>
    <row r="919" customFormat="false" ht="23.85" hidden="false" customHeight="false" outlineLevel="0" collapsed="false">
      <c r="A919" s="4" t="s">
        <v>1419</v>
      </c>
      <c r="B919" s="5" t="n">
        <v>0.42</v>
      </c>
      <c r="C919" s="5" t="n">
        <v>0.42</v>
      </c>
      <c r="D919" s="5" t="n">
        <f aca="false">IF(AND(ISNUMBER(B919),ISNUMBER(C919)),C919-B919,"")</f>
        <v>0</v>
      </c>
      <c r="E919" s="4" t="s">
        <v>531</v>
      </c>
    </row>
    <row r="920" customFormat="false" ht="15" hidden="false" customHeight="false" outlineLevel="0" collapsed="false">
      <c r="A920" s="4" t="s">
        <v>1420</v>
      </c>
      <c r="B920" s="5" t="n">
        <v>-0.529</v>
      </c>
      <c r="C920" s="5" t="n">
        <v>-0.529</v>
      </c>
      <c r="D920" s="5" t="n">
        <f aca="false">IF(AND(ISNUMBER(B920),ISNUMBER(C920)),C920-B920,"")</f>
        <v>0</v>
      </c>
      <c r="E920" s="4" t="s">
        <v>531</v>
      </c>
    </row>
    <row r="921" customFormat="false" ht="23.85" hidden="false" customHeight="false" outlineLevel="0" collapsed="false">
      <c r="A921" s="4" t="s">
        <v>1421</v>
      </c>
      <c r="B921" s="5" t="n">
        <v>0.145</v>
      </c>
      <c r="C921" s="5" t="n">
        <v>0.15</v>
      </c>
      <c r="D921" s="5" t="n">
        <f aca="false">IF(AND(ISNUMBER(B921),ISNUMBER(C921)),C921-B921,"")</f>
        <v>0.005</v>
      </c>
      <c r="E921" s="4" t="s">
        <v>605</v>
      </c>
    </row>
    <row r="922" customFormat="false" ht="15" hidden="false" customHeight="false" outlineLevel="0" collapsed="false">
      <c r="A922" s="4" t="s">
        <v>1422</v>
      </c>
      <c r="B922" s="5" t="n">
        <v>-0.478</v>
      </c>
      <c r="C922" s="5" t="n">
        <v>-0.478</v>
      </c>
      <c r="D922" s="5" t="n">
        <f aca="false">IF(AND(ISNUMBER(B922),ISNUMBER(C922)),C922-B922,"")</f>
        <v>0</v>
      </c>
      <c r="E922" s="4" t="s">
        <v>531</v>
      </c>
    </row>
    <row r="923" customFormat="false" ht="23.85" hidden="false" customHeight="false" outlineLevel="0" collapsed="false">
      <c r="A923" s="4" t="s">
        <v>1423</v>
      </c>
      <c r="B923" s="5" t="n">
        <v>0.193</v>
      </c>
      <c r="C923" s="5" t="n">
        <v>0.208</v>
      </c>
      <c r="D923" s="5" t="n">
        <f aca="false">IF(AND(ISNUMBER(B923),ISNUMBER(C923)),C923-B923,"")</f>
        <v>0.015</v>
      </c>
      <c r="E923" s="4" t="s">
        <v>605</v>
      </c>
    </row>
    <row r="924" customFormat="false" ht="15" hidden="false" customHeight="false" outlineLevel="0" collapsed="false">
      <c r="A924" s="4" t="s">
        <v>1424</v>
      </c>
      <c r="B924" s="5" t="n">
        <v>-0.425</v>
      </c>
      <c r="C924" s="5" t="n">
        <v>-0.425</v>
      </c>
      <c r="D924" s="5" t="n">
        <f aca="false">IF(AND(ISNUMBER(B924),ISNUMBER(C924)),C924-B924,"")</f>
        <v>0</v>
      </c>
      <c r="E924" s="4" t="s">
        <v>531</v>
      </c>
    </row>
    <row r="925" customFormat="false" ht="23.85" hidden="false" customHeight="false" outlineLevel="0" collapsed="false">
      <c r="A925" s="4" t="s">
        <v>1425</v>
      </c>
      <c r="B925" s="5" t="n">
        <v>0.202</v>
      </c>
      <c r="C925" s="5" t="n">
        <v>0.207</v>
      </c>
      <c r="D925" s="5" t="n">
        <f aca="false">IF(AND(ISNUMBER(B925),ISNUMBER(C925)),C925-B925,"")</f>
        <v>0.00499999999999998</v>
      </c>
      <c r="E925" s="4" t="s">
        <v>605</v>
      </c>
    </row>
    <row r="926" customFormat="false" ht="15" hidden="false" customHeight="false" outlineLevel="0" collapsed="false">
      <c r="A926" s="4" t="s">
        <v>1426</v>
      </c>
      <c r="B926" s="5" t="n">
        <v>-0.321</v>
      </c>
      <c r="C926" s="5" t="n">
        <v>-0.321</v>
      </c>
      <c r="D926" s="5" t="n">
        <f aca="false">IF(AND(ISNUMBER(B926),ISNUMBER(C926)),C926-B926,"")</f>
        <v>0</v>
      </c>
      <c r="E926" s="4" t="s">
        <v>531</v>
      </c>
    </row>
    <row r="927" customFormat="false" ht="23.85" hidden="false" customHeight="false" outlineLevel="0" collapsed="false">
      <c r="A927" s="4" t="s">
        <v>1427</v>
      </c>
      <c r="B927" s="5" t="n">
        <v>0.257</v>
      </c>
      <c r="C927" s="5" t="n">
        <v>0.249</v>
      </c>
      <c r="D927" s="5" t="n">
        <f aca="false">IF(AND(ISNUMBER(B927),ISNUMBER(C927)),C927-B927,"")</f>
        <v>-0.00800000000000001</v>
      </c>
      <c r="E927" s="4" t="s">
        <v>605</v>
      </c>
    </row>
    <row r="928" customFormat="false" ht="15" hidden="false" customHeight="false" outlineLevel="0" collapsed="false">
      <c r="A928" s="4" t="s">
        <v>1428</v>
      </c>
      <c r="B928" s="5" t="n">
        <v>-0.363</v>
      </c>
      <c r="C928" s="5" t="n">
        <v>-0.363</v>
      </c>
      <c r="D928" s="5" t="n">
        <f aca="false">IF(AND(ISNUMBER(B928),ISNUMBER(C928)),C928-B928,"")</f>
        <v>0</v>
      </c>
      <c r="E928" s="4" t="s">
        <v>531</v>
      </c>
    </row>
    <row r="929" customFormat="false" ht="23.85" hidden="false" customHeight="false" outlineLevel="0" collapsed="false">
      <c r="A929" s="4" t="s">
        <v>1429</v>
      </c>
      <c r="B929" s="5" t="n">
        <v>0.223</v>
      </c>
      <c r="C929" s="5" t="n">
        <v>0.221</v>
      </c>
      <c r="D929" s="5" t="n">
        <f aca="false">IF(AND(ISNUMBER(B929),ISNUMBER(C929)),C929-B929,"")</f>
        <v>-0.002</v>
      </c>
      <c r="E929" s="4" t="s">
        <v>605</v>
      </c>
    </row>
    <row r="930" customFormat="false" ht="15" hidden="false" customHeight="false" outlineLevel="0" collapsed="false">
      <c r="A930" s="4" t="s">
        <v>1430</v>
      </c>
      <c r="B930" s="5" t="n">
        <v>0.182</v>
      </c>
      <c r="C930" s="5" t="n">
        <v>0.182</v>
      </c>
      <c r="D930" s="5" t="n">
        <f aca="false">IF(AND(ISNUMBER(B930),ISNUMBER(C930)),C930-B930,"")</f>
        <v>0</v>
      </c>
      <c r="E930" s="4" t="s">
        <v>531</v>
      </c>
    </row>
    <row r="931" customFormat="false" ht="15" hidden="false" customHeight="false" outlineLevel="0" collapsed="false">
      <c r="A931" s="4" t="s">
        <v>1431</v>
      </c>
      <c r="B931" s="5" t="n">
        <v>0.009</v>
      </c>
      <c r="C931" s="5" t="n">
        <v>0.009</v>
      </c>
      <c r="D931" s="5" t="n">
        <f aca="false">IF(AND(ISNUMBER(B931),ISNUMBER(C931)),C931-B931,"")</f>
        <v>0</v>
      </c>
      <c r="E931" s="4" t="s">
        <v>531</v>
      </c>
    </row>
    <row r="932" customFormat="false" ht="46.25" hidden="false" customHeight="false" outlineLevel="0" collapsed="false">
      <c r="A932" s="4" t="s">
        <v>1432</v>
      </c>
      <c r="B932" s="5" t="n">
        <v>0.024</v>
      </c>
      <c r="C932" s="5" t="n">
        <v>0.067</v>
      </c>
      <c r="D932" s="5" t="n">
        <f aca="false">IF(AND(ISNUMBER(B932),ISNUMBER(C932)),C932-B932,"")</f>
        <v>0.043</v>
      </c>
      <c r="E932" s="4" t="s">
        <v>1411</v>
      </c>
    </row>
    <row r="933" customFormat="false" ht="15" hidden="false" customHeight="false" outlineLevel="0" collapsed="false">
      <c r="A933" s="4" t="s">
        <v>1433</v>
      </c>
      <c r="B933" s="5" t="n">
        <v>-0.403</v>
      </c>
      <c r="C933" s="5" t="n">
        <v>-0.403</v>
      </c>
      <c r="D933" s="5" t="n">
        <f aca="false">IF(AND(ISNUMBER(B933),ISNUMBER(C933)),C933-B933,"")</f>
        <v>0</v>
      </c>
      <c r="E933" s="4" t="s">
        <v>531</v>
      </c>
    </row>
    <row r="934" customFormat="false" ht="15" hidden="false" customHeight="false" outlineLevel="0" collapsed="false">
      <c r="A934" s="4" t="s">
        <v>1434</v>
      </c>
      <c r="B934" s="5" t="n">
        <v>1.76</v>
      </c>
      <c r="C934" s="5" t="n">
        <v>1.76</v>
      </c>
      <c r="D934" s="5" t="n">
        <f aca="false">IF(AND(ISNUMBER(B934),ISNUMBER(C934)),C934-B934,"")</f>
        <v>0</v>
      </c>
      <c r="E934" s="4" t="s">
        <v>531</v>
      </c>
    </row>
    <row r="935" customFormat="false" ht="15" hidden="false" customHeight="false" outlineLevel="0" collapsed="false">
      <c r="A935" s="4" t="s">
        <v>1435</v>
      </c>
      <c r="B935" s="5" t="n">
        <v>0.176</v>
      </c>
      <c r="C935" s="5" t="n">
        <v>0.176</v>
      </c>
      <c r="D935" s="5" t="n">
        <f aca="false">IF(AND(ISNUMBER(B935),ISNUMBER(C935)),C935-B935,"")</f>
        <v>0</v>
      </c>
      <c r="E935" s="4" t="s">
        <v>531</v>
      </c>
    </row>
    <row r="936" customFormat="false" ht="23.85" hidden="false" customHeight="false" outlineLevel="0" collapsed="false">
      <c r="A936" s="4" t="s">
        <v>1436</v>
      </c>
      <c r="B936" s="5" t="n">
        <v>0.052</v>
      </c>
      <c r="C936" s="5" t="n">
        <v>0.052</v>
      </c>
      <c r="D936" s="5" t="n">
        <f aca="false">IF(AND(ISNUMBER(B936),ISNUMBER(C936)),C936-B936,"")</f>
        <v>0</v>
      </c>
      <c r="E936" s="4" t="s">
        <v>531</v>
      </c>
    </row>
    <row r="937" customFormat="false" ht="23.85" hidden="false" customHeight="false" outlineLevel="0" collapsed="false">
      <c r="A937" s="4" t="s">
        <v>1437</v>
      </c>
      <c r="B937" s="5" t="n">
        <v>-0.417</v>
      </c>
      <c r="C937" s="5" t="n">
        <v>-0.417</v>
      </c>
      <c r="D937" s="5" t="n">
        <f aca="false">IF(AND(ISNUMBER(B937),ISNUMBER(C937)),C937-B937,"")</f>
        <v>0</v>
      </c>
      <c r="E937" s="4" t="s">
        <v>531</v>
      </c>
    </row>
    <row r="938" customFormat="false" ht="23.85" hidden="false" customHeight="false" outlineLevel="0" collapsed="false">
      <c r="A938" s="4" t="s">
        <v>1438</v>
      </c>
      <c r="B938" s="5" t="n">
        <v>-0.437</v>
      </c>
      <c r="C938" s="5" t="n">
        <v>-0.437</v>
      </c>
      <c r="D938" s="5" t="n">
        <f aca="false">IF(AND(ISNUMBER(B938),ISNUMBER(C938)),C938-B938,"")</f>
        <v>0</v>
      </c>
      <c r="E938" s="4" t="s">
        <v>531</v>
      </c>
    </row>
    <row r="939" customFormat="false" ht="23.85" hidden="false" customHeight="false" outlineLevel="0" collapsed="false">
      <c r="A939" s="4" t="s">
        <v>1439</v>
      </c>
      <c r="B939" s="5" t="n">
        <v>-0.47</v>
      </c>
      <c r="C939" s="5" t="n">
        <v>-0.47</v>
      </c>
      <c r="D939" s="5" t="n">
        <f aca="false">IF(AND(ISNUMBER(B939),ISNUMBER(C939)),C939-B939,"")</f>
        <v>0</v>
      </c>
      <c r="E939" s="4" t="s">
        <v>531</v>
      </c>
    </row>
    <row r="940" customFormat="false" ht="23.85" hidden="false" customHeight="false" outlineLevel="0" collapsed="false">
      <c r="A940" s="4" t="s">
        <v>1440</v>
      </c>
      <c r="B940" s="5" t="n">
        <v>0.5</v>
      </c>
      <c r="C940" s="5" t="n">
        <v>0.5</v>
      </c>
      <c r="D940" s="5" t="n">
        <f aca="false">IF(AND(ISNUMBER(B940),ISNUMBER(C940)),C940-B940,"")</f>
        <v>0</v>
      </c>
      <c r="E940" s="4" t="s">
        <v>531</v>
      </c>
    </row>
    <row r="941" customFormat="false" ht="15" hidden="false" customHeight="false" outlineLevel="0" collapsed="false">
      <c r="A941" s="4" t="s">
        <v>1441</v>
      </c>
      <c r="B941" s="5" t="n">
        <v>-0.106</v>
      </c>
      <c r="C941" s="5" t="n">
        <v>-0.106</v>
      </c>
      <c r="D941" s="5" t="n">
        <f aca="false">IF(AND(ISNUMBER(B941),ISNUMBER(C941)),C941-B941,"")</f>
        <v>0</v>
      </c>
      <c r="E941" s="4" t="s">
        <v>531</v>
      </c>
    </row>
    <row r="942" customFormat="false" ht="23.85" hidden="false" customHeight="false" outlineLevel="0" collapsed="false">
      <c r="A942" s="4" t="s">
        <v>1442</v>
      </c>
      <c r="B942" s="5" t="n">
        <v>0.125</v>
      </c>
      <c r="C942" s="5" t="n">
        <v>0.126</v>
      </c>
      <c r="D942" s="5" t="n">
        <f aca="false">IF(AND(ISNUMBER(B942),ISNUMBER(C942)),C942-B942,"")</f>
        <v>0.001</v>
      </c>
      <c r="E942" s="4" t="s">
        <v>605</v>
      </c>
    </row>
    <row r="943" customFormat="false" ht="15" hidden="false" customHeight="false" outlineLevel="0" collapsed="false">
      <c r="A943" s="4" t="s">
        <v>1443</v>
      </c>
      <c r="B943" s="5" t="n">
        <v>-0.146</v>
      </c>
      <c r="C943" s="5" t="n">
        <v>-0.146</v>
      </c>
      <c r="D943" s="5" t="n">
        <f aca="false">IF(AND(ISNUMBER(B943),ISNUMBER(C943)),C943-B943,"")</f>
        <v>0</v>
      </c>
      <c r="E943" s="4" t="s">
        <v>531</v>
      </c>
    </row>
    <row r="944" customFormat="false" ht="23.85" hidden="false" customHeight="false" outlineLevel="0" collapsed="false">
      <c r="A944" s="4" t="s">
        <v>1444</v>
      </c>
      <c r="B944" s="5" t="n">
        <v>0.152</v>
      </c>
      <c r="C944" s="5" t="n">
        <v>0.151</v>
      </c>
      <c r="D944" s="5" t="n">
        <f aca="false">IF(AND(ISNUMBER(B944),ISNUMBER(C944)),C944-B944,"")</f>
        <v>-0.001</v>
      </c>
      <c r="E944" s="4" t="s">
        <v>605</v>
      </c>
    </row>
    <row r="945" customFormat="false" ht="15" hidden="false" customHeight="false" outlineLevel="0" collapsed="false">
      <c r="A945" s="4" t="s">
        <v>1445</v>
      </c>
      <c r="B945" s="5" t="n">
        <v>-0.175</v>
      </c>
      <c r="C945" s="5" t="n">
        <v>-0.175</v>
      </c>
      <c r="D945" s="5" t="n">
        <f aca="false">IF(AND(ISNUMBER(B945),ISNUMBER(C945)),C945-B945,"")</f>
        <v>0</v>
      </c>
      <c r="E945" s="4" t="s">
        <v>531</v>
      </c>
    </row>
    <row r="946" customFormat="false" ht="23.85" hidden="false" customHeight="false" outlineLevel="0" collapsed="false">
      <c r="A946" s="4" t="s">
        <v>1446</v>
      </c>
      <c r="B946" s="5" t="n">
        <v>0.192</v>
      </c>
      <c r="C946" s="5" t="n">
        <v>0.184</v>
      </c>
      <c r="D946" s="5" t="n">
        <f aca="false">IF(AND(ISNUMBER(B946),ISNUMBER(C946)),C946-B946,"")</f>
        <v>-0.00800000000000001</v>
      </c>
      <c r="E946" s="4" t="s">
        <v>605</v>
      </c>
    </row>
    <row r="947" customFormat="false" ht="15" hidden="false" customHeight="false" outlineLevel="0" collapsed="false">
      <c r="A947" s="4" t="s">
        <v>1447</v>
      </c>
      <c r="B947" s="5" t="n">
        <v>-0.045</v>
      </c>
      <c r="C947" s="5" t="n">
        <v>-0.045</v>
      </c>
      <c r="D947" s="5" t="n">
        <f aca="false">IF(AND(ISNUMBER(B947),ISNUMBER(C947)),C947-B947,"")</f>
        <v>0</v>
      </c>
      <c r="E947" s="4" t="s">
        <v>531</v>
      </c>
    </row>
    <row r="948" customFormat="false" ht="23.85" hidden="false" customHeight="false" outlineLevel="0" collapsed="false">
      <c r="A948" s="4" t="s">
        <v>1448</v>
      </c>
      <c r="B948" s="5" t="n">
        <v>0.215</v>
      </c>
      <c r="C948" s="5" t="n">
        <v>0.21</v>
      </c>
      <c r="D948" s="5" t="n">
        <f aca="false">IF(AND(ISNUMBER(B948),ISNUMBER(C948)),C948-B948,"")</f>
        <v>-0.005</v>
      </c>
      <c r="E948" s="4" t="s">
        <v>605</v>
      </c>
    </row>
    <row r="949" customFormat="false" ht="15" hidden="false" customHeight="false" outlineLevel="0" collapsed="false">
      <c r="A949" s="4" t="s">
        <v>1449</v>
      </c>
      <c r="B949" s="5" t="n">
        <v>-0.196</v>
      </c>
      <c r="C949" s="5" t="n">
        <v>-0.196</v>
      </c>
      <c r="D949" s="5" t="n">
        <f aca="false">IF(AND(ISNUMBER(B949),ISNUMBER(C949)),C949-B949,"")</f>
        <v>0</v>
      </c>
      <c r="E949" s="4" t="s">
        <v>531</v>
      </c>
    </row>
    <row r="950" customFormat="false" ht="23.85" hidden="false" customHeight="false" outlineLevel="0" collapsed="false">
      <c r="A950" s="4" t="s">
        <v>1450</v>
      </c>
      <c r="B950" s="5" t="n">
        <v>0.196</v>
      </c>
      <c r="C950" s="5" t="n">
        <v>0.198</v>
      </c>
      <c r="D950" s="5" t="n">
        <f aca="false">IF(AND(ISNUMBER(B950),ISNUMBER(C950)),C950-B950,"")</f>
        <v>0.002</v>
      </c>
      <c r="E950" s="4" t="s">
        <v>605</v>
      </c>
    </row>
    <row r="951" customFormat="false" ht="15" hidden="false" customHeight="false" outlineLevel="0" collapsed="false">
      <c r="A951" s="4" t="s">
        <v>1451</v>
      </c>
      <c r="B951" s="5" t="n">
        <v>0.148</v>
      </c>
      <c r="C951" s="5" t="n">
        <v>0.148</v>
      </c>
      <c r="D951" s="5" t="n">
        <f aca="false">IF(AND(ISNUMBER(B951),ISNUMBER(C951)),C951-B951,"")</f>
        <v>0</v>
      </c>
      <c r="E951" s="4" t="s">
        <v>531</v>
      </c>
    </row>
    <row r="952" customFormat="false" ht="15" hidden="false" customHeight="false" outlineLevel="0" collapsed="false">
      <c r="A952" s="4" t="s">
        <v>1452</v>
      </c>
      <c r="B952" s="5" t="n">
        <v>0.325</v>
      </c>
      <c r="C952" s="5" t="n">
        <v>0.325</v>
      </c>
      <c r="D952" s="5" t="n">
        <f aca="false">IF(AND(ISNUMBER(B952),ISNUMBER(C952)),C952-B952,"")</f>
        <v>0</v>
      </c>
      <c r="E952" s="4" t="s">
        <v>531</v>
      </c>
    </row>
    <row r="953" customFormat="false" ht="46.25" hidden="false" customHeight="false" outlineLevel="0" collapsed="false">
      <c r="A953" s="4" t="s">
        <v>1453</v>
      </c>
      <c r="B953" s="5" t="n">
        <v>0.459</v>
      </c>
      <c r="C953" s="5" t="n">
        <v>0.521</v>
      </c>
      <c r="D953" s="5" t="n">
        <f aca="false">IF(AND(ISNUMBER(B953),ISNUMBER(C953)),C953-B953,"")</f>
        <v>0.062</v>
      </c>
      <c r="E953" s="4" t="s">
        <v>1411</v>
      </c>
    </row>
    <row r="954" customFormat="false" ht="15" hidden="false" customHeight="false" outlineLevel="0" collapsed="false">
      <c r="A954" s="4" t="s">
        <v>1454</v>
      </c>
      <c r="B954" s="5" t="n">
        <v>-0.167</v>
      </c>
      <c r="C954" s="5" t="n">
        <v>-0.167</v>
      </c>
      <c r="D954" s="5" t="n">
        <f aca="false">IF(AND(ISNUMBER(B954),ISNUMBER(C954)),C954-B954,"")</f>
        <v>0</v>
      </c>
      <c r="E954" s="4" t="s">
        <v>531</v>
      </c>
    </row>
    <row r="955" customFormat="false" ht="15" hidden="false" customHeight="false" outlineLevel="0" collapsed="false">
      <c r="A955" s="4" t="s">
        <v>1455</v>
      </c>
      <c r="B955" s="5" t="n">
        <v>33.74</v>
      </c>
      <c r="C955" s="5" t="n">
        <v>33.74</v>
      </c>
      <c r="D955" s="5" t="n">
        <f aca="false">IF(AND(ISNUMBER(B955),ISNUMBER(C955)),C955-B955,"")</f>
        <v>0</v>
      </c>
      <c r="E955" s="4" t="s">
        <v>531</v>
      </c>
    </row>
    <row r="956" customFormat="false" ht="15" hidden="false" customHeight="false" outlineLevel="0" collapsed="false">
      <c r="A956" s="4" t="s">
        <v>1456</v>
      </c>
      <c r="B956" s="5" t="n">
        <v>0.063</v>
      </c>
      <c r="C956" s="5" t="n">
        <v>0.063</v>
      </c>
      <c r="D956" s="5" t="n">
        <f aca="false">IF(AND(ISNUMBER(B956),ISNUMBER(C956)),C956-B956,"")</f>
        <v>0</v>
      </c>
      <c r="E956" s="4" t="s">
        <v>531</v>
      </c>
    </row>
    <row r="957" customFormat="false" ht="23.85" hidden="false" customHeight="false" outlineLevel="0" collapsed="false">
      <c r="A957" s="4" t="s">
        <v>1457</v>
      </c>
      <c r="B957" s="5" t="n">
        <v>0</v>
      </c>
      <c r="C957" s="5" t="n">
        <v>0</v>
      </c>
      <c r="D957" s="5" t="n">
        <f aca="false">IF(AND(ISNUMBER(B957),ISNUMBER(C957)),C957-B957,"")</f>
        <v>0</v>
      </c>
      <c r="E957" s="4" t="s">
        <v>531</v>
      </c>
    </row>
    <row r="958" customFormat="false" ht="23.85" hidden="false" customHeight="false" outlineLevel="0" collapsed="false">
      <c r="A958" s="4" t="s">
        <v>1458</v>
      </c>
      <c r="B958" s="5" t="n">
        <v>-0.041</v>
      </c>
      <c r="C958" s="5" t="n">
        <v>-0.041</v>
      </c>
      <c r="D958" s="5" t="n">
        <f aca="false">IF(AND(ISNUMBER(B958),ISNUMBER(C958)),C958-B958,"")</f>
        <v>0</v>
      </c>
      <c r="E958" s="4" t="s">
        <v>531</v>
      </c>
    </row>
    <row r="959" customFormat="false" ht="23.85" hidden="false" customHeight="false" outlineLevel="0" collapsed="false">
      <c r="A959" s="4" t="s">
        <v>1459</v>
      </c>
      <c r="B959" s="5" t="n">
        <v>-0.143</v>
      </c>
      <c r="C959" s="5" t="n">
        <v>-0.143</v>
      </c>
      <c r="D959" s="5" t="n">
        <f aca="false">IF(AND(ISNUMBER(B959),ISNUMBER(C959)),C959-B959,"")</f>
        <v>0</v>
      </c>
      <c r="E959" s="4" t="s">
        <v>531</v>
      </c>
    </row>
    <row r="960" customFormat="false" ht="23.85" hidden="false" customHeight="false" outlineLevel="0" collapsed="false">
      <c r="A960" s="4" t="s">
        <v>1460</v>
      </c>
      <c r="B960" s="5" t="n">
        <v>-0.121</v>
      </c>
      <c r="C960" s="5" t="n">
        <v>-0.121</v>
      </c>
      <c r="D960" s="5" t="n">
        <f aca="false">IF(AND(ISNUMBER(B960),ISNUMBER(C960)),C960-B960,"")</f>
        <v>0</v>
      </c>
      <c r="E960" s="4" t="s">
        <v>531</v>
      </c>
    </row>
    <row r="961" customFormat="false" ht="23.85" hidden="false" customHeight="false" outlineLevel="0" collapsed="false">
      <c r="A961" s="4" t="s">
        <v>1461</v>
      </c>
      <c r="B961" s="5" t="n">
        <v>0.462</v>
      </c>
      <c r="C961" s="5" t="n">
        <v>0.462</v>
      </c>
      <c r="D961" s="5" t="n">
        <f aca="false">IF(AND(ISNUMBER(B961),ISNUMBER(C961)),C961-B961,"")</f>
        <v>0</v>
      </c>
      <c r="E961" s="4" t="s">
        <v>531</v>
      </c>
    </row>
    <row r="962" customFormat="false" ht="15" hidden="false" customHeight="false" outlineLevel="0" collapsed="false">
      <c r="A962" s="4" t="s">
        <v>1462</v>
      </c>
      <c r="B962" s="5" t="n">
        <v>0.077</v>
      </c>
      <c r="C962" s="5" t="n">
        <v>0.077</v>
      </c>
      <c r="D962" s="5" t="n">
        <f aca="false">IF(AND(ISNUMBER(B962),ISNUMBER(C962)),C962-B962,"")</f>
        <v>0</v>
      </c>
      <c r="E962" s="4" t="s">
        <v>531</v>
      </c>
    </row>
    <row r="963" customFormat="false" ht="23.85" hidden="false" customHeight="false" outlineLevel="0" collapsed="false">
      <c r="A963" s="4" t="s">
        <v>1463</v>
      </c>
      <c r="B963" s="5" t="n">
        <v>0.137</v>
      </c>
      <c r="C963" s="5" t="n">
        <v>0.132</v>
      </c>
      <c r="D963" s="5" t="n">
        <f aca="false">IF(AND(ISNUMBER(B963),ISNUMBER(C963)),C963-B963,"")</f>
        <v>-0.005</v>
      </c>
      <c r="E963" s="4" t="s">
        <v>605</v>
      </c>
    </row>
    <row r="964" customFormat="false" ht="15" hidden="false" customHeight="false" outlineLevel="0" collapsed="false">
      <c r="A964" s="4" t="s">
        <v>1464</v>
      </c>
      <c r="B964" s="5" t="n">
        <v>0.058</v>
      </c>
      <c r="C964" s="5" t="n">
        <v>0.058</v>
      </c>
      <c r="D964" s="5" t="n">
        <f aca="false">IF(AND(ISNUMBER(B964),ISNUMBER(C964)),C964-B964,"")</f>
        <v>0</v>
      </c>
      <c r="E964" s="4" t="s">
        <v>531</v>
      </c>
    </row>
    <row r="965" customFormat="false" ht="23.85" hidden="false" customHeight="false" outlineLevel="0" collapsed="false">
      <c r="A965" s="4" t="s">
        <v>1465</v>
      </c>
      <c r="B965" s="5" t="n">
        <v>0.172</v>
      </c>
      <c r="C965" s="5" t="n">
        <v>0.165</v>
      </c>
      <c r="D965" s="5" t="n">
        <f aca="false">IF(AND(ISNUMBER(B965),ISNUMBER(C965)),C965-B965,"")</f>
        <v>-0.00699999999999998</v>
      </c>
      <c r="E965" s="4" t="s">
        <v>605</v>
      </c>
    </row>
    <row r="966" customFormat="false" ht="15" hidden="false" customHeight="false" outlineLevel="0" collapsed="false">
      <c r="A966" s="4" t="s">
        <v>1466</v>
      </c>
      <c r="B966" s="5" t="n">
        <v>0.045</v>
      </c>
      <c r="C966" s="5" t="n">
        <v>0.045</v>
      </c>
      <c r="D966" s="5" t="n">
        <f aca="false">IF(AND(ISNUMBER(B966),ISNUMBER(C966)),C966-B966,"")</f>
        <v>0</v>
      </c>
      <c r="E966" s="4" t="s">
        <v>531</v>
      </c>
    </row>
    <row r="967" customFormat="false" ht="23.85" hidden="false" customHeight="false" outlineLevel="0" collapsed="false">
      <c r="A967" s="4" t="s">
        <v>1467</v>
      </c>
      <c r="B967" s="5" t="n">
        <v>0.198</v>
      </c>
      <c r="C967" s="5" t="n">
        <v>0.193</v>
      </c>
      <c r="D967" s="5" t="n">
        <f aca="false">IF(AND(ISNUMBER(B967),ISNUMBER(C967)),C967-B967,"")</f>
        <v>-0.005</v>
      </c>
      <c r="E967" s="4" t="s">
        <v>605</v>
      </c>
    </row>
    <row r="968" customFormat="false" ht="15" hidden="false" customHeight="false" outlineLevel="0" collapsed="false">
      <c r="A968" s="4" t="s">
        <v>1468</v>
      </c>
      <c r="B968" s="5" t="n">
        <v>0.176</v>
      </c>
      <c r="C968" s="5" t="n">
        <v>0.176</v>
      </c>
      <c r="D968" s="5" t="n">
        <f aca="false">IF(AND(ISNUMBER(B968),ISNUMBER(C968)),C968-B968,"")</f>
        <v>0</v>
      </c>
      <c r="E968" s="4" t="s">
        <v>531</v>
      </c>
    </row>
    <row r="969" customFormat="false" ht="23.85" hidden="false" customHeight="false" outlineLevel="0" collapsed="false">
      <c r="A969" s="4" t="s">
        <v>1469</v>
      </c>
      <c r="B969" s="5" t="n">
        <v>0.236</v>
      </c>
      <c r="C969" s="5" t="n">
        <v>0.221</v>
      </c>
      <c r="D969" s="5" t="n">
        <f aca="false">IF(AND(ISNUMBER(B969),ISNUMBER(C969)),C969-B969,"")</f>
        <v>-0.015</v>
      </c>
      <c r="E969" s="4" t="s">
        <v>605</v>
      </c>
    </row>
    <row r="970" customFormat="false" ht="15" hidden="false" customHeight="false" outlineLevel="0" collapsed="false">
      <c r="A970" s="4" t="s">
        <v>1470</v>
      </c>
      <c r="B970" s="5" t="n">
        <v>0.02</v>
      </c>
      <c r="C970" s="5" t="n">
        <v>0.02</v>
      </c>
      <c r="D970" s="5" t="n">
        <f aca="false">IF(AND(ISNUMBER(B970),ISNUMBER(C970)),C970-B970,"")</f>
        <v>0</v>
      </c>
      <c r="E970" s="4" t="s">
        <v>531</v>
      </c>
    </row>
    <row r="971" customFormat="false" ht="23.85" hidden="false" customHeight="false" outlineLevel="0" collapsed="false">
      <c r="A971" s="4" t="s">
        <v>1471</v>
      </c>
      <c r="B971" s="5" t="n">
        <v>0.2</v>
      </c>
      <c r="C971" s="5" t="n">
        <v>0.199</v>
      </c>
      <c r="D971" s="5" t="n">
        <f aca="false">IF(AND(ISNUMBER(B971),ISNUMBER(C971)),C971-B971,"")</f>
        <v>-0.001</v>
      </c>
      <c r="E971" s="4" t="s">
        <v>605</v>
      </c>
    </row>
    <row r="972" customFormat="false" ht="15" hidden="false" customHeight="false" outlineLevel="0" collapsed="false">
      <c r="A972" s="4" t="s">
        <v>1472</v>
      </c>
      <c r="B972" s="5" t="n">
        <v>0.156</v>
      </c>
      <c r="C972" s="5" t="n">
        <v>0.156</v>
      </c>
      <c r="D972" s="5" t="n">
        <f aca="false">IF(AND(ISNUMBER(B972),ISNUMBER(C972)),C972-B972,"")</f>
        <v>0</v>
      </c>
      <c r="E972" s="4" t="s">
        <v>531</v>
      </c>
    </row>
    <row r="973" customFormat="false" ht="15" hidden="false" customHeight="false" outlineLevel="0" collapsed="false">
      <c r="A973" s="4" t="s">
        <v>1473</v>
      </c>
      <c r="B973" s="5" t="n">
        <v>0.709</v>
      </c>
      <c r="C973" s="5" t="n">
        <v>0.709</v>
      </c>
      <c r="D973" s="5" t="n">
        <f aca="false">IF(AND(ISNUMBER(B973),ISNUMBER(C973)),C973-B973,"")</f>
        <v>0</v>
      </c>
      <c r="E973" s="4" t="s">
        <v>531</v>
      </c>
    </row>
    <row r="974" customFormat="false" ht="46.25" hidden="false" customHeight="false" outlineLevel="0" collapsed="false">
      <c r="A974" s="4" t="s">
        <v>1474</v>
      </c>
      <c r="B974" s="5" t="n">
        <v>0.686</v>
      </c>
      <c r="C974" s="5" t="n">
        <v>0.728</v>
      </c>
      <c r="D974" s="5" t="n">
        <f aca="false">IF(AND(ISNUMBER(B974),ISNUMBER(C974)),C974-B974,"")</f>
        <v>0.0419999999999999</v>
      </c>
      <c r="E974" s="4" t="s">
        <v>1411</v>
      </c>
    </row>
    <row r="975" customFormat="false" ht="15" hidden="false" customHeight="false" outlineLevel="0" collapsed="false">
      <c r="A975" s="4" t="s">
        <v>1475</v>
      </c>
      <c r="B975" s="5" t="n">
        <v>0.048</v>
      </c>
      <c r="C975" s="5" t="n">
        <v>0.048</v>
      </c>
      <c r="D975" s="5" t="n">
        <f aca="false">IF(AND(ISNUMBER(B975),ISNUMBER(C975)),C975-B975,"")</f>
        <v>0</v>
      </c>
      <c r="E975" s="4" t="s">
        <v>531</v>
      </c>
    </row>
    <row r="976" customFormat="false" ht="15" hidden="false" customHeight="false" outlineLevel="0" collapsed="false">
      <c r="A976" s="4" t="s">
        <v>1476</v>
      </c>
      <c r="B976" s="5" t="n">
        <v>3.41</v>
      </c>
      <c r="C976" s="5" t="n">
        <v>3.41</v>
      </c>
      <c r="D976" s="5" t="n">
        <f aca="false">IF(AND(ISNUMBER(B976),ISNUMBER(C976)),C976-B976,"")</f>
        <v>0</v>
      </c>
      <c r="E976" s="4" t="s">
        <v>531</v>
      </c>
    </row>
    <row r="977" customFormat="false" ht="15" hidden="false" customHeight="false" outlineLevel="0" collapsed="false">
      <c r="A977" s="4" t="s">
        <v>1477</v>
      </c>
      <c r="B977" s="5" t="n">
        <v>0.026</v>
      </c>
      <c r="C977" s="5" t="n">
        <v>0.026</v>
      </c>
      <c r="D977" s="5" t="n">
        <f aca="false">IF(AND(ISNUMBER(B977),ISNUMBER(C977)),C977-B977,"")</f>
        <v>0</v>
      </c>
      <c r="E977" s="4" t="s">
        <v>531</v>
      </c>
    </row>
    <row r="978" customFormat="false" ht="23.85" hidden="false" customHeight="false" outlineLevel="0" collapsed="false">
      <c r="A978" s="4" t="s">
        <v>1478</v>
      </c>
      <c r="B978" s="5" t="n">
        <v>0</v>
      </c>
      <c r="C978" s="5" t="n">
        <v>0</v>
      </c>
      <c r="D978" s="5" t="n">
        <f aca="false">IF(AND(ISNUMBER(B978),ISNUMBER(C978)),C978-B978,"")</f>
        <v>0</v>
      </c>
      <c r="E978" s="4" t="s">
        <v>531</v>
      </c>
    </row>
    <row r="979" customFormat="false" ht="23.85" hidden="false" customHeight="false" outlineLevel="0" collapsed="false">
      <c r="A979" s="4" t="s">
        <v>1479</v>
      </c>
      <c r="B979" s="5" t="n">
        <v>-0.016</v>
      </c>
      <c r="C979" s="5" t="n">
        <v>-0.016</v>
      </c>
      <c r="D979" s="5" t="n">
        <f aca="false">IF(AND(ISNUMBER(B979),ISNUMBER(C979)),C979-B979,"")</f>
        <v>0</v>
      </c>
      <c r="E979" s="4" t="s">
        <v>531</v>
      </c>
    </row>
    <row r="980" customFormat="false" ht="23.85" hidden="false" customHeight="false" outlineLevel="0" collapsed="false">
      <c r="A980" s="4" t="s">
        <v>1480</v>
      </c>
      <c r="B980" s="5" t="n">
        <v>0.008</v>
      </c>
      <c r="C980" s="5" t="n">
        <v>0.008</v>
      </c>
      <c r="D980" s="5" t="n">
        <f aca="false">IF(AND(ISNUMBER(B980),ISNUMBER(C980)),C980-B980,"")</f>
        <v>0</v>
      </c>
      <c r="E980" s="4" t="s">
        <v>531</v>
      </c>
    </row>
    <row r="981" customFormat="false" ht="23.85" hidden="false" customHeight="false" outlineLevel="0" collapsed="false">
      <c r="A981" s="4" t="s">
        <v>1481</v>
      </c>
      <c r="B981" s="5" t="n">
        <v>0.037</v>
      </c>
      <c r="C981" s="5" t="n">
        <v>0.037</v>
      </c>
      <c r="D981" s="5" t="n">
        <f aca="false">IF(AND(ISNUMBER(B981),ISNUMBER(C981)),C981-B981,"")</f>
        <v>0</v>
      </c>
      <c r="E981" s="4" t="s">
        <v>531</v>
      </c>
    </row>
    <row r="982" customFormat="false" ht="23.85" hidden="false" customHeight="false" outlineLevel="0" collapsed="false">
      <c r="A982" s="4" t="s">
        <v>1482</v>
      </c>
      <c r="B982" s="5" t="n">
        <v>0.456</v>
      </c>
      <c r="C982" s="5" t="n">
        <v>0.456</v>
      </c>
      <c r="D982" s="5" t="n">
        <f aca="false">IF(AND(ISNUMBER(B982),ISNUMBER(C982)),C982-B982,"")</f>
        <v>0</v>
      </c>
      <c r="E982" s="4" t="s">
        <v>531</v>
      </c>
    </row>
    <row r="983" customFormat="false" ht="15" hidden="false" customHeight="false" outlineLevel="0" collapsed="false">
      <c r="A983" s="4" t="s">
        <v>1483</v>
      </c>
      <c r="B983" s="5" t="n">
        <v>0.377</v>
      </c>
      <c r="C983" s="5" t="n">
        <v>0.377</v>
      </c>
      <c r="D983" s="5" t="n">
        <f aca="false">IF(AND(ISNUMBER(B983),ISNUMBER(C983)),C983-B983,"")</f>
        <v>0</v>
      </c>
      <c r="E983" s="4" t="s">
        <v>531</v>
      </c>
    </row>
    <row r="984" customFormat="false" ht="23.85" hidden="false" customHeight="false" outlineLevel="0" collapsed="false">
      <c r="A984" s="4" t="s">
        <v>1484</v>
      </c>
      <c r="B984" s="5" t="n">
        <v>0.088</v>
      </c>
      <c r="C984" s="5" t="n">
        <v>0.092</v>
      </c>
      <c r="D984" s="5" t="n">
        <f aca="false">IF(AND(ISNUMBER(B984),ISNUMBER(C984)),C984-B984,"")</f>
        <v>0.004</v>
      </c>
      <c r="E984" s="4" t="s">
        <v>605</v>
      </c>
    </row>
    <row r="985" customFormat="false" ht="15" hidden="false" customHeight="false" outlineLevel="0" collapsed="false">
      <c r="A985" s="4" t="s">
        <v>1485</v>
      </c>
      <c r="B985" s="5" t="n">
        <v>0.311</v>
      </c>
      <c r="C985" s="5" t="n">
        <v>0.311</v>
      </c>
      <c r="D985" s="5" t="n">
        <f aca="false">IF(AND(ISNUMBER(B985),ISNUMBER(C985)),C985-B985,"")</f>
        <v>0</v>
      </c>
      <c r="E985" s="4" t="s">
        <v>531</v>
      </c>
    </row>
    <row r="986" customFormat="false" ht="23.85" hidden="false" customHeight="false" outlineLevel="0" collapsed="false">
      <c r="A986" s="4" t="s">
        <v>1486</v>
      </c>
      <c r="B986" s="5" t="n">
        <v>0.126</v>
      </c>
      <c r="C986" s="5" t="n">
        <v>0.13</v>
      </c>
      <c r="D986" s="5" t="n">
        <f aca="false">IF(AND(ISNUMBER(B986),ISNUMBER(C986)),C986-B986,"")</f>
        <v>0.004</v>
      </c>
      <c r="E986" s="4" t="s">
        <v>605</v>
      </c>
    </row>
    <row r="987" customFormat="false" ht="15" hidden="false" customHeight="false" outlineLevel="0" collapsed="false">
      <c r="A987" s="4" t="s">
        <v>1487</v>
      </c>
      <c r="B987" s="5" t="n">
        <v>0.428</v>
      </c>
      <c r="C987" s="5" t="n">
        <v>0.428</v>
      </c>
      <c r="D987" s="5" t="n">
        <f aca="false">IF(AND(ISNUMBER(B987),ISNUMBER(C987)),C987-B987,"")</f>
        <v>0</v>
      </c>
      <c r="E987" s="4" t="s">
        <v>531</v>
      </c>
    </row>
    <row r="988" customFormat="false" ht="23.85" hidden="false" customHeight="false" outlineLevel="0" collapsed="false">
      <c r="A988" s="4" t="s">
        <v>1488</v>
      </c>
      <c r="B988" s="5" t="n">
        <v>0.175</v>
      </c>
      <c r="C988" s="5" t="n">
        <v>0.184</v>
      </c>
      <c r="D988" s="5" t="n">
        <f aca="false">IF(AND(ISNUMBER(B988),ISNUMBER(C988)),C988-B988,"")</f>
        <v>0.00900000000000001</v>
      </c>
      <c r="E988" s="4" t="s">
        <v>605</v>
      </c>
    </row>
    <row r="989" customFormat="false" ht="15" hidden="false" customHeight="false" outlineLevel="0" collapsed="false">
      <c r="A989" s="4" t="s">
        <v>1489</v>
      </c>
      <c r="B989" s="5" t="n">
        <v>0.464</v>
      </c>
      <c r="C989" s="5" t="n">
        <v>0.464</v>
      </c>
      <c r="D989" s="5" t="n">
        <f aca="false">IF(AND(ISNUMBER(B989),ISNUMBER(C989)),C989-B989,"")</f>
        <v>0</v>
      </c>
      <c r="E989" s="4" t="s">
        <v>531</v>
      </c>
    </row>
    <row r="990" customFormat="false" ht="23.85" hidden="false" customHeight="false" outlineLevel="0" collapsed="false">
      <c r="A990" s="4" t="s">
        <v>1490</v>
      </c>
      <c r="B990" s="5" t="n">
        <v>0.188</v>
      </c>
      <c r="C990" s="5" t="n">
        <v>0.192</v>
      </c>
      <c r="D990" s="5" t="n">
        <f aca="false">IF(AND(ISNUMBER(B990),ISNUMBER(C990)),C990-B990,"")</f>
        <v>0.004</v>
      </c>
      <c r="E990" s="4" t="s">
        <v>605</v>
      </c>
    </row>
    <row r="991" customFormat="false" ht="15" hidden="false" customHeight="false" outlineLevel="0" collapsed="false">
      <c r="A991" s="4" t="s">
        <v>1491</v>
      </c>
      <c r="B991" s="5" t="n">
        <v>0.541</v>
      </c>
      <c r="C991" s="5" t="n">
        <v>0.541</v>
      </c>
      <c r="D991" s="5" t="n">
        <f aca="false">IF(AND(ISNUMBER(B991),ISNUMBER(C991)),C991-B991,"")</f>
        <v>0</v>
      </c>
      <c r="E991" s="4" t="s">
        <v>531</v>
      </c>
    </row>
    <row r="992" customFormat="false" ht="23.85" hidden="false" customHeight="false" outlineLevel="0" collapsed="false">
      <c r="A992" s="4" t="s">
        <v>1492</v>
      </c>
      <c r="B992" s="5" t="n">
        <v>0.236</v>
      </c>
      <c r="C992" s="5" t="n">
        <v>0.18</v>
      </c>
      <c r="D992" s="5" t="n">
        <f aca="false">IF(AND(ISNUMBER(B992),ISNUMBER(C992)),C992-B992,"")</f>
        <v>-0.056</v>
      </c>
      <c r="E992" s="4" t="s">
        <v>1493</v>
      </c>
    </row>
    <row r="993" customFormat="false" ht="15" hidden="false" customHeight="false" outlineLevel="0" collapsed="false">
      <c r="A993" s="4" t="s">
        <v>1494</v>
      </c>
      <c r="B993" s="5" t="n">
        <v>0.128</v>
      </c>
      <c r="C993" s="5" t="n">
        <v>0.128</v>
      </c>
      <c r="D993" s="5" t="n">
        <f aca="false">IF(AND(ISNUMBER(B993),ISNUMBER(C993)),C993-B993,"")</f>
        <v>0</v>
      </c>
      <c r="E993" s="4" t="s">
        <v>531</v>
      </c>
    </row>
    <row r="994" customFormat="false" ht="15" hidden="false" customHeight="false" outlineLevel="0" collapsed="false">
      <c r="A994" s="4" t="s">
        <v>1495</v>
      </c>
      <c r="B994" s="5" t="n">
        <v>0.015</v>
      </c>
      <c r="C994" s="5" t="n">
        <v>0.015</v>
      </c>
      <c r="D994" s="5" t="n">
        <f aca="false">IF(AND(ISNUMBER(B994),ISNUMBER(C994)),C994-B994,"")</f>
        <v>0</v>
      </c>
      <c r="E994" s="4" t="s">
        <v>531</v>
      </c>
    </row>
    <row r="995" customFormat="false" ht="23.85" hidden="false" customHeight="false" outlineLevel="0" collapsed="false">
      <c r="A995" s="4" t="s">
        <v>1496</v>
      </c>
      <c r="B995" s="5" t="n">
        <v>0.04</v>
      </c>
      <c r="C995" s="5" t="n">
        <v>0.033</v>
      </c>
      <c r="D995" s="5" t="n">
        <f aca="false">IF(AND(ISNUMBER(B995),ISNUMBER(C995)),C995-B995,"")</f>
        <v>-0.007</v>
      </c>
      <c r="E995" s="4" t="s">
        <v>1235</v>
      </c>
    </row>
    <row r="996" customFormat="false" ht="15" hidden="false" customHeight="false" outlineLevel="0" collapsed="false">
      <c r="A996" s="4" t="s">
        <v>1497</v>
      </c>
      <c r="B996" s="5" t="n">
        <v>0.152</v>
      </c>
      <c r="C996" s="5" t="n">
        <v>0.152</v>
      </c>
      <c r="D996" s="5" t="n">
        <f aca="false">IF(AND(ISNUMBER(B996),ISNUMBER(C996)),C996-B996,"")</f>
        <v>0</v>
      </c>
      <c r="E996" s="4" t="s">
        <v>531</v>
      </c>
    </row>
    <row r="997" customFormat="false" ht="15" hidden="false" customHeight="false" outlineLevel="0" collapsed="false">
      <c r="A997" s="4" t="s">
        <v>1498</v>
      </c>
      <c r="B997" s="5" t="n">
        <v>1.24</v>
      </c>
      <c r="C997" s="5" t="n">
        <v>1.24</v>
      </c>
      <c r="D997" s="5" t="n">
        <f aca="false">IF(AND(ISNUMBER(B997),ISNUMBER(C997)),C997-B997,"")</f>
        <v>0</v>
      </c>
      <c r="E997" s="4" t="s">
        <v>531</v>
      </c>
    </row>
    <row r="998" customFormat="false" ht="15" hidden="false" customHeight="false" outlineLevel="0" collapsed="false">
      <c r="A998" s="4" t="s">
        <v>1499</v>
      </c>
      <c r="B998" s="5" t="n">
        <v>0.118</v>
      </c>
      <c r="C998" s="5" t="n">
        <v>0.118</v>
      </c>
      <c r="D998" s="5" t="n">
        <f aca="false">IF(AND(ISNUMBER(B998),ISNUMBER(C998)),C998-B998,"")</f>
        <v>0</v>
      </c>
      <c r="E998" s="4" t="s">
        <v>531</v>
      </c>
    </row>
    <row r="999" customFormat="false" ht="23.85" hidden="false" customHeight="false" outlineLevel="0" collapsed="false">
      <c r="A999" s="4" t="s">
        <v>1500</v>
      </c>
      <c r="B999" s="5" t="n">
        <v>0.016</v>
      </c>
      <c r="C999" s="5" t="n">
        <v>0.016</v>
      </c>
      <c r="D999" s="5" t="n">
        <f aca="false">IF(AND(ISNUMBER(B999),ISNUMBER(C999)),C999-B999,"")</f>
        <v>0</v>
      </c>
      <c r="E999" s="4" t="s">
        <v>531</v>
      </c>
    </row>
    <row r="1000" customFormat="false" ht="23.85" hidden="false" customHeight="false" outlineLevel="0" collapsed="false">
      <c r="A1000" s="4" t="s">
        <v>1501</v>
      </c>
      <c r="B1000" s="5" t="n">
        <v>0.145</v>
      </c>
      <c r="C1000" s="5" t="n">
        <v>0.145</v>
      </c>
      <c r="D1000" s="5" t="n">
        <f aca="false">IF(AND(ISNUMBER(B1000),ISNUMBER(C1000)),C1000-B1000,"")</f>
        <v>0</v>
      </c>
      <c r="E1000" s="4" t="s">
        <v>531</v>
      </c>
    </row>
    <row r="1001" customFormat="false" ht="23.85" hidden="false" customHeight="false" outlineLevel="0" collapsed="false">
      <c r="A1001" s="4" t="s">
        <v>1502</v>
      </c>
      <c r="B1001" s="5" t="n">
        <v>0.296</v>
      </c>
      <c r="C1001" s="5" t="n">
        <v>0.296</v>
      </c>
      <c r="D1001" s="5" t="n">
        <f aca="false">IF(AND(ISNUMBER(B1001),ISNUMBER(C1001)),C1001-B1001,"")</f>
        <v>0</v>
      </c>
      <c r="E1001" s="4" t="s">
        <v>531</v>
      </c>
    </row>
    <row r="1002" customFormat="false" ht="23.85" hidden="false" customHeight="false" outlineLevel="0" collapsed="false">
      <c r="A1002" s="4" t="s">
        <v>1503</v>
      </c>
      <c r="B1002" s="5" t="n">
        <v>0.301</v>
      </c>
      <c r="C1002" s="5" t="n">
        <v>0.301</v>
      </c>
      <c r="D1002" s="5" t="n">
        <f aca="false">IF(AND(ISNUMBER(B1002),ISNUMBER(C1002)),C1002-B1002,"")</f>
        <v>0</v>
      </c>
      <c r="E1002" s="4" t="s">
        <v>531</v>
      </c>
    </row>
    <row r="1003" customFormat="false" ht="23.85" hidden="false" customHeight="false" outlineLevel="0" collapsed="false">
      <c r="A1003" s="4" t="s">
        <v>1504</v>
      </c>
      <c r="B1003" s="5" t="n">
        <v>0.532</v>
      </c>
      <c r="C1003" s="5" t="n">
        <v>0.532</v>
      </c>
      <c r="D1003" s="5" t="n">
        <f aca="false">IF(AND(ISNUMBER(B1003),ISNUMBER(C1003)),C1003-B1003,"")</f>
        <v>0</v>
      </c>
      <c r="E1003" s="4" t="s">
        <v>531</v>
      </c>
    </row>
    <row r="1004" customFormat="false" ht="15" hidden="false" customHeight="false" outlineLevel="0" collapsed="false">
      <c r="A1004" s="4" t="s">
        <v>1505</v>
      </c>
      <c r="B1004" s="5" t="n">
        <v>-0.52</v>
      </c>
      <c r="C1004" s="5" t="n">
        <v>-0.52</v>
      </c>
      <c r="D1004" s="5" t="n">
        <f aca="false">IF(AND(ISNUMBER(B1004),ISNUMBER(C1004)),C1004-B1004,"")</f>
        <v>0</v>
      </c>
      <c r="E1004" s="4" t="s">
        <v>531</v>
      </c>
    </row>
    <row r="1005" customFormat="false" ht="23.85" hidden="false" customHeight="false" outlineLevel="0" collapsed="false">
      <c r="A1005" s="4" t="s">
        <v>1506</v>
      </c>
      <c r="B1005" s="5" t="n">
        <v>0.112</v>
      </c>
      <c r="C1005" s="5" t="n">
        <v>0.117</v>
      </c>
      <c r="D1005" s="5" t="n">
        <f aca="false">IF(AND(ISNUMBER(B1005),ISNUMBER(C1005)),C1005-B1005,"")</f>
        <v>0.005</v>
      </c>
      <c r="E1005" s="4" t="s">
        <v>605</v>
      </c>
    </row>
    <row r="1006" customFormat="false" ht="15" hidden="false" customHeight="false" outlineLevel="0" collapsed="false">
      <c r="A1006" s="4" t="s">
        <v>1507</v>
      </c>
      <c r="B1006" s="5" t="n">
        <v>-0.508</v>
      </c>
      <c r="C1006" s="5" t="n">
        <v>-0.508</v>
      </c>
      <c r="D1006" s="5" t="n">
        <f aca="false">IF(AND(ISNUMBER(B1006),ISNUMBER(C1006)),C1006-B1006,"")</f>
        <v>0</v>
      </c>
      <c r="E1006" s="4" t="s">
        <v>531</v>
      </c>
    </row>
    <row r="1007" customFormat="false" ht="23.85" hidden="false" customHeight="false" outlineLevel="0" collapsed="false">
      <c r="A1007" s="4" t="s">
        <v>1508</v>
      </c>
      <c r="B1007" s="5" t="n">
        <v>0.161</v>
      </c>
      <c r="C1007" s="5" t="n">
        <v>0.167</v>
      </c>
      <c r="D1007" s="5" t="n">
        <f aca="false">IF(AND(ISNUMBER(B1007),ISNUMBER(C1007)),C1007-B1007,"")</f>
        <v>0.00600000000000001</v>
      </c>
      <c r="E1007" s="4" t="s">
        <v>605</v>
      </c>
    </row>
    <row r="1008" customFormat="false" ht="15" hidden="false" customHeight="false" outlineLevel="0" collapsed="false">
      <c r="A1008" s="4" t="s">
        <v>1509</v>
      </c>
      <c r="B1008" s="5" t="n">
        <v>-0.558</v>
      </c>
      <c r="C1008" s="5" t="n">
        <v>-0.558</v>
      </c>
      <c r="D1008" s="5" t="n">
        <f aca="false">IF(AND(ISNUMBER(B1008),ISNUMBER(C1008)),C1008-B1008,"")</f>
        <v>0</v>
      </c>
      <c r="E1008" s="4" t="s">
        <v>531</v>
      </c>
    </row>
    <row r="1009" customFormat="false" ht="23.85" hidden="false" customHeight="false" outlineLevel="0" collapsed="false">
      <c r="A1009" s="4" t="s">
        <v>1510</v>
      </c>
      <c r="B1009" s="5" t="n">
        <v>0.204</v>
      </c>
      <c r="C1009" s="5" t="n">
        <v>0.219</v>
      </c>
      <c r="D1009" s="5" t="n">
        <f aca="false">IF(AND(ISNUMBER(B1009),ISNUMBER(C1009)),C1009-B1009,"")</f>
        <v>0.015</v>
      </c>
      <c r="E1009" s="4" t="s">
        <v>605</v>
      </c>
    </row>
    <row r="1010" customFormat="false" ht="15" hidden="false" customHeight="false" outlineLevel="0" collapsed="false">
      <c r="A1010" s="4" t="s">
        <v>1511</v>
      </c>
      <c r="B1010" s="5" t="n">
        <v>-0.369</v>
      </c>
      <c r="C1010" s="5" t="n">
        <v>-0.369</v>
      </c>
      <c r="D1010" s="5" t="n">
        <f aca="false">IF(AND(ISNUMBER(B1010),ISNUMBER(C1010)),C1010-B1010,"")</f>
        <v>0</v>
      </c>
      <c r="E1010" s="4" t="s">
        <v>531</v>
      </c>
    </row>
    <row r="1011" customFormat="false" ht="23.85" hidden="false" customHeight="false" outlineLevel="0" collapsed="false">
      <c r="A1011" s="4" t="s">
        <v>1512</v>
      </c>
      <c r="B1011" s="5" t="n">
        <v>0.215</v>
      </c>
      <c r="C1011" s="5" t="n">
        <v>0.219</v>
      </c>
      <c r="D1011" s="5" t="n">
        <f aca="false">IF(AND(ISNUMBER(B1011),ISNUMBER(C1011)),C1011-B1011,"")</f>
        <v>0.004</v>
      </c>
      <c r="E1011" s="4" t="s">
        <v>605</v>
      </c>
    </row>
    <row r="1012" customFormat="false" ht="15" hidden="false" customHeight="false" outlineLevel="0" collapsed="false">
      <c r="A1012" s="4" t="s">
        <v>1513</v>
      </c>
      <c r="B1012" s="5" t="n">
        <v>-0.492</v>
      </c>
      <c r="C1012" s="5" t="n">
        <v>-0.492</v>
      </c>
      <c r="D1012" s="5" t="n">
        <f aca="false">IF(AND(ISNUMBER(B1012),ISNUMBER(C1012)),C1012-B1012,"")</f>
        <v>0</v>
      </c>
      <c r="E1012" s="4" t="s">
        <v>531</v>
      </c>
    </row>
    <row r="1013" customFormat="false" ht="23.85" hidden="false" customHeight="false" outlineLevel="0" collapsed="false">
      <c r="A1013" s="4" t="s">
        <v>1514</v>
      </c>
      <c r="B1013" s="5" t="n">
        <v>0.273</v>
      </c>
      <c r="C1013" s="5" t="n">
        <v>0.198</v>
      </c>
      <c r="D1013" s="5" t="n">
        <f aca="false">IF(AND(ISNUMBER(B1013),ISNUMBER(C1013)),C1013-B1013,"")</f>
        <v>-0.075</v>
      </c>
      <c r="E1013" s="4" t="s">
        <v>1515</v>
      </c>
    </row>
    <row r="1014" customFormat="false" ht="15" hidden="false" customHeight="false" outlineLevel="0" collapsed="false">
      <c r="A1014" s="4" t="s">
        <v>1516</v>
      </c>
      <c r="B1014" s="5" t="n">
        <v>0.164</v>
      </c>
      <c r="C1014" s="5" t="n">
        <v>0.164</v>
      </c>
      <c r="D1014" s="5" t="n">
        <f aca="false">IF(AND(ISNUMBER(B1014),ISNUMBER(C1014)),C1014-B1014,"")</f>
        <v>0</v>
      </c>
      <c r="E1014" s="4" t="s">
        <v>531</v>
      </c>
    </row>
    <row r="1015" customFormat="false" ht="15" hidden="false" customHeight="false" outlineLevel="0" collapsed="false">
      <c r="A1015" s="4" t="s">
        <v>1517</v>
      </c>
      <c r="B1015" s="5" t="n">
        <v>0.002</v>
      </c>
      <c r="C1015" s="5" t="n">
        <v>0.002</v>
      </c>
      <c r="D1015" s="5" t="n">
        <f aca="false">IF(AND(ISNUMBER(B1015),ISNUMBER(C1015)),C1015-B1015,"")</f>
        <v>0</v>
      </c>
      <c r="E1015" s="4" t="s">
        <v>531</v>
      </c>
    </row>
    <row r="1016" customFormat="false" ht="23.85" hidden="false" customHeight="false" outlineLevel="0" collapsed="false">
      <c r="A1016" s="4" t="s">
        <v>1518</v>
      </c>
      <c r="B1016" s="5" t="n">
        <v>0.007</v>
      </c>
      <c r="C1016" s="5" t="n">
        <v>0.004</v>
      </c>
      <c r="D1016" s="5" t="n">
        <f aca="false">IF(AND(ISNUMBER(B1016),ISNUMBER(C1016)),C1016-B1016,"")</f>
        <v>-0.003</v>
      </c>
      <c r="E1016" s="4" t="s">
        <v>1235</v>
      </c>
    </row>
    <row r="1017" customFormat="false" ht="15" hidden="false" customHeight="false" outlineLevel="0" collapsed="false">
      <c r="A1017" s="4" t="s">
        <v>1519</v>
      </c>
      <c r="B1017" s="5" t="n">
        <v>-0.46</v>
      </c>
      <c r="C1017" s="5" t="n">
        <v>-0.46</v>
      </c>
      <c r="D1017" s="5" t="n">
        <f aca="false">IF(AND(ISNUMBER(B1017),ISNUMBER(C1017)),C1017-B1017,"")</f>
        <v>0</v>
      </c>
      <c r="E1017" s="4" t="s">
        <v>531</v>
      </c>
    </row>
    <row r="1018" customFormat="false" ht="15" hidden="false" customHeight="false" outlineLevel="0" collapsed="false">
      <c r="A1018" s="4" t="s">
        <v>1520</v>
      </c>
      <c r="B1018" s="5" t="n">
        <v>1.25</v>
      </c>
      <c r="C1018" s="5" t="n">
        <v>1.25</v>
      </c>
      <c r="D1018" s="5" t="n">
        <f aca="false">IF(AND(ISNUMBER(B1018),ISNUMBER(C1018)),C1018-B1018,"")</f>
        <v>0</v>
      </c>
      <c r="E1018" s="4" t="s">
        <v>531</v>
      </c>
    </row>
    <row r="1019" customFormat="false" ht="15" hidden="false" customHeight="false" outlineLevel="0" collapsed="false">
      <c r="A1019" s="4" t="s">
        <v>1521</v>
      </c>
      <c r="B1019" s="5" t="n">
        <v>0.163</v>
      </c>
      <c r="C1019" s="5" t="n">
        <v>0.163</v>
      </c>
      <c r="D1019" s="5" t="n">
        <f aca="false">IF(AND(ISNUMBER(B1019),ISNUMBER(C1019)),C1019-B1019,"")</f>
        <v>0</v>
      </c>
      <c r="E1019" s="4" t="s">
        <v>531</v>
      </c>
    </row>
    <row r="1020" customFormat="false" ht="23.85" hidden="false" customHeight="false" outlineLevel="0" collapsed="false">
      <c r="A1020" s="4" t="s">
        <v>1522</v>
      </c>
      <c r="B1020" s="5" t="n">
        <v>0.066</v>
      </c>
      <c r="C1020" s="5" t="n">
        <v>0.066</v>
      </c>
      <c r="D1020" s="5" t="n">
        <f aca="false">IF(AND(ISNUMBER(B1020),ISNUMBER(C1020)),C1020-B1020,"")</f>
        <v>0</v>
      </c>
      <c r="E1020" s="4" t="s">
        <v>531</v>
      </c>
    </row>
    <row r="1021" customFormat="false" ht="23.85" hidden="false" customHeight="false" outlineLevel="0" collapsed="false">
      <c r="A1021" s="4" t="s">
        <v>1523</v>
      </c>
      <c r="B1021" s="5" t="n">
        <v>-0.409</v>
      </c>
      <c r="C1021" s="5" t="n">
        <v>-0.409</v>
      </c>
      <c r="D1021" s="5" t="n">
        <f aca="false">IF(AND(ISNUMBER(B1021),ISNUMBER(C1021)),C1021-B1021,"")</f>
        <v>0</v>
      </c>
      <c r="E1021" s="4" t="s">
        <v>531</v>
      </c>
    </row>
    <row r="1022" customFormat="false" ht="23.85" hidden="false" customHeight="false" outlineLevel="0" collapsed="false">
      <c r="A1022" s="4" t="s">
        <v>1524</v>
      </c>
      <c r="B1022" s="5" t="n">
        <v>-0.453</v>
      </c>
      <c r="C1022" s="5" t="n">
        <v>-0.453</v>
      </c>
      <c r="D1022" s="5" t="n">
        <f aca="false">IF(AND(ISNUMBER(B1022),ISNUMBER(C1022)),C1022-B1022,"")</f>
        <v>0</v>
      </c>
      <c r="E1022" s="4" t="s">
        <v>531</v>
      </c>
    </row>
    <row r="1023" customFormat="false" ht="23.85" hidden="false" customHeight="false" outlineLevel="0" collapsed="false">
      <c r="A1023" s="4" t="s">
        <v>1525</v>
      </c>
      <c r="B1023" s="5" t="n">
        <v>-0.498</v>
      </c>
      <c r="C1023" s="5" t="n">
        <v>-0.498</v>
      </c>
      <c r="D1023" s="5" t="n">
        <f aca="false">IF(AND(ISNUMBER(B1023),ISNUMBER(C1023)),C1023-B1023,"")</f>
        <v>0</v>
      </c>
      <c r="E1023" s="4" t="s">
        <v>531</v>
      </c>
    </row>
    <row r="1024" customFormat="false" ht="23.85" hidden="false" customHeight="false" outlineLevel="0" collapsed="false">
      <c r="A1024" s="4" t="s">
        <v>1526</v>
      </c>
      <c r="B1024" s="5" t="n">
        <v>0.603</v>
      </c>
      <c r="C1024" s="5" t="n">
        <v>0.603</v>
      </c>
      <c r="D1024" s="5" t="n">
        <f aca="false">IF(AND(ISNUMBER(B1024),ISNUMBER(C1024)),C1024-B1024,"")</f>
        <v>0</v>
      </c>
      <c r="E1024" s="4" t="s">
        <v>531</v>
      </c>
    </row>
    <row r="1025" customFormat="false" ht="15" hidden="false" customHeight="false" outlineLevel="0" collapsed="false">
      <c r="A1025" s="4" t="s">
        <v>1527</v>
      </c>
      <c r="B1025" s="5" t="n">
        <v>0.006</v>
      </c>
      <c r="C1025" s="5" t="n">
        <v>0.006</v>
      </c>
      <c r="D1025" s="5" t="n">
        <f aca="false">IF(AND(ISNUMBER(B1025),ISNUMBER(C1025)),C1025-B1025,"")</f>
        <v>0</v>
      </c>
      <c r="E1025" s="4" t="s">
        <v>531</v>
      </c>
    </row>
    <row r="1026" customFormat="false" ht="23.85" hidden="false" customHeight="false" outlineLevel="0" collapsed="false">
      <c r="A1026" s="4" t="s">
        <v>1528</v>
      </c>
      <c r="B1026" s="5" t="n">
        <v>0.095</v>
      </c>
      <c r="C1026" s="5" t="n">
        <v>0.101</v>
      </c>
      <c r="D1026" s="5" t="n">
        <f aca="false">IF(AND(ISNUMBER(B1026),ISNUMBER(C1026)),C1026-B1026,"")</f>
        <v>0.00600000000000001</v>
      </c>
      <c r="E1026" s="4" t="s">
        <v>605</v>
      </c>
    </row>
    <row r="1027" customFormat="false" ht="15" hidden="false" customHeight="false" outlineLevel="0" collapsed="false">
      <c r="A1027" s="4" t="s">
        <v>1529</v>
      </c>
      <c r="B1027" s="5" t="n">
        <v>-0.249</v>
      </c>
      <c r="C1027" s="5" t="n">
        <v>-0.249</v>
      </c>
      <c r="D1027" s="5" t="n">
        <f aca="false">IF(AND(ISNUMBER(B1027),ISNUMBER(C1027)),C1027-B1027,"")</f>
        <v>0</v>
      </c>
      <c r="E1027" s="4" t="s">
        <v>531</v>
      </c>
    </row>
    <row r="1028" customFormat="false" ht="23.85" hidden="false" customHeight="false" outlineLevel="0" collapsed="false">
      <c r="A1028" s="4" t="s">
        <v>1530</v>
      </c>
      <c r="B1028" s="5" t="n">
        <v>0.128</v>
      </c>
      <c r="C1028" s="5" t="n">
        <v>0.13</v>
      </c>
      <c r="D1028" s="5" t="n">
        <f aca="false">IF(AND(ISNUMBER(B1028),ISNUMBER(C1028)),C1028-B1028,"")</f>
        <v>0.002</v>
      </c>
      <c r="E1028" s="4" t="s">
        <v>605</v>
      </c>
    </row>
    <row r="1029" customFormat="false" ht="15" hidden="false" customHeight="false" outlineLevel="0" collapsed="false">
      <c r="A1029" s="4" t="s">
        <v>1531</v>
      </c>
      <c r="B1029" s="5" t="n">
        <v>-0.378</v>
      </c>
      <c r="C1029" s="5" t="n">
        <v>-0.378</v>
      </c>
      <c r="D1029" s="5" t="n">
        <f aca="false">IF(AND(ISNUMBER(B1029),ISNUMBER(C1029)),C1029-B1029,"")</f>
        <v>0</v>
      </c>
      <c r="E1029" s="4" t="s">
        <v>531</v>
      </c>
    </row>
    <row r="1030" customFormat="false" ht="23.85" hidden="false" customHeight="false" outlineLevel="0" collapsed="false">
      <c r="A1030" s="4" t="s">
        <v>1532</v>
      </c>
      <c r="B1030" s="5" t="n">
        <v>0.204</v>
      </c>
      <c r="C1030" s="5" t="n">
        <v>0.202</v>
      </c>
      <c r="D1030" s="5" t="n">
        <f aca="false">IF(AND(ISNUMBER(B1030),ISNUMBER(C1030)),C1030-B1030,"")</f>
        <v>-0.00199999999999997</v>
      </c>
      <c r="E1030" s="4" t="s">
        <v>605</v>
      </c>
    </row>
    <row r="1031" customFormat="false" ht="15" hidden="false" customHeight="false" outlineLevel="0" collapsed="false">
      <c r="A1031" s="4" t="s">
        <v>1533</v>
      </c>
      <c r="B1031" s="5" t="n">
        <v>-0.298</v>
      </c>
      <c r="C1031" s="5" t="n">
        <v>-0.298</v>
      </c>
      <c r="D1031" s="5" t="n">
        <f aca="false">IF(AND(ISNUMBER(B1031),ISNUMBER(C1031)),C1031-B1031,"")</f>
        <v>0</v>
      </c>
      <c r="E1031" s="4" t="s">
        <v>531</v>
      </c>
    </row>
    <row r="1032" customFormat="false" ht="23.85" hidden="false" customHeight="false" outlineLevel="0" collapsed="false">
      <c r="A1032" s="4" t="s">
        <v>1534</v>
      </c>
      <c r="B1032" s="5" t="n">
        <v>0.24</v>
      </c>
      <c r="C1032" s="5" t="n">
        <v>0.226</v>
      </c>
      <c r="D1032" s="5" t="n">
        <f aca="false">IF(AND(ISNUMBER(B1032),ISNUMBER(C1032)),C1032-B1032,"")</f>
        <v>-0.014</v>
      </c>
      <c r="E1032" s="4" t="s">
        <v>605</v>
      </c>
    </row>
    <row r="1033" customFormat="false" ht="15" hidden="false" customHeight="false" outlineLevel="0" collapsed="false">
      <c r="A1033" s="4" t="s">
        <v>1535</v>
      </c>
      <c r="B1033" s="5" t="n">
        <v>-0.401</v>
      </c>
      <c r="C1033" s="5" t="n">
        <v>-0.401</v>
      </c>
      <c r="D1033" s="5" t="n">
        <f aca="false">IF(AND(ISNUMBER(B1033),ISNUMBER(C1033)),C1033-B1033,"")</f>
        <v>0</v>
      </c>
      <c r="E1033" s="4" t="s">
        <v>531</v>
      </c>
    </row>
    <row r="1034" customFormat="false" ht="23.85" hidden="false" customHeight="false" outlineLevel="0" collapsed="false">
      <c r="A1034" s="4" t="s">
        <v>1536</v>
      </c>
      <c r="B1034" s="5" t="n">
        <v>0.221</v>
      </c>
      <c r="C1034" s="5" t="n">
        <v>0.182</v>
      </c>
      <c r="D1034" s="5" t="n">
        <f aca="false">IF(AND(ISNUMBER(B1034),ISNUMBER(C1034)),C1034-B1034,"")</f>
        <v>-0.039</v>
      </c>
      <c r="E1034" s="4" t="s">
        <v>1537</v>
      </c>
    </row>
    <row r="1035" customFormat="false" ht="15" hidden="false" customHeight="false" outlineLevel="0" collapsed="false">
      <c r="A1035" s="4" t="s">
        <v>1538</v>
      </c>
      <c r="B1035" s="5" t="n">
        <v>0.133</v>
      </c>
      <c r="C1035" s="5" t="n">
        <v>0.133</v>
      </c>
      <c r="D1035" s="5" t="n">
        <f aca="false">IF(AND(ISNUMBER(B1035),ISNUMBER(C1035)),C1035-B1035,"")</f>
        <v>0</v>
      </c>
      <c r="E1035" s="4" t="s">
        <v>531</v>
      </c>
    </row>
    <row r="1036" customFormat="false" ht="15" hidden="false" customHeight="false" outlineLevel="0" collapsed="false">
      <c r="A1036" s="4" t="s">
        <v>1539</v>
      </c>
      <c r="B1036" s="5" t="n">
        <v>0.061</v>
      </c>
      <c r="C1036" s="5" t="n">
        <v>0.061</v>
      </c>
      <c r="D1036" s="5" t="n">
        <f aca="false">IF(AND(ISNUMBER(B1036),ISNUMBER(C1036)),C1036-B1036,"")</f>
        <v>0</v>
      </c>
      <c r="E1036" s="4" t="s">
        <v>531</v>
      </c>
    </row>
    <row r="1037" customFormat="false" ht="46.25" hidden="false" customHeight="false" outlineLevel="0" collapsed="false">
      <c r="A1037" s="4" t="s">
        <v>1540</v>
      </c>
      <c r="B1037" s="5" t="n">
        <v>0.094</v>
      </c>
      <c r="C1037" s="5" t="n">
        <v>0.113</v>
      </c>
      <c r="D1037" s="5" t="n">
        <f aca="false">IF(AND(ISNUMBER(B1037),ISNUMBER(C1037)),C1037-B1037,"")</f>
        <v>0.019</v>
      </c>
      <c r="E1037" s="4" t="s">
        <v>1411</v>
      </c>
    </row>
    <row r="1038" customFormat="false" ht="15" hidden="false" customHeight="false" outlineLevel="0" collapsed="false">
      <c r="A1038" s="4" t="s">
        <v>1541</v>
      </c>
      <c r="B1038" s="5" t="n">
        <v>-0.375</v>
      </c>
      <c r="C1038" s="5" t="n">
        <v>-0.375</v>
      </c>
      <c r="D1038" s="5" t="n">
        <f aca="false">IF(AND(ISNUMBER(B1038),ISNUMBER(C1038)),C1038-B1038,"")</f>
        <v>0</v>
      </c>
      <c r="E1038" s="4" t="s">
        <v>531</v>
      </c>
    </row>
    <row r="1039" customFormat="false" ht="15" hidden="false" customHeight="false" outlineLevel="0" collapsed="false">
      <c r="A1039" s="4" t="s">
        <v>1542</v>
      </c>
      <c r="B1039" s="5" t="n">
        <v>-1.89</v>
      </c>
      <c r="C1039" s="5" t="n">
        <v>-1.89</v>
      </c>
      <c r="D1039" s="5" t="n">
        <f aca="false">IF(AND(ISNUMBER(B1039),ISNUMBER(C1039)),C1039-B1039,"")</f>
        <v>0</v>
      </c>
      <c r="E1039" s="4" t="s">
        <v>531</v>
      </c>
    </row>
    <row r="1040" customFormat="false" ht="15" hidden="false" customHeight="false" outlineLevel="0" collapsed="false">
      <c r="A1040" s="4" t="s">
        <v>1543</v>
      </c>
      <c r="B1040" s="5" t="n">
        <v>0.095</v>
      </c>
      <c r="C1040" s="5" t="n">
        <v>0.095</v>
      </c>
      <c r="D1040" s="5" t="n">
        <f aca="false">IF(AND(ISNUMBER(B1040),ISNUMBER(C1040)),C1040-B1040,"")</f>
        <v>0</v>
      </c>
      <c r="E1040" s="4" t="s">
        <v>531</v>
      </c>
    </row>
    <row r="1041" customFormat="false" ht="23.85" hidden="false" customHeight="false" outlineLevel="0" collapsed="false">
      <c r="A1041" s="4" t="s">
        <v>1544</v>
      </c>
      <c r="B1041" s="5" t="n">
        <v>0</v>
      </c>
      <c r="C1041" s="5" t="n">
        <v>0</v>
      </c>
      <c r="D1041" s="5" t="n">
        <f aca="false">IF(AND(ISNUMBER(B1041),ISNUMBER(C1041)),C1041-B1041,"")</f>
        <v>0</v>
      </c>
      <c r="E1041" s="4" t="s">
        <v>531</v>
      </c>
    </row>
    <row r="1042" customFormat="false" ht="23.85" hidden="false" customHeight="false" outlineLevel="0" collapsed="false">
      <c r="A1042" s="4" t="s">
        <v>1545</v>
      </c>
      <c r="B1042" s="5" t="n">
        <v>-0.052</v>
      </c>
      <c r="C1042" s="5" t="n">
        <v>-0.052</v>
      </c>
      <c r="D1042" s="5" t="n">
        <f aca="false">IF(AND(ISNUMBER(B1042),ISNUMBER(C1042)),C1042-B1042,"")</f>
        <v>0</v>
      </c>
      <c r="E1042" s="4" t="s">
        <v>531</v>
      </c>
    </row>
    <row r="1043" customFormat="false" ht="23.85" hidden="false" customHeight="false" outlineLevel="0" collapsed="false">
      <c r="A1043" s="4" t="s">
        <v>1546</v>
      </c>
      <c r="B1043" s="5" t="n">
        <v>-0.224</v>
      </c>
      <c r="C1043" s="5" t="n">
        <v>-0.224</v>
      </c>
      <c r="D1043" s="5" t="n">
        <f aca="false">IF(AND(ISNUMBER(B1043),ISNUMBER(C1043)),C1043-B1043,"")</f>
        <v>0</v>
      </c>
      <c r="E1043" s="4" t="s">
        <v>531</v>
      </c>
    </row>
    <row r="1044" customFormat="false" ht="23.85" hidden="false" customHeight="false" outlineLevel="0" collapsed="false">
      <c r="A1044" s="4" t="s">
        <v>1547</v>
      </c>
      <c r="B1044" s="5" t="n">
        <v>-0.211</v>
      </c>
      <c r="C1044" s="5" t="n">
        <v>-0.211</v>
      </c>
      <c r="D1044" s="5" t="n">
        <f aca="false">IF(AND(ISNUMBER(B1044),ISNUMBER(C1044)),C1044-B1044,"")</f>
        <v>0</v>
      </c>
      <c r="E1044" s="4" t="s">
        <v>531</v>
      </c>
    </row>
    <row r="1045" customFormat="false" ht="23.85" hidden="false" customHeight="false" outlineLevel="0" collapsed="false">
      <c r="A1045" s="4" t="s">
        <v>1548</v>
      </c>
      <c r="B1045" s="5" t="n">
        <v>0.542</v>
      </c>
      <c r="C1045" s="5" t="n">
        <v>0.542</v>
      </c>
      <c r="D1045" s="5" t="n">
        <f aca="false">IF(AND(ISNUMBER(B1045),ISNUMBER(C1045)),C1045-B1045,"")</f>
        <v>0</v>
      </c>
      <c r="E1045" s="4" t="s">
        <v>531</v>
      </c>
    </row>
    <row r="1046" customFormat="false" ht="15" hidden="false" customHeight="false" outlineLevel="0" collapsed="false">
      <c r="A1046" s="4" t="s">
        <v>1549</v>
      </c>
      <c r="B1046" s="5" t="n">
        <v>0.2</v>
      </c>
      <c r="C1046" s="5" t="n">
        <v>0.2</v>
      </c>
      <c r="D1046" s="5" t="n">
        <f aca="false">IF(AND(ISNUMBER(B1046),ISNUMBER(C1046)),C1046-B1046,"")</f>
        <v>0</v>
      </c>
      <c r="E1046" s="4" t="s">
        <v>531</v>
      </c>
    </row>
    <row r="1047" customFormat="false" ht="23.85" hidden="false" customHeight="false" outlineLevel="0" collapsed="false">
      <c r="A1047" s="4" t="s">
        <v>1550</v>
      </c>
      <c r="B1047" s="5" t="n">
        <v>0.104</v>
      </c>
      <c r="C1047" s="5" t="n">
        <v>0.106</v>
      </c>
      <c r="D1047" s="5" t="n">
        <f aca="false">IF(AND(ISNUMBER(B1047),ISNUMBER(C1047)),C1047-B1047,"")</f>
        <v>0.002</v>
      </c>
      <c r="E1047" s="4" t="s">
        <v>605</v>
      </c>
    </row>
    <row r="1048" customFormat="false" ht="15" hidden="false" customHeight="false" outlineLevel="0" collapsed="false">
      <c r="A1048" s="4" t="s">
        <v>1551</v>
      </c>
      <c r="B1048" s="5" t="n">
        <v>0.03</v>
      </c>
      <c r="C1048" s="5" t="n">
        <v>0.03</v>
      </c>
      <c r="D1048" s="5" t="n">
        <f aca="false">IF(AND(ISNUMBER(B1048),ISNUMBER(C1048)),C1048-B1048,"")</f>
        <v>0</v>
      </c>
      <c r="E1048" s="4" t="s">
        <v>531</v>
      </c>
    </row>
    <row r="1049" customFormat="false" ht="23.85" hidden="false" customHeight="false" outlineLevel="0" collapsed="false">
      <c r="A1049" s="4" t="s">
        <v>1552</v>
      </c>
      <c r="B1049" s="5" t="n">
        <v>0.148</v>
      </c>
      <c r="C1049" s="5" t="n">
        <v>0.143</v>
      </c>
      <c r="D1049" s="5" t="n">
        <f aca="false">IF(AND(ISNUMBER(B1049),ISNUMBER(C1049)),C1049-B1049,"")</f>
        <v>-0.005</v>
      </c>
      <c r="E1049" s="4" t="s">
        <v>605</v>
      </c>
    </row>
    <row r="1050" customFormat="false" ht="15" hidden="false" customHeight="false" outlineLevel="0" collapsed="false">
      <c r="A1050" s="4" t="s">
        <v>1553</v>
      </c>
      <c r="B1050" s="5" t="n">
        <v>-0.141</v>
      </c>
      <c r="C1050" s="5" t="n">
        <v>-0.141</v>
      </c>
      <c r="D1050" s="5" t="n">
        <f aca="false">IF(AND(ISNUMBER(B1050),ISNUMBER(C1050)),C1050-B1050,"")</f>
        <v>0</v>
      </c>
      <c r="E1050" s="4" t="s">
        <v>531</v>
      </c>
    </row>
    <row r="1051" customFormat="false" ht="23.85" hidden="false" customHeight="false" outlineLevel="0" collapsed="false">
      <c r="A1051" s="4" t="s">
        <v>1554</v>
      </c>
      <c r="B1051" s="5" t="n">
        <v>0.216</v>
      </c>
      <c r="C1051" s="5" t="n">
        <v>0.221</v>
      </c>
      <c r="D1051" s="5" t="n">
        <f aca="false">IF(AND(ISNUMBER(B1051),ISNUMBER(C1051)),C1051-B1051,"")</f>
        <v>0.005</v>
      </c>
      <c r="E1051" s="4" t="s">
        <v>605</v>
      </c>
    </row>
    <row r="1052" customFormat="false" ht="15" hidden="false" customHeight="false" outlineLevel="0" collapsed="false">
      <c r="A1052" s="4" t="s">
        <v>1555</v>
      </c>
      <c r="B1052" s="5" t="n">
        <v>0</v>
      </c>
      <c r="C1052" s="5" t="n">
        <v>0</v>
      </c>
      <c r="D1052" s="5" t="n">
        <f aca="false">IF(AND(ISNUMBER(B1052),ISNUMBER(C1052)),C1052-B1052,"")</f>
        <v>0</v>
      </c>
      <c r="E1052" s="4" t="s">
        <v>531</v>
      </c>
    </row>
    <row r="1053" customFormat="false" ht="23.85" hidden="false" customHeight="false" outlineLevel="0" collapsed="false">
      <c r="A1053" s="4" t="s">
        <v>1556</v>
      </c>
      <c r="B1053" s="5" t="n">
        <v>0.226</v>
      </c>
      <c r="C1053" s="5" t="n">
        <v>0.218</v>
      </c>
      <c r="D1053" s="5" t="n">
        <f aca="false">IF(AND(ISNUMBER(B1053),ISNUMBER(C1053)),C1053-B1053,"")</f>
        <v>-0.00800000000000001</v>
      </c>
      <c r="E1053" s="4" t="s">
        <v>605</v>
      </c>
    </row>
    <row r="1054" customFormat="false" ht="15" hidden="false" customHeight="false" outlineLevel="0" collapsed="false">
      <c r="A1054" s="4" t="s">
        <v>1557</v>
      </c>
      <c r="B1054" s="5" t="n">
        <v>-0.125</v>
      </c>
      <c r="C1054" s="5" t="n">
        <v>-0.125</v>
      </c>
      <c r="D1054" s="5" t="n">
        <f aca="false">IF(AND(ISNUMBER(B1054),ISNUMBER(C1054)),C1054-B1054,"")</f>
        <v>0</v>
      </c>
      <c r="E1054" s="4" t="s">
        <v>531</v>
      </c>
    </row>
    <row r="1055" customFormat="false" ht="23.85" hidden="false" customHeight="false" outlineLevel="0" collapsed="false">
      <c r="A1055" s="4" t="s">
        <v>1558</v>
      </c>
      <c r="B1055" s="5" t="n">
        <v>0.26</v>
      </c>
      <c r="C1055" s="5" t="n">
        <v>0.174</v>
      </c>
      <c r="D1055" s="5" t="n">
        <f aca="false">IF(AND(ISNUMBER(B1055),ISNUMBER(C1055)),C1055-B1055,"")</f>
        <v>-0.086</v>
      </c>
      <c r="E1055" s="4" t="s">
        <v>1559</v>
      </c>
    </row>
    <row r="1056" customFormat="false" ht="15" hidden="false" customHeight="false" outlineLevel="0" collapsed="false">
      <c r="A1056" s="4" t="s">
        <v>1560</v>
      </c>
      <c r="B1056" s="5" t="n">
        <v>0.144</v>
      </c>
      <c r="C1056" s="5" t="n">
        <v>0.144</v>
      </c>
      <c r="D1056" s="5" t="n">
        <f aca="false">IF(AND(ISNUMBER(B1056),ISNUMBER(C1056)),C1056-B1056,"")</f>
        <v>0</v>
      </c>
      <c r="E1056" s="4" t="s">
        <v>531</v>
      </c>
    </row>
    <row r="1057" customFormat="false" ht="15" hidden="false" customHeight="false" outlineLevel="0" collapsed="false">
      <c r="A1057" s="4" t="s">
        <v>1561</v>
      </c>
      <c r="B1057" s="5" t="n">
        <v>0.834</v>
      </c>
      <c r="C1057" s="5" t="n">
        <v>0.834</v>
      </c>
      <c r="D1057" s="5" t="n">
        <f aca="false">IF(AND(ISNUMBER(B1057),ISNUMBER(C1057)),C1057-B1057,"")</f>
        <v>0</v>
      </c>
      <c r="E1057" s="4" t="s">
        <v>531</v>
      </c>
    </row>
    <row r="1058" customFormat="false" ht="46.25" hidden="false" customHeight="false" outlineLevel="0" collapsed="false">
      <c r="A1058" s="4" t="s">
        <v>1562</v>
      </c>
      <c r="B1058" s="5" t="n">
        <v>0.83</v>
      </c>
      <c r="C1058" s="5" t="n">
        <v>0.853</v>
      </c>
      <c r="D1058" s="5" t="n">
        <f aca="false">IF(AND(ISNUMBER(B1058),ISNUMBER(C1058)),C1058-B1058,"")</f>
        <v>0.023</v>
      </c>
      <c r="E1058" s="4" t="s">
        <v>1411</v>
      </c>
    </row>
    <row r="1059" customFormat="false" ht="15" hidden="false" customHeight="false" outlineLevel="0" collapsed="false">
      <c r="A1059" s="4" t="s">
        <v>1563</v>
      </c>
      <c r="B1059" s="5" t="n">
        <v>-0.094</v>
      </c>
      <c r="C1059" s="5" t="n">
        <v>-0.094</v>
      </c>
      <c r="D1059" s="5" t="n">
        <f aca="false">IF(AND(ISNUMBER(B1059),ISNUMBER(C1059)),C1059-B1059,"")</f>
        <v>0</v>
      </c>
      <c r="E1059" s="4" t="s">
        <v>531</v>
      </c>
    </row>
    <row r="1060" customFormat="false" ht="15" hidden="false" customHeight="false" outlineLevel="0" collapsed="false">
      <c r="A1060" s="4" t="s">
        <v>1564</v>
      </c>
      <c r="B1060" s="5" t="n">
        <v>0.29</v>
      </c>
      <c r="C1060" s="5" t="n">
        <v>0.29</v>
      </c>
      <c r="D1060" s="5" t="n">
        <f aca="false">IF(AND(ISNUMBER(B1060),ISNUMBER(C1060)),C1060-B1060,"")</f>
        <v>0</v>
      </c>
      <c r="E1060" s="4" t="s">
        <v>531</v>
      </c>
    </row>
    <row r="1061" customFormat="false" ht="15" hidden="false" customHeight="false" outlineLevel="0" collapsed="false">
      <c r="A1061" s="4" t="s">
        <v>1565</v>
      </c>
      <c r="B1061" s="5" t="n">
        <v>0.012</v>
      </c>
      <c r="C1061" s="5" t="n">
        <v>0.012</v>
      </c>
      <c r="D1061" s="5" t="n">
        <f aca="false">IF(AND(ISNUMBER(B1061),ISNUMBER(C1061)),C1061-B1061,"")</f>
        <v>0</v>
      </c>
      <c r="E1061" s="4" t="s">
        <v>531</v>
      </c>
    </row>
    <row r="1062" customFormat="false" ht="23.85" hidden="false" customHeight="false" outlineLevel="0" collapsed="false">
      <c r="A1062" s="4" t="s">
        <v>1566</v>
      </c>
      <c r="B1062" s="5" t="n">
        <v>0</v>
      </c>
      <c r="C1062" s="5" t="n">
        <v>0</v>
      </c>
      <c r="D1062" s="5" t="n">
        <f aca="false">IF(AND(ISNUMBER(B1062),ISNUMBER(C1062)),C1062-B1062,"")</f>
        <v>0</v>
      </c>
      <c r="E1062" s="4" t="s">
        <v>531</v>
      </c>
    </row>
    <row r="1063" customFormat="false" ht="23.85" hidden="false" customHeight="false" outlineLevel="0" collapsed="false">
      <c r="A1063" s="4" t="s">
        <v>1567</v>
      </c>
      <c r="B1063" s="5" t="n">
        <v>-0.144</v>
      </c>
      <c r="C1063" s="5" t="n">
        <v>-0.144</v>
      </c>
      <c r="D1063" s="5" t="n">
        <f aca="false">IF(AND(ISNUMBER(B1063),ISNUMBER(C1063)),C1063-B1063,"")</f>
        <v>0</v>
      </c>
      <c r="E1063" s="4" t="s">
        <v>531</v>
      </c>
    </row>
    <row r="1064" customFormat="false" ht="23.85" hidden="false" customHeight="false" outlineLevel="0" collapsed="false">
      <c r="A1064" s="4" t="s">
        <v>1568</v>
      </c>
      <c r="B1064" s="5" t="n">
        <v>-0.04</v>
      </c>
      <c r="C1064" s="5" t="n">
        <v>-0.04</v>
      </c>
      <c r="D1064" s="5" t="n">
        <f aca="false">IF(AND(ISNUMBER(B1064),ISNUMBER(C1064)),C1064-B1064,"")</f>
        <v>0</v>
      </c>
      <c r="E1064" s="4" t="s">
        <v>531</v>
      </c>
    </row>
    <row r="1065" customFormat="false" ht="23.85" hidden="false" customHeight="false" outlineLevel="0" collapsed="false">
      <c r="A1065" s="4" t="s">
        <v>1569</v>
      </c>
      <c r="B1065" s="5" t="n">
        <v>-0.013</v>
      </c>
      <c r="C1065" s="5" t="n">
        <v>-0.013</v>
      </c>
      <c r="D1065" s="5" t="n">
        <f aca="false">IF(AND(ISNUMBER(B1065),ISNUMBER(C1065)),C1065-B1065,"")</f>
        <v>0</v>
      </c>
      <c r="E1065" s="4" t="s">
        <v>531</v>
      </c>
    </row>
    <row r="1066" customFormat="false" ht="23.85" hidden="false" customHeight="false" outlineLevel="0" collapsed="false">
      <c r="A1066" s="4" t="s">
        <v>1570</v>
      </c>
      <c r="B1066" s="5" t="n">
        <v>0.543</v>
      </c>
      <c r="C1066" s="5" t="n">
        <v>0.543</v>
      </c>
      <c r="D1066" s="5" t="n">
        <f aca="false">IF(AND(ISNUMBER(B1066),ISNUMBER(C1066)),C1066-B1066,"")</f>
        <v>0</v>
      </c>
      <c r="E1066" s="4" t="s">
        <v>531</v>
      </c>
    </row>
    <row r="1067" customFormat="false" ht="23.85" hidden="false" customHeight="false" outlineLevel="0" collapsed="false">
      <c r="A1067" s="4" t="s">
        <v>1571</v>
      </c>
      <c r="B1067" s="5" t="n">
        <v>0.293</v>
      </c>
      <c r="C1067" s="5" t="n">
        <v>0.291</v>
      </c>
      <c r="D1067" s="5" t="n">
        <f aca="false">IF(AND(ISNUMBER(B1067),ISNUMBER(C1067)),C1067-B1067,"")</f>
        <v>-0.002</v>
      </c>
      <c r="E1067" s="4" t="s">
        <v>1572</v>
      </c>
    </row>
    <row r="1068" customFormat="false" ht="23.85" hidden="false" customHeight="false" outlineLevel="0" collapsed="false">
      <c r="A1068" s="4" t="s">
        <v>1573</v>
      </c>
      <c r="B1068" s="5" t="n">
        <v>0.07</v>
      </c>
      <c r="C1068" s="5" t="n">
        <v>0.072</v>
      </c>
      <c r="D1068" s="5" t="n">
        <f aca="false">IF(AND(ISNUMBER(B1068),ISNUMBER(C1068)),C1068-B1068,"")</f>
        <v>0.00199999999999999</v>
      </c>
      <c r="E1068" s="4" t="s">
        <v>1572</v>
      </c>
    </row>
    <row r="1069" customFormat="false" ht="23.85" hidden="false" customHeight="false" outlineLevel="0" collapsed="false">
      <c r="A1069" s="4" t="s">
        <v>1574</v>
      </c>
      <c r="B1069" s="5" t="n">
        <v>0.078</v>
      </c>
      <c r="C1069" s="5" t="n">
        <v>0.077</v>
      </c>
      <c r="D1069" s="5" t="n">
        <f aca="false">IF(AND(ISNUMBER(B1069),ISNUMBER(C1069)),C1069-B1069,"")</f>
        <v>-0.001</v>
      </c>
      <c r="E1069" s="4" t="s">
        <v>605</v>
      </c>
    </row>
    <row r="1070" customFormat="false" ht="15" hidden="false" customHeight="false" outlineLevel="0" collapsed="false">
      <c r="A1070" s="4" t="s">
        <v>1575</v>
      </c>
      <c r="B1070" s="5" t="n">
        <v>0.297</v>
      </c>
      <c r="C1070" s="5" t="n">
        <v>0.298</v>
      </c>
      <c r="D1070" s="5" t="n">
        <f aca="false">IF(AND(ISNUMBER(B1070),ISNUMBER(C1070)),C1070-B1070,"")</f>
        <v>0.001</v>
      </c>
      <c r="E1070" s="4" t="s">
        <v>531</v>
      </c>
    </row>
    <row r="1071" customFormat="false" ht="23.85" hidden="false" customHeight="false" outlineLevel="0" collapsed="false">
      <c r="A1071" s="4" t="s">
        <v>1576</v>
      </c>
      <c r="B1071" s="5" t="n">
        <v>0.08</v>
      </c>
      <c r="C1071" s="5" t="n">
        <v>0.077</v>
      </c>
      <c r="D1071" s="5" t="n">
        <f aca="false">IF(AND(ISNUMBER(B1071),ISNUMBER(C1071)),C1071-B1071,"")</f>
        <v>-0.003</v>
      </c>
      <c r="E1071" s="4" t="s">
        <v>1572</v>
      </c>
    </row>
    <row r="1072" customFormat="false" ht="23.85" hidden="false" customHeight="false" outlineLevel="0" collapsed="false">
      <c r="A1072" s="4" t="s">
        <v>1577</v>
      </c>
      <c r="B1072" s="5" t="n">
        <v>0.088</v>
      </c>
      <c r="C1072" s="5" t="n">
        <v>0.086</v>
      </c>
      <c r="D1072" s="5" t="n">
        <f aca="false">IF(AND(ISNUMBER(B1072),ISNUMBER(C1072)),C1072-B1072,"")</f>
        <v>-0.002</v>
      </c>
      <c r="E1072" s="4" t="s">
        <v>605</v>
      </c>
    </row>
    <row r="1073" customFormat="false" ht="23.85" hidden="false" customHeight="false" outlineLevel="0" collapsed="false">
      <c r="A1073" s="4" t="s">
        <v>1578</v>
      </c>
      <c r="B1073" s="5" t="n">
        <v>0.317</v>
      </c>
      <c r="C1073" s="5" t="n">
        <v>0.31</v>
      </c>
      <c r="D1073" s="5" t="n">
        <f aca="false">IF(AND(ISNUMBER(B1073),ISNUMBER(C1073)),C1073-B1073,"")</f>
        <v>-0.00700000000000001</v>
      </c>
      <c r="E1073" s="4" t="s">
        <v>1572</v>
      </c>
    </row>
    <row r="1074" customFormat="false" ht="23.85" hidden="false" customHeight="false" outlineLevel="0" collapsed="false">
      <c r="A1074" s="4" t="s">
        <v>1579</v>
      </c>
      <c r="B1074" s="5" t="n">
        <v>0.111</v>
      </c>
      <c r="C1074" s="5" t="n">
        <v>0.083</v>
      </c>
      <c r="D1074" s="5" t="n">
        <f aca="false">IF(AND(ISNUMBER(B1074),ISNUMBER(C1074)),C1074-B1074,"")</f>
        <v>-0.028</v>
      </c>
      <c r="E1074" s="4" t="s">
        <v>1580</v>
      </c>
    </row>
    <row r="1075" customFormat="false" ht="23.85" hidden="false" customHeight="false" outlineLevel="0" collapsed="false">
      <c r="A1075" s="4" t="s">
        <v>1581</v>
      </c>
      <c r="B1075" s="5" t="n">
        <v>0.15</v>
      </c>
      <c r="C1075" s="5" t="n">
        <v>0.126</v>
      </c>
      <c r="D1075" s="5" t="n">
        <f aca="false">IF(AND(ISNUMBER(B1075),ISNUMBER(C1075)),C1075-B1075,"")</f>
        <v>-0.024</v>
      </c>
      <c r="E1075" s="4" t="s">
        <v>1582</v>
      </c>
    </row>
    <row r="1076" customFormat="false" ht="15" hidden="false" customHeight="false" outlineLevel="0" collapsed="false">
      <c r="A1076" s="4" t="s">
        <v>1583</v>
      </c>
      <c r="B1076" s="5" t="n">
        <v>0.382</v>
      </c>
      <c r="C1076" s="5" t="n">
        <v>0.383</v>
      </c>
      <c r="D1076" s="5" t="n">
        <f aca="false">IF(AND(ISNUMBER(B1076),ISNUMBER(C1076)),C1076-B1076,"")</f>
        <v>0.001</v>
      </c>
      <c r="E1076" s="4" t="s">
        <v>531</v>
      </c>
    </row>
    <row r="1077" customFormat="false" ht="15" hidden="false" customHeight="false" outlineLevel="0" collapsed="false">
      <c r="A1077" s="4" t="s">
        <v>1584</v>
      </c>
      <c r="B1077" s="5" t="n">
        <v>0.059</v>
      </c>
      <c r="C1077" s="5" t="n">
        <v>0.059</v>
      </c>
      <c r="D1077" s="5" t="n">
        <f aca="false">IF(AND(ISNUMBER(B1077),ISNUMBER(C1077)),C1077-B1077,"")</f>
        <v>0</v>
      </c>
      <c r="E1077" s="4" t="s">
        <v>531</v>
      </c>
    </row>
    <row r="1078" customFormat="false" ht="23.85" hidden="false" customHeight="false" outlineLevel="0" collapsed="false">
      <c r="A1078" s="4" t="s">
        <v>1585</v>
      </c>
      <c r="B1078" s="5" t="n">
        <v>0.067</v>
      </c>
      <c r="C1078" s="5" t="n">
        <v>0.066</v>
      </c>
      <c r="D1078" s="5" t="n">
        <f aca="false">IF(AND(ISNUMBER(B1078),ISNUMBER(C1078)),C1078-B1078,"")</f>
        <v>-0.001</v>
      </c>
      <c r="E1078" s="4" t="s">
        <v>605</v>
      </c>
    </row>
    <row r="1079" customFormat="false" ht="23.85" hidden="false" customHeight="false" outlineLevel="0" collapsed="false">
      <c r="A1079" s="4" t="s">
        <v>1586</v>
      </c>
      <c r="B1079" s="5" t="n">
        <v>0.324</v>
      </c>
      <c r="C1079" s="5" t="n">
        <v>0.327</v>
      </c>
      <c r="D1079" s="5" t="n">
        <f aca="false">IF(AND(ISNUMBER(B1079),ISNUMBER(C1079)),C1079-B1079,"")</f>
        <v>0.003</v>
      </c>
      <c r="E1079" s="4" t="s">
        <v>1572</v>
      </c>
    </row>
    <row r="1080" customFormat="false" ht="23.85" hidden="false" customHeight="false" outlineLevel="0" collapsed="false">
      <c r="A1080" s="4" t="s">
        <v>1587</v>
      </c>
      <c r="B1080" s="5" t="n">
        <v>0.073</v>
      </c>
      <c r="C1080" s="5" t="n">
        <v>0.067</v>
      </c>
      <c r="D1080" s="5" t="n">
        <f aca="false">IF(AND(ISNUMBER(B1080),ISNUMBER(C1080)),C1080-B1080,"")</f>
        <v>-0.00599999999999999</v>
      </c>
      <c r="E1080" s="4" t="s">
        <v>1572</v>
      </c>
    </row>
    <row r="1081" customFormat="false" ht="23.85" hidden="false" customHeight="false" outlineLevel="0" collapsed="false">
      <c r="A1081" s="4" t="s">
        <v>1588</v>
      </c>
      <c r="B1081" s="5" t="n">
        <v>0.067</v>
      </c>
      <c r="C1081" s="5" t="n">
        <v>0.067</v>
      </c>
      <c r="D1081" s="5" t="n">
        <f aca="false">IF(AND(ISNUMBER(B1081),ISNUMBER(C1081)),C1081-B1081,"")</f>
        <v>0</v>
      </c>
      <c r="E1081" s="4" t="s">
        <v>605</v>
      </c>
    </row>
    <row r="1082" customFormat="false" ht="23.85" hidden="false" customHeight="false" outlineLevel="0" collapsed="false">
      <c r="A1082" s="4" t="s">
        <v>1589</v>
      </c>
      <c r="B1082" s="5" t="n">
        <v>0.317</v>
      </c>
      <c r="C1082" s="5" t="n">
        <v>0.326</v>
      </c>
      <c r="D1082" s="5" t="n">
        <f aca="false">IF(AND(ISNUMBER(B1082),ISNUMBER(C1082)),C1082-B1082,"")</f>
        <v>0.00900000000000001</v>
      </c>
      <c r="E1082" s="4" t="s">
        <v>1572</v>
      </c>
    </row>
    <row r="1083" customFormat="false" ht="23.85" hidden="false" customHeight="false" outlineLevel="0" collapsed="false">
      <c r="A1083" s="4" t="s">
        <v>1590</v>
      </c>
      <c r="B1083" s="5" t="n">
        <v>0.115</v>
      </c>
      <c r="C1083" s="5" t="n">
        <v>0.071</v>
      </c>
      <c r="D1083" s="5" t="n">
        <f aca="false">IF(AND(ISNUMBER(B1083),ISNUMBER(C1083)),C1083-B1083,"")</f>
        <v>-0.044</v>
      </c>
      <c r="E1083" s="4" t="s">
        <v>1580</v>
      </c>
    </row>
    <row r="1084" customFormat="false" ht="23.85" hidden="false" customHeight="false" outlineLevel="0" collapsed="false">
      <c r="A1084" s="4" t="s">
        <v>1591</v>
      </c>
      <c r="B1084" s="5" t="n">
        <v>0.129</v>
      </c>
      <c r="C1084" s="5" t="n">
        <v>0.095</v>
      </c>
      <c r="D1084" s="5" t="n">
        <f aca="false">IF(AND(ISNUMBER(B1084),ISNUMBER(C1084)),C1084-B1084,"")</f>
        <v>-0.034</v>
      </c>
      <c r="E1084" s="4" t="s">
        <v>1592</v>
      </c>
    </row>
    <row r="1085" customFormat="false" ht="23.85" hidden="false" customHeight="false" outlineLevel="0" collapsed="false">
      <c r="A1085" s="4" t="s">
        <v>1593</v>
      </c>
      <c r="B1085" s="5" t="n">
        <v>0.474</v>
      </c>
      <c r="C1085" s="5" t="n">
        <v>0.476</v>
      </c>
      <c r="D1085" s="5" t="n">
        <f aca="false">IF(AND(ISNUMBER(B1085),ISNUMBER(C1085)),C1085-B1085,"")</f>
        <v>0.002</v>
      </c>
      <c r="E1085" s="4" t="s">
        <v>1572</v>
      </c>
    </row>
    <row r="1086" customFormat="false" ht="15" hidden="false" customHeight="false" outlineLevel="0" collapsed="false">
      <c r="A1086" s="4" t="s">
        <v>1594</v>
      </c>
      <c r="B1086" s="5" t="n">
        <v>0.064</v>
      </c>
      <c r="C1086" s="5" t="n">
        <v>0.064</v>
      </c>
      <c r="D1086" s="5" t="n">
        <f aca="false">IF(AND(ISNUMBER(B1086),ISNUMBER(C1086)),C1086-B1086,"")</f>
        <v>0</v>
      </c>
      <c r="E1086" s="4" t="s">
        <v>531</v>
      </c>
    </row>
    <row r="1087" customFormat="false" ht="23.85" hidden="false" customHeight="false" outlineLevel="0" collapsed="false">
      <c r="A1087" s="4" t="s">
        <v>1595</v>
      </c>
      <c r="B1087" s="5" t="n">
        <v>0.066</v>
      </c>
      <c r="C1087" s="5" t="n">
        <v>0.066</v>
      </c>
      <c r="D1087" s="5" t="n">
        <f aca="false">IF(AND(ISNUMBER(B1087),ISNUMBER(C1087)),C1087-B1087,"")</f>
        <v>0</v>
      </c>
      <c r="E1087" s="4" t="s">
        <v>605</v>
      </c>
    </row>
    <row r="1088" customFormat="false" ht="23.85" hidden="false" customHeight="false" outlineLevel="0" collapsed="false">
      <c r="A1088" s="4" t="s">
        <v>1596</v>
      </c>
      <c r="B1088" s="5" t="n">
        <v>0.481</v>
      </c>
      <c r="C1088" s="5" t="n">
        <v>0.485</v>
      </c>
      <c r="D1088" s="5" t="n">
        <f aca="false">IF(AND(ISNUMBER(B1088),ISNUMBER(C1088)),C1088-B1088,"")</f>
        <v>0.004</v>
      </c>
      <c r="E1088" s="4" t="s">
        <v>1572</v>
      </c>
    </row>
    <row r="1089" customFormat="false" ht="23.85" hidden="false" customHeight="false" outlineLevel="0" collapsed="false">
      <c r="A1089" s="4" t="s">
        <v>1597</v>
      </c>
      <c r="B1089" s="5" t="n">
        <v>0.074</v>
      </c>
      <c r="C1089" s="5" t="n">
        <v>0.068</v>
      </c>
      <c r="D1089" s="5" t="n">
        <f aca="false">IF(AND(ISNUMBER(B1089),ISNUMBER(C1089)),C1089-B1089,"")</f>
        <v>-0.00599999999999999</v>
      </c>
      <c r="E1089" s="4" t="s">
        <v>1572</v>
      </c>
    </row>
    <row r="1090" customFormat="false" ht="23.85" hidden="false" customHeight="false" outlineLevel="0" collapsed="false">
      <c r="A1090" s="4" t="s">
        <v>1598</v>
      </c>
      <c r="B1090" s="5" t="n">
        <v>0.073</v>
      </c>
      <c r="C1090" s="5" t="n">
        <v>0.073</v>
      </c>
      <c r="D1090" s="5" t="n">
        <f aca="false">IF(AND(ISNUMBER(B1090),ISNUMBER(C1090)),C1090-B1090,"")</f>
        <v>0</v>
      </c>
      <c r="E1090" s="4" t="s">
        <v>605</v>
      </c>
    </row>
    <row r="1091" customFormat="false" ht="23.85" hidden="false" customHeight="false" outlineLevel="0" collapsed="false">
      <c r="A1091" s="4" t="s">
        <v>1599</v>
      </c>
      <c r="B1091" s="5" t="n">
        <v>0.469</v>
      </c>
      <c r="C1091" s="5" t="n">
        <v>0.475</v>
      </c>
      <c r="D1091" s="5" t="n">
        <f aca="false">IF(AND(ISNUMBER(B1091),ISNUMBER(C1091)),C1091-B1091,"")</f>
        <v>0.00600000000000001</v>
      </c>
      <c r="E1091" s="4" t="s">
        <v>1572</v>
      </c>
    </row>
    <row r="1092" customFormat="false" ht="23.85" hidden="false" customHeight="false" outlineLevel="0" collapsed="false">
      <c r="A1092" s="4" t="s">
        <v>1600</v>
      </c>
      <c r="B1092" s="5" t="n">
        <v>0.125</v>
      </c>
      <c r="C1092" s="5" t="n">
        <v>0.074</v>
      </c>
      <c r="D1092" s="5" t="n">
        <f aca="false">IF(AND(ISNUMBER(B1092),ISNUMBER(C1092)),C1092-B1092,"")</f>
        <v>-0.051</v>
      </c>
      <c r="E1092" s="4" t="s">
        <v>1580</v>
      </c>
    </row>
    <row r="1093" customFormat="false" ht="23.85" hidden="false" customHeight="false" outlineLevel="0" collapsed="false">
      <c r="A1093" s="4" t="s">
        <v>1601</v>
      </c>
      <c r="B1093" s="5" t="n">
        <v>0.142</v>
      </c>
      <c r="C1093" s="5" t="n">
        <v>0.094</v>
      </c>
      <c r="D1093" s="5" t="n">
        <f aca="false">IF(AND(ISNUMBER(B1093),ISNUMBER(C1093)),C1093-B1093,"")</f>
        <v>-0.048</v>
      </c>
      <c r="E1093" s="4" t="s">
        <v>1602</v>
      </c>
    </row>
    <row r="1094" customFormat="false" ht="23.85" hidden="false" customHeight="false" outlineLevel="0" collapsed="false">
      <c r="A1094" s="4" t="s">
        <v>1603</v>
      </c>
      <c r="B1094" s="5" t="n">
        <v>0.747</v>
      </c>
      <c r="C1094" s="5" t="n">
        <v>0.749</v>
      </c>
      <c r="D1094" s="5" t="n">
        <f aca="false">IF(AND(ISNUMBER(B1094),ISNUMBER(C1094)),C1094-B1094,"")</f>
        <v>0.002</v>
      </c>
      <c r="E1094" s="4" t="s">
        <v>1572</v>
      </c>
    </row>
    <row r="1095" customFormat="false" ht="15" hidden="false" customHeight="false" outlineLevel="0" collapsed="false">
      <c r="A1095" s="4" t="s">
        <v>1604</v>
      </c>
      <c r="B1095" s="5" t="n">
        <v>0.119</v>
      </c>
      <c r="C1095" s="5" t="n">
        <v>0.118</v>
      </c>
      <c r="D1095" s="5" t="n">
        <f aca="false">IF(AND(ISNUMBER(B1095),ISNUMBER(C1095)),C1095-B1095,"")</f>
        <v>-0.001</v>
      </c>
      <c r="E1095" s="4" t="s">
        <v>531</v>
      </c>
    </row>
    <row r="1096" customFormat="false" ht="23.85" hidden="false" customHeight="false" outlineLevel="0" collapsed="false">
      <c r="A1096" s="4" t="s">
        <v>1605</v>
      </c>
      <c r="B1096" s="5" t="n">
        <v>0.139</v>
      </c>
      <c r="C1096" s="5" t="n">
        <v>0.14</v>
      </c>
      <c r="D1096" s="5" t="n">
        <f aca="false">IF(AND(ISNUMBER(B1096),ISNUMBER(C1096)),C1096-B1096,"")</f>
        <v>0.001</v>
      </c>
      <c r="E1096" s="4" t="s">
        <v>605</v>
      </c>
    </row>
    <row r="1097" customFormat="false" ht="23.85" hidden="false" customHeight="false" outlineLevel="0" collapsed="false">
      <c r="A1097" s="4" t="s">
        <v>1606</v>
      </c>
      <c r="B1097" s="5" t="n">
        <v>0.781</v>
      </c>
      <c r="C1097" s="5" t="n">
        <v>0.789</v>
      </c>
      <c r="D1097" s="5" t="n">
        <f aca="false">IF(AND(ISNUMBER(B1097),ISNUMBER(C1097)),C1097-B1097,"")</f>
        <v>0.00800000000000001</v>
      </c>
      <c r="E1097" s="4" t="s">
        <v>1572</v>
      </c>
    </row>
    <row r="1098" customFormat="false" ht="23.85" hidden="false" customHeight="false" outlineLevel="0" collapsed="false">
      <c r="A1098" s="4" t="s">
        <v>1607</v>
      </c>
      <c r="B1098" s="5" t="n">
        <v>0.147</v>
      </c>
      <c r="C1098" s="5" t="n">
        <v>0.13</v>
      </c>
      <c r="D1098" s="5" t="n">
        <f aca="false">IF(AND(ISNUMBER(B1098),ISNUMBER(C1098)),C1098-B1098,"")</f>
        <v>-0.017</v>
      </c>
      <c r="E1098" s="4" t="s">
        <v>1572</v>
      </c>
    </row>
    <row r="1099" customFormat="false" ht="23.85" hidden="false" customHeight="false" outlineLevel="0" collapsed="false">
      <c r="A1099" s="4" t="s">
        <v>1608</v>
      </c>
      <c r="B1099" s="5" t="n">
        <v>0.182</v>
      </c>
      <c r="C1099" s="5" t="n">
        <v>0.179</v>
      </c>
      <c r="D1099" s="5" t="n">
        <f aca="false">IF(AND(ISNUMBER(B1099),ISNUMBER(C1099)),C1099-B1099,"")</f>
        <v>-0.003</v>
      </c>
      <c r="E1099" s="4" t="s">
        <v>605</v>
      </c>
    </row>
    <row r="1100" customFormat="false" ht="23.85" hidden="false" customHeight="false" outlineLevel="0" collapsed="false">
      <c r="A1100" s="4" t="s">
        <v>1609</v>
      </c>
      <c r="B1100" s="5" t="n">
        <v>0.874</v>
      </c>
      <c r="C1100" s="5" t="n">
        <v>0.898</v>
      </c>
      <c r="D1100" s="5" t="n">
        <f aca="false">IF(AND(ISNUMBER(B1100),ISNUMBER(C1100)),C1100-B1100,"")</f>
        <v>0.024</v>
      </c>
      <c r="E1100" s="4" t="s">
        <v>1572</v>
      </c>
    </row>
    <row r="1101" customFormat="false" ht="23.85" hidden="false" customHeight="false" outlineLevel="0" collapsed="false">
      <c r="A1101" s="4" t="s">
        <v>1610</v>
      </c>
      <c r="B1101" s="5" t="n">
        <v>0.283</v>
      </c>
      <c r="C1101" s="5" t="n">
        <v>0.206</v>
      </c>
      <c r="D1101" s="5" t="n">
        <f aca="false">IF(AND(ISNUMBER(B1101),ISNUMBER(C1101)),C1101-B1101,"")</f>
        <v>-0.077</v>
      </c>
      <c r="E1101" s="4" t="s">
        <v>1580</v>
      </c>
    </row>
    <row r="1102" customFormat="false" ht="23.85" hidden="false" customHeight="false" outlineLevel="0" collapsed="false">
      <c r="A1102" s="4" t="s">
        <v>1611</v>
      </c>
      <c r="B1102" s="5" t="n">
        <v>0.283</v>
      </c>
      <c r="C1102" s="5" t="n">
        <v>0.2</v>
      </c>
      <c r="D1102" s="5" t="n">
        <f aca="false">IF(AND(ISNUMBER(B1102),ISNUMBER(C1102)),C1102-B1102,"")</f>
        <v>-0.083</v>
      </c>
      <c r="E1102" s="4" t="s">
        <v>1612</v>
      </c>
    </row>
    <row r="1103" customFormat="false" ht="15" hidden="false" customHeight="false" outlineLevel="0" collapsed="false">
      <c r="A1103" s="4" t="s">
        <v>1613</v>
      </c>
      <c r="B1103" s="5" t="n">
        <v>-3.16</v>
      </c>
      <c r="C1103" s="5" t="n">
        <v>-3.159</v>
      </c>
      <c r="D1103" s="5" t="n">
        <f aca="false">IF(AND(ISNUMBER(B1103),ISNUMBER(C1103)),C1103-B1103,"")</f>
        <v>0.00100000000000033</v>
      </c>
      <c r="E1103" s="4" t="s">
        <v>531</v>
      </c>
    </row>
    <row r="1104" customFormat="false" ht="15" hidden="false" customHeight="false" outlineLevel="0" collapsed="false">
      <c r="A1104" s="4" t="s">
        <v>1614</v>
      </c>
      <c r="B1104" s="5" t="n">
        <v>0.412</v>
      </c>
      <c r="C1104" s="5" t="n">
        <v>0.413</v>
      </c>
      <c r="D1104" s="5" t="n">
        <f aca="false">IF(AND(ISNUMBER(B1104),ISNUMBER(C1104)),C1104-B1104,"")</f>
        <v>0.001</v>
      </c>
      <c r="E1104" s="4" t="s">
        <v>531</v>
      </c>
    </row>
    <row r="1105" customFormat="false" ht="23.85" hidden="false" customHeight="false" outlineLevel="0" collapsed="false">
      <c r="A1105" s="4" t="s">
        <v>1615</v>
      </c>
      <c r="B1105" s="5" t="n">
        <v>0.398</v>
      </c>
      <c r="C1105" s="5" t="n">
        <v>0.399</v>
      </c>
      <c r="D1105" s="5" t="n">
        <f aca="false">IF(AND(ISNUMBER(B1105),ISNUMBER(C1105)),C1105-B1105,"")</f>
        <v>0.001</v>
      </c>
      <c r="E1105" s="4" t="s">
        <v>605</v>
      </c>
    </row>
    <row r="1106" customFormat="false" ht="15" hidden="false" customHeight="false" outlineLevel="0" collapsed="false">
      <c r="A1106" s="4" t="s">
        <v>1616</v>
      </c>
      <c r="B1106" s="5" t="n">
        <v>-3.198</v>
      </c>
      <c r="C1106" s="5" t="n">
        <v>-3.199</v>
      </c>
      <c r="D1106" s="5" t="n">
        <f aca="false">IF(AND(ISNUMBER(B1106),ISNUMBER(C1106)),C1106-B1106,"")</f>
        <v>-0.00099999999999989</v>
      </c>
      <c r="E1106" s="4" t="s">
        <v>531</v>
      </c>
    </row>
    <row r="1107" customFormat="false" ht="23.85" hidden="false" customHeight="false" outlineLevel="0" collapsed="false">
      <c r="A1107" s="4" t="s">
        <v>1617</v>
      </c>
      <c r="B1107" s="5" t="n">
        <v>0.448</v>
      </c>
      <c r="C1107" s="5" t="n">
        <v>0.428</v>
      </c>
      <c r="D1107" s="5" t="n">
        <f aca="false">IF(AND(ISNUMBER(B1107),ISNUMBER(C1107)),C1107-B1107,"")</f>
        <v>-0.02</v>
      </c>
      <c r="E1107" s="4" t="s">
        <v>1572</v>
      </c>
    </row>
    <row r="1108" customFormat="false" ht="23.85" hidden="false" customHeight="false" outlineLevel="0" collapsed="false">
      <c r="A1108" s="4" t="s">
        <v>1618</v>
      </c>
      <c r="B1108" s="5" t="n">
        <v>0.412</v>
      </c>
      <c r="C1108" s="5" t="n">
        <v>0.411</v>
      </c>
      <c r="D1108" s="5" t="n">
        <f aca="false">IF(AND(ISNUMBER(B1108),ISNUMBER(C1108)),C1108-B1108,"")</f>
        <v>-0.001</v>
      </c>
      <c r="E1108" s="4" t="s">
        <v>605</v>
      </c>
    </row>
    <row r="1109" customFormat="false" ht="23.85" hidden="false" customHeight="false" outlineLevel="0" collapsed="false">
      <c r="A1109" s="4" t="s">
        <v>1619</v>
      </c>
      <c r="B1109" s="5" t="n">
        <v>-3.237</v>
      </c>
      <c r="C1109" s="5" t="n">
        <v>-3.139</v>
      </c>
      <c r="D1109" s="5" t="n">
        <f aca="false">IF(AND(ISNUMBER(B1109),ISNUMBER(C1109)),C1109-B1109,"")</f>
        <v>0.0980000000000003</v>
      </c>
      <c r="E1109" s="4" t="s">
        <v>1572</v>
      </c>
    </row>
    <row r="1110" customFormat="false" ht="23.85" hidden="false" customHeight="false" outlineLevel="0" collapsed="false">
      <c r="A1110" s="4" t="s">
        <v>1620</v>
      </c>
      <c r="B1110" s="5" t="n">
        <v>0.559</v>
      </c>
      <c r="C1110" s="5" t="n">
        <v>0.441</v>
      </c>
      <c r="D1110" s="5" t="n">
        <f aca="false">IF(AND(ISNUMBER(B1110),ISNUMBER(C1110)),C1110-B1110,"")</f>
        <v>-0.118</v>
      </c>
      <c r="E1110" s="4" t="s">
        <v>1572</v>
      </c>
    </row>
    <row r="1111" customFormat="false" ht="23.85" hidden="false" customHeight="false" outlineLevel="0" collapsed="false">
      <c r="A1111" s="4" t="s">
        <v>1621</v>
      </c>
      <c r="B1111" s="5" t="n">
        <v>0.635</v>
      </c>
      <c r="C1111" s="5" t="n">
        <v>0.479</v>
      </c>
      <c r="D1111" s="5" t="n">
        <f aca="false">IF(AND(ISNUMBER(B1111),ISNUMBER(C1111)),C1111-B1111,"")</f>
        <v>-0.156</v>
      </c>
      <c r="E1111" s="4" t="s">
        <v>1622</v>
      </c>
    </row>
    <row r="1112" customFormat="false" ht="15" hidden="false" customHeight="false" outlineLevel="0" collapsed="false">
      <c r="A1112" s="4" t="s">
        <v>1623</v>
      </c>
      <c r="B1112" s="5" t="n">
        <v>-0.176</v>
      </c>
      <c r="C1112" s="5" t="n">
        <v>-0.177</v>
      </c>
      <c r="D1112" s="5" t="n">
        <f aca="false">IF(AND(ISNUMBER(B1112),ISNUMBER(C1112)),C1112-B1112,"")</f>
        <v>-0.001</v>
      </c>
      <c r="E1112" s="4" t="s">
        <v>531</v>
      </c>
    </row>
    <row r="1113" customFormat="false" ht="15" hidden="false" customHeight="false" outlineLevel="0" collapsed="false">
      <c r="A1113" s="4" t="s">
        <v>1624</v>
      </c>
      <c r="B1113" s="5" t="n">
        <v>0.049</v>
      </c>
      <c r="C1113" s="5" t="n">
        <v>0.049</v>
      </c>
      <c r="D1113" s="5" t="n">
        <f aca="false">IF(AND(ISNUMBER(B1113),ISNUMBER(C1113)),C1113-B1113,"")</f>
        <v>0</v>
      </c>
      <c r="E1113" s="4" t="s">
        <v>531</v>
      </c>
    </row>
    <row r="1114" customFormat="false" ht="23.85" hidden="false" customHeight="false" outlineLevel="0" collapsed="false">
      <c r="A1114" s="4" t="s">
        <v>1625</v>
      </c>
      <c r="B1114" s="5" t="n">
        <v>0.051</v>
      </c>
      <c r="C1114" s="5" t="n">
        <v>0.051</v>
      </c>
      <c r="D1114" s="5" t="n">
        <f aca="false">IF(AND(ISNUMBER(B1114),ISNUMBER(C1114)),C1114-B1114,"")</f>
        <v>0</v>
      </c>
      <c r="E1114" s="4" t="s">
        <v>605</v>
      </c>
    </row>
    <row r="1115" customFormat="false" ht="15" hidden="false" customHeight="false" outlineLevel="0" collapsed="false">
      <c r="A1115" s="4" t="s">
        <v>1626</v>
      </c>
      <c r="B1115" s="5" t="n">
        <v>-0.184</v>
      </c>
      <c r="C1115" s="5" t="n">
        <v>-0.183</v>
      </c>
      <c r="D1115" s="5" t="n">
        <f aca="false">IF(AND(ISNUMBER(B1115),ISNUMBER(C1115)),C1115-B1115,"")</f>
        <v>0.001</v>
      </c>
      <c r="E1115" s="4" t="s">
        <v>531</v>
      </c>
    </row>
    <row r="1116" customFormat="false" ht="23.85" hidden="false" customHeight="false" outlineLevel="0" collapsed="false">
      <c r="A1116" s="4" t="s">
        <v>1627</v>
      </c>
      <c r="B1116" s="5" t="n">
        <v>0.052</v>
      </c>
      <c r="C1116" s="5" t="n">
        <v>0.05</v>
      </c>
      <c r="D1116" s="5" t="n">
        <f aca="false">IF(AND(ISNUMBER(B1116),ISNUMBER(C1116)),C1116-B1116,"")</f>
        <v>-0.002</v>
      </c>
      <c r="E1116" s="4" t="s">
        <v>1572</v>
      </c>
    </row>
    <row r="1117" customFormat="false" ht="23.85" hidden="false" customHeight="false" outlineLevel="0" collapsed="false">
      <c r="A1117" s="4" t="s">
        <v>1628</v>
      </c>
      <c r="B1117" s="5" t="n">
        <v>0.055</v>
      </c>
      <c r="C1117" s="5" t="n">
        <v>0.055</v>
      </c>
      <c r="D1117" s="5" t="n">
        <f aca="false">IF(AND(ISNUMBER(B1117),ISNUMBER(C1117)),C1117-B1117,"")</f>
        <v>0</v>
      </c>
      <c r="E1117" s="4" t="s">
        <v>605</v>
      </c>
    </row>
    <row r="1118" customFormat="false" ht="23.85" hidden="false" customHeight="false" outlineLevel="0" collapsed="false">
      <c r="A1118" s="4" t="s">
        <v>1629</v>
      </c>
      <c r="B1118" s="5" t="n">
        <v>-0.184</v>
      </c>
      <c r="C1118" s="5" t="n">
        <v>-0.189</v>
      </c>
      <c r="D1118" s="5" t="n">
        <f aca="false">IF(AND(ISNUMBER(B1118),ISNUMBER(C1118)),C1118-B1118,"")</f>
        <v>-0.005</v>
      </c>
      <c r="E1118" s="4" t="s">
        <v>1572</v>
      </c>
    </row>
    <row r="1119" customFormat="false" ht="23.85" hidden="false" customHeight="false" outlineLevel="0" collapsed="false">
      <c r="A1119" s="4" t="s">
        <v>1630</v>
      </c>
      <c r="B1119" s="5" t="n">
        <v>0.062</v>
      </c>
      <c r="C1119" s="5" t="n">
        <v>0.052</v>
      </c>
      <c r="D1119" s="5" t="n">
        <f aca="false">IF(AND(ISNUMBER(B1119),ISNUMBER(C1119)),C1119-B1119,"")</f>
        <v>-0.01</v>
      </c>
      <c r="E1119" s="4" t="s">
        <v>1572</v>
      </c>
    </row>
    <row r="1120" customFormat="false" ht="23.85" hidden="false" customHeight="false" outlineLevel="0" collapsed="false">
      <c r="A1120" s="4" t="s">
        <v>1631</v>
      </c>
      <c r="B1120" s="5" t="n">
        <v>0.093</v>
      </c>
      <c r="C1120" s="5" t="n">
        <v>0.076</v>
      </c>
      <c r="D1120" s="5" t="n">
        <f aca="false">IF(AND(ISNUMBER(B1120),ISNUMBER(C1120)),C1120-B1120,"")</f>
        <v>-0.017</v>
      </c>
      <c r="E1120" s="4" t="s">
        <v>1537</v>
      </c>
    </row>
    <row r="1121" customFormat="false" ht="23.85" hidden="false" customHeight="false" outlineLevel="0" collapsed="false">
      <c r="A1121" s="4" t="s">
        <v>1632</v>
      </c>
      <c r="B1121" s="5" t="n">
        <v>-0.239</v>
      </c>
      <c r="C1121" s="5" t="n">
        <v>-0.242</v>
      </c>
      <c r="D1121" s="5" t="n">
        <f aca="false">IF(AND(ISNUMBER(B1121),ISNUMBER(C1121)),C1121-B1121,"")</f>
        <v>-0.003</v>
      </c>
      <c r="E1121" s="4" t="s">
        <v>1572</v>
      </c>
    </row>
    <row r="1122" customFormat="false" ht="15" hidden="false" customHeight="false" outlineLevel="0" collapsed="false">
      <c r="A1122" s="4" t="s">
        <v>1633</v>
      </c>
      <c r="B1122" s="5" t="n">
        <v>0.068</v>
      </c>
      <c r="C1122" s="5" t="n">
        <v>0.068</v>
      </c>
      <c r="D1122" s="5" t="n">
        <f aca="false">IF(AND(ISNUMBER(B1122),ISNUMBER(C1122)),C1122-B1122,"")</f>
        <v>0</v>
      </c>
      <c r="E1122" s="4" t="s">
        <v>531</v>
      </c>
    </row>
    <row r="1123" customFormat="false" ht="23.85" hidden="false" customHeight="false" outlineLevel="0" collapsed="false">
      <c r="A1123" s="4" t="s">
        <v>1634</v>
      </c>
      <c r="B1123" s="5" t="n">
        <v>0.073</v>
      </c>
      <c r="C1123" s="5" t="n">
        <v>0.073</v>
      </c>
      <c r="D1123" s="5" t="n">
        <f aca="false">IF(AND(ISNUMBER(B1123),ISNUMBER(C1123)),C1123-B1123,"")</f>
        <v>0</v>
      </c>
      <c r="E1123" s="4" t="s">
        <v>605</v>
      </c>
    </row>
    <row r="1124" customFormat="false" ht="23.85" hidden="false" customHeight="false" outlineLevel="0" collapsed="false">
      <c r="A1124" s="4" t="s">
        <v>1635</v>
      </c>
      <c r="B1124" s="5" t="n">
        <v>-0.242</v>
      </c>
      <c r="C1124" s="5" t="n">
        <v>-0.256</v>
      </c>
      <c r="D1124" s="5" t="n">
        <f aca="false">IF(AND(ISNUMBER(B1124),ISNUMBER(C1124)),C1124-B1124,"")</f>
        <v>-0.014</v>
      </c>
      <c r="E1124" s="4" t="s">
        <v>1572</v>
      </c>
    </row>
    <row r="1125" customFormat="false" ht="23.85" hidden="false" customHeight="false" outlineLevel="0" collapsed="false">
      <c r="A1125" s="4" t="s">
        <v>1636</v>
      </c>
      <c r="B1125" s="5" t="n">
        <v>0.078</v>
      </c>
      <c r="C1125" s="5" t="n">
        <v>0.069</v>
      </c>
      <c r="D1125" s="5" t="n">
        <f aca="false">IF(AND(ISNUMBER(B1125),ISNUMBER(C1125)),C1125-B1125,"")</f>
        <v>-0.00899999999999999</v>
      </c>
      <c r="E1125" s="4" t="s">
        <v>1572</v>
      </c>
    </row>
    <row r="1126" customFormat="false" ht="23.85" hidden="false" customHeight="false" outlineLevel="0" collapsed="false">
      <c r="A1126" s="4" t="s">
        <v>1637</v>
      </c>
      <c r="B1126" s="5" t="n">
        <v>0.079</v>
      </c>
      <c r="C1126" s="5" t="n">
        <v>0.078</v>
      </c>
      <c r="D1126" s="5" t="n">
        <f aca="false">IF(AND(ISNUMBER(B1126),ISNUMBER(C1126)),C1126-B1126,"")</f>
        <v>-0.001</v>
      </c>
      <c r="E1126" s="4" t="s">
        <v>605</v>
      </c>
    </row>
    <row r="1127" customFormat="false" ht="23.85" hidden="false" customHeight="false" outlineLevel="0" collapsed="false">
      <c r="A1127" s="4" t="s">
        <v>1638</v>
      </c>
      <c r="B1127" s="5" t="n">
        <v>-0.194</v>
      </c>
      <c r="C1127" s="5" t="n">
        <v>-0.224</v>
      </c>
      <c r="D1127" s="5" t="n">
        <f aca="false">IF(AND(ISNUMBER(B1127),ISNUMBER(C1127)),C1127-B1127,"")</f>
        <v>-0.03</v>
      </c>
      <c r="E1127" s="4" t="s">
        <v>1580</v>
      </c>
    </row>
    <row r="1128" customFormat="false" ht="23.85" hidden="false" customHeight="false" outlineLevel="0" collapsed="false">
      <c r="A1128" s="4" t="s">
        <v>1639</v>
      </c>
      <c r="B1128" s="5" t="n">
        <v>0.117</v>
      </c>
      <c r="C1128" s="5" t="n">
        <v>0.079</v>
      </c>
      <c r="D1128" s="5" t="n">
        <f aca="false">IF(AND(ISNUMBER(B1128),ISNUMBER(C1128)),C1128-B1128,"")</f>
        <v>-0.038</v>
      </c>
      <c r="E1128" s="4" t="s">
        <v>1580</v>
      </c>
    </row>
    <row r="1129" customFormat="false" ht="23.85" hidden="false" customHeight="false" outlineLevel="0" collapsed="false">
      <c r="A1129" s="4" t="s">
        <v>1640</v>
      </c>
      <c r="B1129" s="5" t="n">
        <v>0.133</v>
      </c>
      <c r="C1129" s="5" t="n">
        <v>0.097</v>
      </c>
      <c r="D1129" s="5" t="n">
        <f aca="false">IF(AND(ISNUMBER(B1129),ISNUMBER(C1129)),C1129-B1129,"")</f>
        <v>-0.036</v>
      </c>
      <c r="E1129" s="4" t="s">
        <v>1515</v>
      </c>
    </row>
    <row r="1130" customFormat="false" ht="15" hidden="false" customHeight="false" outlineLevel="0" collapsed="false">
      <c r="A1130" s="4" t="s">
        <v>1641</v>
      </c>
      <c r="B1130" s="5" t="n">
        <v>-0.04</v>
      </c>
      <c r="C1130" s="5" t="n">
        <v>-0.041</v>
      </c>
      <c r="D1130" s="5" t="n">
        <f aca="false">IF(AND(ISNUMBER(B1130),ISNUMBER(C1130)),C1130-B1130,"")</f>
        <v>-0.001</v>
      </c>
      <c r="E1130" s="4" t="s">
        <v>531</v>
      </c>
    </row>
    <row r="1131" customFormat="false" ht="15" hidden="false" customHeight="false" outlineLevel="0" collapsed="false">
      <c r="A1131" s="4" t="s">
        <v>1642</v>
      </c>
      <c r="B1131" s="5" t="n">
        <v>0.042</v>
      </c>
      <c r="C1131" s="5" t="n">
        <v>0.042</v>
      </c>
      <c r="D1131" s="5" t="n">
        <f aca="false">IF(AND(ISNUMBER(B1131),ISNUMBER(C1131)),C1131-B1131,"")</f>
        <v>0</v>
      </c>
      <c r="E1131" s="4" t="s">
        <v>531</v>
      </c>
    </row>
    <row r="1132" customFormat="false" ht="23.85" hidden="false" customHeight="false" outlineLevel="0" collapsed="false">
      <c r="A1132" s="4" t="s">
        <v>1643</v>
      </c>
      <c r="B1132" s="5" t="n">
        <v>-0.012</v>
      </c>
      <c r="C1132" s="5" t="n">
        <v>-0.009</v>
      </c>
      <c r="D1132" s="5" t="n">
        <f aca="false">IF(AND(ISNUMBER(B1132),ISNUMBER(C1132)),C1132-B1132,"")</f>
        <v>0.003</v>
      </c>
      <c r="E1132" s="4" t="s">
        <v>1572</v>
      </c>
    </row>
    <row r="1133" customFormat="false" ht="23.85" hidden="false" customHeight="false" outlineLevel="0" collapsed="false">
      <c r="A1133" s="4" t="s">
        <v>1644</v>
      </c>
      <c r="B1133" s="5" t="n">
        <v>0.045</v>
      </c>
      <c r="C1133" s="5" t="n">
        <v>0.041</v>
      </c>
      <c r="D1133" s="5" t="n">
        <f aca="false">IF(AND(ISNUMBER(B1133),ISNUMBER(C1133)),C1133-B1133,"")</f>
        <v>-0.004</v>
      </c>
      <c r="E1133" s="4" t="s">
        <v>1572</v>
      </c>
    </row>
    <row r="1134" customFormat="false" ht="23.85" hidden="false" customHeight="false" outlineLevel="0" collapsed="false">
      <c r="A1134" s="4" t="s">
        <v>1645</v>
      </c>
      <c r="B1134" s="5" t="n">
        <v>-0.033</v>
      </c>
      <c r="C1134" s="5" t="n">
        <v>-0.026</v>
      </c>
      <c r="D1134" s="5" t="n">
        <f aca="false">IF(AND(ISNUMBER(B1134),ISNUMBER(C1134)),C1134-B1134,"")</f>
        <v>0.007</v>
      </c>
      <c r="E1134" s="4" t="s">
        <v>1572</v>
      </c>
    </row>
    <row r="1135" customFormat="false" ht="23.85" hidden="false" customHeight="false" outlineLevel="0" collapsed="false">
      <c r="A1135" s="4" t="s">
        <v>1646</v>
      </c>
      <c r="B1135" s="5" t="n">
        <v>0.054</v>
      </c>
      <c r="C1135" s="5" t="n">
        <v>0.041</v>
      </c>
      <c r="D1135" s="5" t="n">
        <f aca="false">IF(AND(ISNUMBER(B1135),ISNUMBER(C1135)),C1135-B1135,"")</f>
        <v>-0.013</v>
      </c>
      <c r="E1135" s="4" t="s">
        <v>1572</v>
      </c>
    </row>
    <row r="1136" customFormat="false" ht="15" hidden="false" customHeight="false" outlineLevel="0" collapsed="false">
      <c r="A1136" s="4" t="s">
        <v>1647</v>
      </c>
      <c r="B1136" s="5" t="n">
        <v>-0.088</v>
      </c>
      <c r="C1136" s="5" t="n">
        <v>-0.089</v>
      </c>
      <c r="D1136" s="5" t="n">
        <f aca="false">IF(AND(ISNUMBER(B1136),ISNUMBER(C1136)),C1136-B1136,"")</f>
        <v>-0.001</v>
      </c>
      <c r="E1136" s="4" t="s">
        <v>531</v>
      </c>
    </row>
    <row r="1137" customFormat="false" ht="15" hidden="false" customHeight="false" outlineLevel="0" collapsed="false">
      <c r="A1137" s="4" t="s">
        <v>1648</v>
      </c>
      <c r="B1137" s="5" t="n">
        <v>0.059</v>
      </c>
      <c r="C1137" s="5" t="n">
        <v>0.059</v>
      </c>
      <c r="D1137" s="5" t="n">
        <f aca="false">IF(AND(ISNUMBER(B1137),ISNUMBER(C1137)),C1137-B1137,"")</f>
        <v>0</v>
      </c>
      <c r="E1137" s="4" t="s">
        <v>531</v>
      </c>
    </row>
    <row r="1138" customFormat="false" ht="23.85" hidden="false" customHeight="false" outlineLevel="0" collapsed="false">
      <c r="A1138" s="4" t="s">
        <v>1649</v>
      </c>
      <c r="B1138" s="5" t="n">
        <v>-0.104</v>
      </c>
      <c r="C1138" s="5" t="n">
        <v>-0.111</v>
      </c>
      <c r="D1138" s="5" t="n">
        <f aca="false">IF(AND(ISNUMBER(B1138),ISNUMBER(C1138)),C1138-B1138,"")</f>
        <v>-0.00700000000000001</v>
      </c>
      <c r="E1138" s="4" t="s">
        <v>1572</v>
      </c>
    </row>
    <row r="1139" customFormat="false" ht="23.85" hidden="false" customHeight="false" outlineLevel="0" collapsed="false">
      <c r="A1139" s="4" t="s">
        <v>1650</v>
      </c>
      <c r="B1139" s="5" t="n">
        <v>0.072</v>
      </c>
      <c r="C1139" s="5" t="n">
        <v>0.064</v>
      </c>
      <c r="D1139" s="5" t="n">
        <f aca="false">IF(AND(ISNUMBER(B1139),ISNUMBER(C1139)),C1139-B1139,"")</f>
        <v>-0.00799999999999999</v>
      </c>
      <c r="E1139" s="4" t="s">
        <v>1572</v>
      </c>
    </row>
    <row r="1140" customFormat="false" ht="23.85" hidden="false" customHeight="false" outlineLevel="0" collapsed="false">
      <c r="A1140" s="4" t="s">
        <v>1651</v>
      </c>
      <c r="B1140" s="5" t="n">
        <v>-0.089</v>
      </c>
      <c r="C1140" s="5" t="n">
        <v>-0.083</v>
      </c>
      <c r="D1140" s="5" t="n">
        <f aca="false">IF(AND(ISNUMBER(B1140),ISNUMBER(C1140)),C1140-B1140,"")</f>
        <v>0.00599999999999999</v>
      </c>
      <c r="E1140" s="4" t="s">
        <v>1572</v>
      </c>
    </row>
    <row r="1141" customFormat="false" ht="23.85" hidden="false" customHeight="false" outlineLevel="0" collapsed="false">
      <c r="A1141" s="4" t="s">
        <v>1652</v>
      </c>
      <c r="B1141" s="5" t="n">
        <v>0.102</v>
      </c>
      <c r="C1141" s="5" t="n">
        <v>0.069</v>
      </c>
      <c r="D1141" s="5" t="n">
        <f aca="false">IF(AND(ISNUMBER(B1141),ISNUMBER(C1141)),C1141-B1141,"")</f>
        <v>-0.033</v>
      </c>
      <c r="E1141" s="4" t="s">
        <v>1580</v>
      </c>
    </row>
    <row r="1142" customFormat="false" ht="23.85" hidden="false" customHeight="false" outlineLevel="0" collapsed="false">
      <c r="A1142" s="4" t="s">
        <v>1653</v>
      </c>
      <c r="B1142" s="5" t="n">
        <v>-0.629</v>
      </c>
      <c r="C1142" s="5" t="n">
        <v>-0.656</v>
      </c>
      <c r="D1142" s="5" t="n">
        <f aca="false">IF(AND(ISNUMBER(B1142),ISNUMBER(C1142)),C1142-B1142,"")</f>
        <v>-0.027</v>
      </c>
      <c r="E1142" s="4" t="s">
        <v>1572</v>
      </c>
    </row>
    <row r="1143" customFormat="false" ht="23.85" hidden="false" customHeight="false" outlineLevel="0" collapsed="false">
      <c r="A1143" s="4" t="s">
        <v>1654</v>
      </c>
      <c r="B1143" s="5" t="n">
        <v>0.411</v>
      </c>
      <c r="C1143" s="5" t="n">
        <v>0.409</v>
      </c>
      <c r="D1143" s="5" t="n">
        <f aca="false">IF(AND(ISNUMBER(B1143),ISNUMBER(C1143)),C1143-B1143,"")</f>
        <v>-0.002</v>
      </c>
      <c r="E1143" s="4" t="s">
        <v>1572</v>
      </c>
    </row>
    <row r="1144" customFormat="false" ht="23.85" hidden="false" customHeight="false" outlineLevel="0" collapsed="false">
      <c r="A1144" s="4" t="s">
        <v>1655</v>
      </c>
      <c r="B1144" s="5" t="n">
        <v>-0.582</v>
      </c>
      <c r="C1144" s="5" t="n">
        <v>-0.588</v>
      </c>
      <c r="D1144" s="5" t="n">
        <f aca="false">IF(AND(ISNUMBER(B1144),ISNUMBER(C1144)),C1144-B1144,"")</f>
        <v>-0.00600000000000001</v>
      </c>
      <c r="E1144" s="4" t="s">
        <v>1572</v>
      </c>
    </row>
    <row r="1145" customFormat="false" ht="23.85" hidden="false" customHeight="false" outlineLevel="0" collapsed="false">
      <c r="A1145" s="4" t="s">
        <v>1656</v>
      </c>
      <c r="B1145" s="5" t="n">
        <v>0.538</v>
      </c>
      <c r="C1145" s="5" t="n">
        <v>0.449</v>
      </c>
      <c r="D1145" s="5" t="n">
        <f aca="false">IF(AND(ISNUMBER(B1145),ISNUMBER(C1145)),C1145-B1145,"")</f>
        <v>-0.089</v>
      </c>
      <c r="E1145" s="4" t="s">
        <v>1572</v>
      </c>
    </row>
    <row r="1146" customFormat="false" ht="23.85" hidden="false" customHeight="false" outlineLevel="0" collapsed="false">
      <c r="A1146" s="4" t="s">
        <v>1657</v>
      </c>
      <c r="B1146" s="5" t="n">
        <v>-0.403</v>
      </c>
      <c r="C1146" s="5" t="n">
        <v>-0.69</v>
      </c>
      <c r="D1146" s="5" t="n">
        <f aca="false">IF(AND(ISNUMBER(B1146),ISNUMBER(C1146)),C1146-B1146,"")</f>
        <v>-0.287</v>
      </c>
      <c r="E1146" s="4" t="s">
        <v>1580</v>
      </c>
    </row>
    <row r="1147" customFormat="false" ht="23.85" hidden="false" customHeight="false" outlineLevel="0" collapsed="false">
      <c r="A1147" s="4" t="s">
        <v>1658</v>
      </c>
      <c r="B1147" s="5" t="n">
        <v>0.823</v>
      </c>
      <c r="C1147" s="5" t="n">
        <v>0.561</v>
      </c>
      <c r="D1147" s="5" t="n">
        <f aca="false">IF(AND(ISNUMBER(B1147),ISNUMBER(C1147)),C1147-B1147,"")</f>
        <v>-0.262</v>
      </c>
      <c r="E1147" s="4" t="s">
        <v>1580</v>
      </c>
    </row>
    <row r="1148" customFormat="false" ht="23.85" hidden="false" customHeight="false" outlineLevel="0" collapsed="false">
      <c r="A1148" s="4" t="s">
        <v>1659</v>
      </c>
      <c r="B1148" s="5" t="n">
        <v>0.103</v>
      </c>
      <c r="C1148" s="5" t="n">
        <v>0.097</v>
      </c>
      <c r="D1148" s="5" t="n">
        <f aca="false">IF(AND(ISNUMBER(B1148),ISNUMBER(C1148)),C1148-B1148,"")</f>
        <v>-0.00599999999999999</v>
      </c>
      <c r="E1148" s="4" t="s">
        <v>1572</v>
      </c>
    </row>
    <row r="1149" customFormat="false" ht="15" hidden="false" customHeight="false" outlineLevel="0" collapsed="false">
      <c r="A1149" s="4" t="s">
        <v>1660</v>
      </c>
      <c r="B1149" s="5" t="n">
        <v>0.067</v>
      </c>
      <c r="C1149" s="5" t="n">
        <v>0.067</v>
      </c>
      <c r="D1149" s="5" t="n">
        <f aca="false">IF(AND(ISNUMBER(B1149),ISNUMBER(C1149)),C1149-B1149,"")</f>
        <v>0</v>
      </c>
      <c r="E1149" s="4" t="s">
        <v>531</v>
      </c>
    </row>
    <row r="1150" customFormat="false" ht="23.85" hidden="false" customHeight="false" outlineLevel="0" collapsed="false">
      <c r="A1150" s="4" t="s">
        <v>1661</v>
      </c>
      <c r="B1150" s="5" t="n">
        <v>0.127</v>
      </c>
      <c r="C1150" s="5" t="n">
        <v>0.108</v>
      </c>
      <c r="D1150" s="5" t="n">
        <f aca="false">IF(AND(ISNUMBER(B1150),ISNUMBER(C1150)),C1150-B1150,"")</f>
        <v>-0.019</v>
      </c>
      <c r="E1150" s="4" t="s">
        <v>1572</v>
      </c>
    </row>
    <row r="1151" customFormat="false" ht="23.85" hidden="false" customHeight="false" outlineLevel="0" collapsed="false">
      <c r="A1151" s="4" t="s">
        <v>1662</v>
      </c>
      <c r="B1151" s="5" t="n">
        <v>0.082</v>
      </c>
      <c r="C1151" s="5" t="n">
        <v>0.074</v>
      </c>
      <c r="D1151" s="5" t="n">
        <f aca="false">IF(AND(ISNUMBER(B1151),ISNUMBER(C1151)),C1151-B1151,"")</f>
        <v>-0.00800000000000001</v>
      </c>
      <c r="E1151" s="4" t="s">
        <v>1572</v>
      </c>
    </row>
    <row r="1152" customFormat="false" ht="23.85" hidden="false" customHeight="false" outlineLevel="0" collapsed="false">
      <c r="A1152" s="4" t="s">
        <v>1663</v>
      </c>
      <c r="B1152" s="5" t="n">
        <v>0.196</v>
      </c>
      <c r="C1152" s="5" t="n">
        <v>0.152</v>
      </c>
      <c r="D1152" s="5" t="n">
        <f aca="false">IF(AND(ISNUMBER(B1152),ISNUMBER(C1152)),C1152-B1152,"")</f>
        <v>-0.044</v>
      </c>
      <c r="E1152" s="4" t="s">
        <v>1580</v>
      </c>
    </row>
    <row r="1153" customFormat="false" ht="23.85" hidden="false" customHeight="false" outlineLevel="0" collapsed="false">
      <c r="A1153" s="4" t="s">
        <v>1664</v>
      </c>
      <c r="B1153" s="5" t="n">
        <v>0.128</v>
      </c>
      <c r="C1153" s="5" t="n">
        <v>0.087</v>
      </c>
      <c r="D1153" s="5" t="n">
        <f aca="false">IF(AND(ISNUMBER(B1153),ISNUMBER(C1153)),C1153-B1153,"")</f>
        <v>-0.041</v>
      </c>
      <c r="E1153" s="4" t="s">
        <v>1580</v>
      </c>
    </row>
    <row r="1154" customFormat="false" ht="23.85" hidden="false" customHeight="false" outlineLevel="0" collapsed="false">
      <c r="A1154" s="4" t="s">
        <v>1665</v>
      </c>
      <c r="B1154" s="5" t="n">
        <v>0.166</v>
      </c>
      <c r="C1154" s="5" t="n">
        <v>0.159</v>
      </c>
      <c r="D1154" s="5" t="n">
        <f aca="false">IF(AND(ISNUMBER(B1154),ISNUMBER(C1154)),C1154-B1154,"")</f>
        <v>-0.00700000000000001</v>
      </c>
      <c r="E1154" s="4" t="s">
        <v>1572</v>
      </c>
    </row>
    <row r="1155" customFormat="false" ht="15" hidden="false" customHeight="false" outlineLevel="0" collapsed="false">
      <c r="A1155" s="4" t="s">
        <v>1666</v>
      </c>
      <c r="B1155" s="5" t="n">
        <v>0.067</v>
      </c>
      <c r="C1155" s="5" t="n">
        <v>0.067</v>
      </c>
      <c r="D1155" s="5" t="n">
        <f aca="false">IF(AND(ISNUMBER(B1155),ISNUMBER(C1155)),C1155-B1155,"")</f>
        <v>0</v>
      </c>
      <c r="E1155" s="4" t="s">
        <v>531</v>
      </c>
    </row>
    <row r="1156" customFormat="false" ht="23.85" hidden="false" customHeight="false" outlineLevel="0" collapsed="false">
      <c r="A1156" s="4" t="s">
        <v>1667</v>
      </c>
      <c r="B1156" s="5" t="n">
        <v>0.189</v>
      </c>
      <c r="C1156" s="5" t="n">
        <v>0.174</v>
      </c>
      <c r="D1156" s="5" t="n">
        <f aca="false">IF(AND(ISNUMBER(B1156),ISNUMBER(C1156)),C1156-B1156,"")</f>
        <v>-0.015</v>
      </c>
      <c r="E1156" s="4" t="s">
        <v>1572</v>
      </c>
    </row>
    <row r="1157" customFormat="false" ht="23.85" hidden="false" customHeight="false" outlineLevel="0" collapsed="false">
      <c r="A1157" s="4" t="s">
        <v>1668</v>
      </c>
      <c r="B1157" s="5" t="n">
        <v>0.081</v>
      </c>
      <c r="C1157" s="5" t="n">
        <v>0.073</v>
      </c>
      <c r="D1157" s="5" t="n">
        <f aca="false">IF(AND(ISNUMBER(B1157),ISNUMBER(C1157)),C1157-B1157,"")</f>
        <v>-0.00800000000000001</v>
      </c>
      <c r="E1157" s="4" t="s">
        <v>1572</v>
      </c>
    </row>
    <row r="1158" customFormat="false" ht="23.85" hidden="false" customHeight="false" outlineLevel="0" collapsed="false">
      <c r="A1158" s="4" t="s">
        <v>1669</v>
      </c>
      <c r="B1158" s="5" t="n">
        <v>0.205</v>
      </c>
      <c r="C1158" s="5" t="n">
        <v>0.167</v>
      </c>
      <c r="D1158" s="5" t="n">
        <f aca="false">IF(AND(ISNUMBER(B1158),ISNUMBER(C1158)),C1158-B1158,"")</f>
        <v>-0.038</v>
      </c>
      <c r="E1158" s="4" t="s">
        <v>1580</v>
      </c>
    </row>
    <row r="1159" customFormat="false" ht="23.85" hidden="false" customHeight="false" outlineLevel="0" collapsed="false">
      <c r="A1159" s="4" t="s">
        <v>1670</v>
      </c>
      <c r="B1159" s="5" t="n">
        <v>0.127</v>
      </c>
      <c r="C1159" s="5" t="n">
        <v>0.083</v>
      </c>
      <c r="D1159" s="5" t="n">
        <f aca="false">IF(AND(ISNUMBER(B1159),ISNUMBER(C1159)),C1159-B1159,"")</f>
        <v>-0.044</v>
      </c>
      <c r="E1159" s="4" t="s">
        <v>1580</v>
      </c>
    </row>
    <row r="1160" customFormat="false" ht="23.85" hidden="false" customHeight="false" outlineLevel="0" collapsed="false">
      <c r="A1160" s="4" t="s">
        <v>1671</v>
      </c>
      <c r="B1160" s="5" t="n">
        <v>-0.074</v>
      </c>
      <c r="C1160" s="5" t="n">
        <v>-0.079</v>
      </c>
      <c r="D1160" s="5" t="n">
        <f aca="false">IF(AND(ISNUMBER(B1160),ISNUMBER(C1160)),C1160-B1160,"")</f>
        <v>-0.005</v>
      </c>
      <c r="E1160" s="4" t="s">
        <v>1572</v>
      </c>
    </row>
    <row r="1161" customFormat="false" ht="15" hidden="false" customHeight="false" outlineLevel="0" collapsed="false">
      <c r="A1161" s="4" t="s">
        <v>1672</v>
      </c>
      <c r="B1161" s="5" t="n">
        <v>0.061</v>
      </c>
      <c r="C1161" s="5" t="n">
        <v>0.061</v>
      </c>
      <c r="D1161" s="5" t="n">
        <f aca="false">IF(AND(ISNUMBER(B1161),ISNUMBER(C1161)),C1161-B1161,"")</f>
        <v>0</v>
      </c>
      <c r="E1161" s="4" t="s">
        <v>531</v>
      </c>
    </row>
    <row r="1162" customFormat="false" ht="23.85" hidden="false" customHeight="false" outlineLevel="0" collapsed="false">
      <c r="A1162" s="4" t="s">
        <v>1673</v>
      </c>
      <c r="B1162" s="5" t="n">
        <v>-0.091</v>
      </c>
      <c r="C1162" s="5" t="n">
        <v>-0.088</v>
      </c>
      <c r="D1162" s="5" t="n">
        <f aca="false">IF(AND(ISNUMBER(B1162),ISNUMBER(C1162)),C1162-B1162,"")</f>
        <v>0.003</v>
      </c>
      <c r="E1162" s="4" t="s">
        <v>1572</v>
      </c>
    </row>
    <row r="1163" customFormat="false" ht="23.85" hidden="false" customHeight="false" outlineLevel="0" collapsed="false">
      <c r="A1163" s="4" t="s">
        <v>1674</v>
      </c>
      <c r="B1163" s="5" t="n">
        <v>0.077</v>
      </c>
      <c r="C1163" s="5" t="n">
        <v>0.069</v>
      </c>
      <c r="D1163" s="5" t="n">
        <f aca="false">IF(AND(ISNUMBER(B1163),ISNUMBER(C1163)),C1163-B1163,"")</f>
        <v>-0.00799999999999999</v>
      </c>
      <c r="E1163" s="4" t="s">
        <v>1572</v>
      </c>
    </row>
    <row r="1164" customFormat="false" ht="23.85" hidden="false" customHeight="false" outlineLevel="0" collapsed="false">
      <c r="A1164" s="4" t="s">
        <v>1675</v>
      </c>
      <c r="B1164" s="5" t="n">
        <v>-0.102</v>
      </c>
      <c r="C1164" s="5" t="n">
        <v>-0.147</v>
      </c>
      <c r="D1164" s="5" t="n">
        <f aca="false">IF(AND(ISNUMBER(B1164),ISNUMBER(C1164)),C1164-B1164,"")</f>
        <v>-0.045</v>
      </c>
      <c r="E1164" s="4" t="s">
        <v>1580</v>
      </c>
    </row>
    <row r="1165" customFormat="false" ht="23.85" hidden="false" customHeight="false" outlineLevel="0" collapsed="false">
      <c r="A1165" s="4" t="s">
        <v>1676</v>
      </c>
      <c r="B1165" s="5" t="n">
        <v>0.102</v>
      </c>
      <c r="C1165" s="5" t="n">
        <v>0.087</v>
      </c>
      <c r="D1165" s="5" t="n">
        <f aca="false">IF(AND(ISNUMBER(B1165),ISNUMBER(C1165)),C1165-B1165,"")</f>
        <v>-0.015</v>
      </c>
      <c r="E1165" s="4" t="s">
        <v>1572</v>
      </c>
    </row>
    <row r="1166" customFormat="false" ht="23.85" hidden="false" customHeight="false" outlineLevel="0" collapsed="false">
      <c r="A1166" s="4" t="s">
        <v>1677</v>
      </c>
      <c r="B1166" s="5" t="n">
        <v>0.007</v>
      </c>
      <c r="C1166" s="5" t="n">
        <v>0.002</v>
      </c>
      <c r="D1166" s="5" t="n">
        <f aca="false">IF(AND(ISNUMBER(B1166),ISNUMBER(C1166)),C1166-B1166,"")</f>
        <v>-0.005</v>
      </c>
      <c r="E1166" s="4" t="s">
        <v>1572</v>
      </c>
    </row>
    <row r="1167" customFormat="false" ht="15" hidden="false" customHeight="false" outlineLevel="0" collapsed="false">
      <c r="A1167" s="4" t="s">
        <v>1678</v>
      </c>
      <c r="B1167" s="5" t="n">
        <v>0.064</v>
      </c>
      <c r="C1167" s="5" t="n">
        <v>0.064</v>
      </c>
      <c r="D1167" s="5" t="n">
        <f aca="false">IF(AND(ISNUMBER(B1167),ISNUMBER(C1167)),C1167-B1167,"")</f>
        <v>0</v>
      </c>
      <c r="E1167" s="4" t="s">
        <v>531</v>
      </c>
    </row>
    <row r="1168" customFormat="false" ht="15" hidden="false" customHeight="false" outlineLevel="0" collapsed="false">
      <c r="A1168" s="4" t="s">
        <v>1679</v>
      </c>
      <c r="B1168" s="5" t="n">
        <v>0.006</v>
      </c>
      <c r="C1168" s="5" t="n">
        <v>0.005</v>
      </c>
      <c r="D1168" s="5" t="n">
        <f aca="false">IF(AND(ISNUMBER(B1168),ISNUMBER(C1168)),C1168-B1168,"")</f>
        <v>-0.001</v>
      </c>
      <c r="E1168" s="4" t="s">
        <v>531</v>
      </c>
    </row>
    <row r="1169" customFormat="false" ht="23.85" hidden="false" customHeight="false" outlineLevel="0" collapsed="false">
      <c r="A1169" s="4" t="s">
        <v>1680</v>
      </c>
      <c r="B1169" s="5" t="n">
        <v>0.076</v>
      </c>
      <c r="C1169" s="5" t="n">
        <v>0.069</v>
      </c>
      <c r="D1169" s="5" t="n">
        <f aca="false">IF(AND(ISNUMBER(B1169),ISNUMBER(C1169)),C1169-B1169,"")</f>
        <v>-0.00699999999999999</v>
      </c>
      <c r="E1169" s="4" t="s">
        <v>1572</v>
      </c>
    </row>
    <row r="1170" customFormat="false" ht="23.85" hidden="false" customHeight="false" outlineLevel="0" collapsed="false">
      <c r="A1170" s="4" t="s">
        <v>1681</v>
      </c>
      <c r="B1170" s="5" t="n">
        <v>0.012</v>
      </c>
      <c r="C1170" s="5" t="n">
        <v>-0.023</v>
      </c>
      <c r="D1170" s="5" t="n">
        <f aca="false">IF(AND(ISNUMBER(B1170),ISNUMBER(C1170)),C1170-B1170,"")</f>
        <v>-0.035</v>
      </c>
      <c r="E1170" s="4" t="s">
        <v>1580</v>
      </c>
    </row>
    <row r="1171" customFormat="false" ht="23.85" hidden="false" customHeight="false" outlineLevel="0" collapsed="false">
      <c r="A1171" s="4" t="s">
        <v>1682</v>
      </c>
      <c r="B1171" s="5" t="n">
        <v>0.109</v>
      </c>
      <c r="C1171" s="5" t="n">
        <v>0.084</v>
      </c>
      <c r="D1171" s="5" t="n">
        <f aca="false">IF(AND(ISNUMBER(B1171),ISNUMBER(C1171)),C1171-B1171,"")</f>
        <v>-0.025</v>
      </c>
      <c r="E1171" s="4" t="s">
        <v>1572</v>
      </c>
    </row>
    <row r="1172" customFormat="false" ht="23.85" hidden="false" customHeight="false" outlineLevel="0" collapsed="false">
      <c r="A1172" s="4" t="s">
        <v>1683</v>
      </c>
      <c r="B1172" s="5" t="n">
        <v>-0.275</v>
      </c>
      <c r="C1172" s="5" t="n">
        <v>-0.279</v>
      </c>
      <c r="D1172" s="5" t="n">
        <f aca="false">IF(AND(ISNUMBER(B1172),ISNUMBER(C1172)),C1172-B1172,"")</f>
        <v>-0.004</v>
      </c>
      <c r="E1172" s="4" t="s">
        <v>1572</v>
      </c>
    </row>
    <row r="1173" customFormat="false" ht="15" hidden="false" customHeight="false" outlineLevel="0" collapsed="false">
      <c r="A1173" s="4" t="s">
        <v>1684</v>
      </c>
      <c r="B1173" s="5" t="n">
        <v>0.074</v>
      </c>
      <c r="C1173" s="5" t="n">
        <v>0.075</v>
      </c>
      <c r="D1173" s="5" t="n">
        <f aca="false">IF(AND(ISNUMBER(B1173),ISNUMBER(C1173)),C1173-B1173,"")</f>
        <v>0.001</v>
      </c>
      <c r="E1173" s="4" t="s">
        <v>531</v>
      </c>
    </row>
    <row r="1174" customFormat="false" ht="23.85" hidden="false" customHeight="false" outlineLevel="0" collapsed="false">
      <c r="A1174" s="4" t="s">
        <v>1685</v>
      </c>
      <c r="B1174" s="5" t="n">
        <v>-0.243</v>
      </c>
      <c r="C1174" s="5" t="n">
        <v>-0.256</v>
      </c>
      <c r="D1174" s="5" t="n">
        <f aca="false">IF(AND(ISNUMBER(B1174),ISNUMBER(C1174)),C1174-B1174,"")</f>
        <v>-0.013</v>
      </c>
      <c r="E1174" s="4" t="s">
        <v>1572</v>
      </c>
    </row>
    <row r="1175" customFormat="false" ht="23.85" hidden="false" customHeight="false" outlineLevel="0" collapsed="false">
      <c r="A1175" s="4" t="s">
        <v>1686</v>
      </c>
      <c r="B1175" s="5" t="n">
        <v>0.091</v>
      </c>
      <c r="C1175" s="5" t="n">
        <v>0.082</v>
      </c>
      <c r="D1175" s="5" t="n">
        <f aca="false">IF(AND(ISNUMBER(B1175),ISNUMBER(C1175)),C1175-B1175,"")</f>
        <v>-0.00899999999999999</v>
      </c>
      <c r="E1175" s="4" t="s">
        <v>1572</v>
      </c>
    </row>
    <row r="1176" customFormat="false" ht="23.85" hidden="false" customHeight="false" outlineLevel="0" collapsed="false">
      <c r="A1176" s="4" t="s">
        <v>1687</v>
      </c>
      <c r="B1176" s="5" t="n">
        <v>-0.233</v>
      </c>
      <c r="C1176" s="5" t="n">
        <v>-0.259</v>
      </c>
      <c r="D1176" s="5" t="n">
        <f aca="false">IF(AND(ISNUMBER(B1176),ISNUMBER(C1176)),C1176-B1176,"")</f>
        <v>-0.026</v>
      </c>
      <c r="E1176" s="4" t="s">
        <v>1572</v>
      </c>
    </row>
    <row r="1177" customFormat="false" ht="23.85" hidden="false" customHeight="false" outlineLevel="0" collapsed="false">
      <c r="A1177" s="4" t="s">
        <v>1688</v>
      </c>
      <c r="B1177" s="5" t="n">
        <v>0.127</v>
      </c>
      <c r="C1177" s="5" t="n">
        <v>0.085</v>
      </c>
      <c r="D1177" s="5" t="n">
        <f aca="false">IF(AND(ISNUMBER(B1177),ISNUMBER(C1177)),C1177-B1177,"")</f>
        <v>-0.042</v>
      </c>
      <c r="E1177" s="4" t="s">
        <v>1580</v>
      </c>
    </row>
    <row r="1178" customFormat="false" ht="15" hidden="false" customHeight="false" outlineLevel="0" collapsed="false">
      <c r="A1178" s="4" t="s">
        <v>1689</v>
      </c>
      <c r="B1178" s="5" t="n">
        <v>-0.014</v>
      </c>
      <c r="C1178" s="5" t="n">
        <v>-0.014</v>
      </c>
      <c r="D1178" s="5" t="n">
        <f aca="false">IF(AND(ISNUMBER(B1178),ISNUMBER(C1178)),C1178-B1178,"")</f>
        <v>0</v>
      </c>
      <c r="E1178" s="4" t="s">
        <v>531</v>
      </c>
    </row>
    <row r="1179" customFormat="false" ht="15" hidden="false" customHeight="false" outlineLevel="0" collapsed="false">
      <c r="A1179" s="4" t="s">
        <v>1690</v>
      </c>
      <c r="B1179" s="5" t="n">
        <v>0.071</v>
      </c>
      <c r="C1179" s="5" t="n">
        <v>0.071</v>
      </c>
      <c r="D1179" s="5" t="n">
        <f aca="false">IF(AND(ISNUMBER(B1179),ISNUMBER(C1179)),C1179-B1179,"")</f>
        <v>0</v>
      </c>
      <c r="E1179" s="4" t="s">
        <v>531</v>
      </c>
    </row>
    <row r="1180" customFormat="false" ht="23.85" hidden="false" customHeight="false" outlineLevel="0" collapsed="false">
      <c r="A1180" s="4" t="s">
        <v>1691</v>
      </c>
      <c r="B1180" s="5" t="n">
        <v>-0.048</v>
      </c>
      <c r="C1180" s="5" t="n">
        <v>-0.044</v>
      </c>
      <c r="D1180" s="5" t="n">
        <f aca="false">IF(AND(ISNUMBER(B1180),ISNUMBER(C1180)),C1180-B1180,"")</f>
        <v>0.004</v>
      </c>
      <c r="E1180" s="4" t="s">
        <v>1572</v>
      </c>
    </row>
    <row r="1181" customFormat="false" ht="23.85" hidden="false" customHeight="false" outlineLevel="0" collapsed="false">
      <c r="A1181" s="4" t="s">
        <v>1692</v>
      </c>
      <c r="B1181" s="5" t="n">
        <v>0.084</v>
      </c>
      <c r="C1181" s="5" t="n">
        <v>0.077</v>
      </c>
      <c r="D1181" s="5" t="n">
        <f aca="false">IF(AND(ISNUMBER(B1181),ISNUMBER(C1181)),C1181-B1181,"")</f>
        <v>-0.00700000000000001</v>
      </c>
      <c r="E1181" s="4" t="s">
        <v>1572</v>
      </c>
    </row>
    <row r="1182" customFormat="false" ht="23.85" hidden="false" customHeight="false" outlineLevel="0" collapsed="false">
      <c r="A1182" s="4" t="s">
        <v>1693</v>
      </c>
      <c r="B1182" s="5" t="n">
        <v>-0.017</v>
      </c>
      <c r="C1182" s="5" t="n">
        <v>-0.04</v>
      </c>
      <c r="D1182" s="5" t="n">
        <f aca="false">IF(AND(ISNUMBER(B1182),ISNUMBER(C1182)),C1182-B1182,"")</f>
        <v>-0.023</v>
      </c>
      <c r="E1182" s="4" t="s">
        <v>1572</v>
      </c>
    </row>
    <row r="1183" customFormat="false" ht="23.85" hidden="false" customHeight="false" outlineLevel="0" collapsed="false">
      <c r="A1183" s="4" t="s">
        <v>1694</v>
      </c>
      <c r="B1183" s="5" t="n">
        <v>0.117</v>
      </c>
      <c r="C1183" s="5" t="n">
        <v>0.101</v>
      </c>
      <c r="D1183" s="5" t="n">
        <f aca="false">IF(AND(ISNUMBER(B1183),ISNUMBER(C1183)),C1183-B1183,"")</f>
        <v>-0.016</v>
      </c>
      <c r="E1183" s="4" t="s">
        <v>1572</v>
      </c>
    </row>
    <row r="1184" customFormat="false" ht="23.85" hidden="false" customHeight="false" outlineLevel="0" collapsed="false">
      <c r="A1184" s="4" t="s">
        <v>1695</v>
      </c>
      <c r="B1184" s="5" t="n">
        <v>0.04</v>
      </c>
      <c r="C1184" s="5" t="n">
        <v>0.042</v>
      </c>
      <c r="D1184" s="5" t="n">
        <f aca="false">IF(AND(ISNUMBER(B1184),ISNUMBER(C1184)),C1184-B1184,"")</f>
        <v>0.002</v>
      </c>
      <c r="E1184" s="4" t="s">
        <v>1572</v>
      </c>
    </row>
    <row r="1185" customFormat="false" ht="15" hidden="false" customHeight="false" outlineLevel="0" collapsed="false">
      <c r="A1185" s="4" t="s">
        <v>1696</v>
      </c>
      <c r="B1185" s="5" t="n">
        <v>0.078</v>
      </c>
      <c r="C1185" s="5" t="n">
        <v>0.078</v>
      </c>
      <c r="D1185" s="5" t="n">
        <f aca="false">IF(AND(ISNUMBER(B1185),ISNUMBER(C1185)),C1185-B1185,"")</f>
        <v>0</v>
      </c>
      <c r="E1185" s="4" t="s">
        <v>531</v>
      </c>
    </row>
    <row r="1186" customFormat="false" ht="23.85" hidden="false" customHeight="false" outlineLevel="0" collapsed="false">
      <c r="A1186" s="4" t="s">
        <v>1697</v>
      </c>
      <c r="B1186" s="5" t="n">
        <v>0.045</v>
      </c>
      <c r="C1186" s="5" t="n">
        <v>0.049</v>
      </c>
      <c r="D1186" s="5" t="n">
        <f aca="false">IF(AND(ISNUMBER(B1186),ISNUMBER(C1186)),C1186-B1186,"")</f>
        <v>0.004</v>
      </c>
      <c r="E1186" s="4" t="s">
        <v>1572</v>
      </c>
    </row>
    <row r="1187" customFormat="false" ht="23.85" hidden="false" customHeight="false" outlineLevel="0" collapsed="false">
      <c r="A1187" s="4" t="s">
        <v>1698</v>
      </c>
      <c r="B1187" s="5" t="n">
        <v>0.095</v>
      </c>
      <c r="C1187" s="5" t="n">
        <v>0.086</v>
      </c>
      <c r="D1187" s="5" t="n">
        <f aca="false">IF(AND(ISNUMBER(B1187),ISNUMBER(C1187)),C1187-B1187,"")</f>
        <v>-0.00900000000000001</v>
      </c>
      <c r="E1187" s="4" t="s">
        <v>1572</v>
      </c>
    </row>
    <row r="1188" customFormat="false" ht="23.85" hidden="false" customHeight="false" outlineLevel="0" collapsed="false">
      <c r="A1188" s="4" t="s">
        <v>1699</v>
      </c>
      <c r="B1188" s="5" t="n">
        <v>0.033</v>
      </c>
      <c r="C1188" s="5" t="n">
        <v>0.003</v>
      </c>
      <c r="D1188" s="5" t="n">
        <f aca="false">IF(AND(ISNUMBER(B1188),ISNUMBER(C1188)),C1188-B1188,"")</f>
        <v>-0.03</v>
      </c>
      <c r="E1188" s="4" t="s">
        <v>1572</v>
      </c>
    </row>
    <row r="1189" customFormat="false" ht="23.85" hidden="false" customHeight="false" outlineLevel="0" collapsed="false">
      <c r="A1189" s="4" t="s">
        <v>1700</v>
      </c>
      <c r="B1189" s="5" t="n">
        <v>0.135</v>
      </c>
      <c r="C1189" s="5" t="n">
        <v>0.091</v>
      </c>
      <c r="D1189" s="5" t="n">
        <f aca="false">IF(AND(ISNUMBER(B1189),ISNUMBER(C1189)),C1189-B1189,"")</f>
        <v>-0.044</v>
      </c>
      <c r="E1189" s="4" t="s">
        <v>1580</v>
      </c>
    </row>
    <row r="1190" customFormat="false" ht="23.85" hidden="false" customHeight="false" outlineLevel="0" collapsed="false">
      <c r="A1190" s="4" t="s">
        <v>1701</v>
      </c>
      <c r="B1190" s="5" t="n">
        <v>-0.149</v>
      </c>
      <c r="C1190" s="5" t="n">
        <v>-0.152</v>
      </c>
      <c r="D1190" s="5" t="n">
        <f aca="false">IF(AND(ISNUMBER(B1190),ISNUMBER(C1190)),C1190-B1190,"")</f>
        <v>-0.003</v>
      </c>
      <c r="E1190" s="4" t="s">
        <v>1572</v>
      </c>
    </row>
    <row r="1191" customFormat="false" ht="15" hidden="false" customHeight="false" outlineLevel="0" collapsed="false">
      <c r="A1191" s="4" t="s">
        <v>1702</v>
      </c>
      <c r="B1191" s="5" t="n">
        <v>0.076</v>
      </c>
      <c r="C1191" s="5" t="n">
        <v>0.076</v>
      </c>
      <c r="D1191" s="5" t="n">
        <f aca="false">IF(AND(ISNUMBER(B1191),ISNUMBER(C1191)),C1191-B1191,"")</f>
        <v>0</v>
      </c>
      <c r="E1191" s="4" t="s">
        <v>531</v>
      </c>
    </row>
    <row r="1192" customFormat="false" ht="23.85" hidden="false" customHeight="false" outlineLevel="0" collapsed="false">
      <c r="A1192" s="4" t="s">
        <v>1703</v>
      </c>
      <c r="B1192" s="5" t="n">
        <v>-0.148</v>
      </c>
      <c r="C1192" s="5" t="n">
        <v>-0.15</v>
      </c>
      <c r="D1192" s="5" t="n">
        <f aca="false">IF(AND(ISNUMBER(B1192),ISNUMBER(C1192)),C1192-B1192,"")</f>
        <v>-0.002</v>
      </c>
      <c r="E1192" s="4" t="s">
        <v>1572</v>
      </c>
    </row>
    <row r="1193" customFormat="false" ht="23.85" hidden="false" customHeight="false" outlineLevel="0" collapsed="false">
      <c r="A1193" s="4" t="s">
        <v>1704</v>
      </c>
      <c r="B1193" s="5" t="n">
        <v>0.087</v>
      </c>
      <c r="C1193" s="5" t="n">
        <v>0.079</v>
      </c>
      <c r="D1193" s="5" t="n">
        <f aca="false">IF(AND(ISNUMBER(B1193),ISNUMBER(C1193)),C1193-B1193,"")</f>
        <v>-0.00799999999999999</v>
      </c>
      <c r="E1193" s="4" t="s">
        <v>1572</v>
      </c>
    </row>
    <row r="1194" customFormat="false" ht="23.85" hidden="false" customHeight="false" outlineLevel="0" collapsed="false">
      <c r="A1194" s="4" t="s">
        <v>1705</v>
      </c>
      <c r="B1194" s="5" t="n">
        <v>-0.168</v>
      </c>
      <c r="C1194" s="5" t="n">
        <v>-0.205</v>
      </c>
      <c r="D1194" s="5" t="n">
        <f aca="false">IF(AND(ISNUMBER(B1194),ISNUMBER(C1194)),C1194-B1194,"")</f>
        <v>-0.037</v>
      </c>
      <c r="E1194" s="4" t="s">
        <v>1580</v>
      </c>
    </row>
    <row r="1195" customFormat="false" ht="23.85" hidden="false" customHeight="false" outlineLevel="0" collapsed="false">
      <c r="A1195" s="4" t="s">
        <v>1706</v>
      </c>
      <c r="B1195" s="5" t="n">
        <v>0.121</v>
      </c>
      <c r="C1195" s="5" t="n">
        <v>0.085</v>
      </c>
      <c r="D1195" s="5" t="n">
        <f aca="false">IF(AND(ISNUMBER(B1195),ISNUMBER(C1195)),C1195-B1195,"")</f>
        <v>-0.036</v>
      </c>
      <c r="E1195" s="4" t="s">
        <v>1580</v>
      </c>
    </row>
    <row r="1196" customFormat="false" ht="23.85" hidden="false" customHeight="false" outlineLevel="0" collapsed="false">
      <c r="A1196" s="4" t="s">
        <v>1707</v>
      </c>
      <c r="B1196" s="5" t="n">
        <v>-0.095</v>
      </c>
      <c r="C1196" s="5" t="n">
        <v>-0.097</v>
      </c>
      <c r="D1196" s="5" t="n">
        <f aca="false">IF(AND(ISNUMBER(B1196),ISNUMBER(C1196)),C1196-B1196,"")</f>
        <v>-0.002</v>
      </c>
      <c r="E1196" s="4" t="s">
        <v>1572</v>
      </c>
    </row>
    <row r="1197" customFormat="false" ht="15" hidden="false" customHeight="false" outlineLevel="0" collapsed="false">
      <c r="A1197" s="4" t="s">
        <v>1708</v>
      </c>
      <c r="B1197" s="5" t="n">
        <v>0.064</v>
      </c>
      <c r="C1197" s="5" t="n">
        <v>0.064</v>
      </c>
      <c r="D1197" s="5" t="n">
        <f aca="false">IF(AND(ISNUMBER(B1197),ISNUMBER(C1197)),C1197-B1197,"")</f>
        <v>0</v>
      </c>
      <c r="E1197" s="4" t="s">
        <v>531</v>
      </c>
    </row>
    <row r="1198" customFormat="false" ht="23.85" hidden="false" customHeight="false" outlineLevel="0" collapsed="false">
      <c r="A1198" s="4" t="s">
        <v>1709</v>
      </c>
      <c r="B1198" s="5" t="n">
        <v>-0.098</v>
      </c>
      <c r="C1198" s="5" t="n">
        <v>-0.103</v>
      </c>
      <c r="D1198" s="5" t="n">
        <f aca="false">IF(AND(ISNUMBER(B1198),ISNUMBER(C1198)),C1198-B1198,"")</f>
        <v>-0.00499999999999999</v>
      </c>
      <c r="E1198" s="4" t="s">
        <v>1572</v>
      </c>
    </row>
    <row r="1199" customFormat="false" ht="23.85" hidden="false" customHeight="false" outlineLevel="0" collapsed="false">
      <c r="A1199" s="4" t="s">
        <v>1710</v>
      </c>
      <c r="B1199" s="5" t="n">
        <v>0.075</v>
      </c>
      <c r="C1199" s="5" t="n">
        <v>0.068</v>
      </c>
      <c r="D1199" s="5" t="n">
        <f aca="false">IF(AND(ISNUMBER(B1199),ISNUMBER(C1199)),C1199-B1199,"")</f>
        <v>-0.00699999999999999</v>
      </c>
      <c r="E1199" s="4" t="s">
        <v>1572</v>
      </c>
    </row>
    <row r="1200" customFormat="false" ht="23.85" hidden="false" customHeight="false" outlineLevel="0" collapsed="false">
      <c r="A1200" s="4" t="s">
        <v>1711</v>
      </c>
      <c r="B1200" s="5" t="n">
        <v>-0.113</v>
      </c>
      <c r="C1200" s="5" t="n">
        <v>-0.142</v>
      </c>
      <c r="D1200" s="5" t="n">
        <f aca="false">IF(AND(ISNUMBER(B1200),ISNUMBER(C1200)),C1200-B1200,"")</f>
        <v>-0.029</v>
      </c>
      <c r="E1200" s="4" t="s">
        <v>1580</v>
      </c>
    </row>
    <row r="1201" customFormat="false" ht="23.85" hidden="false" customHeight="false" outlineLevel="0" collapsed="false">
      <c r="A1201" s="4" t="s">
        <v>1712</v>
      </c>
      <c r="B1201" s="5" t="n">
        <v>0.115</v>
      </c>
      <c r="C1201" s="5" t="n">
        <v>0.087</v>
      </c>
      <c r="D1201" s="5" t="n">
        <f aca="false">IF(AND(ISNUMBER(B1201),ISNUMBER(C1201)),C1201-B1201,"")</f>
        <v>-0.028</v>
      </c>
      <c r="E1201" s="4" t="s">
        <v>1572</v>
      </c>
    </row>
    <row r="1202" customFormat="false" ht="15" hidden="false" customHeight="false" outlineLevel="0" collapsed="false">
      <c r="A1202" s="4" t="s">
        <v>1713</v>
      </c>
      <c r="B1202" s="5" t="n">
        <v>-0.088</v>
      </c>
      <c r="C1202" s="5" t="n">
        <v>-0.089</v>
      </c>
      <c r="D1202" s="5" t="n">
        <f aca="false">IF(AND(ISNUMBER(B1202),ISNUMBER(C1202)),C1202-B1202,"")</f>
        <v>-0.001</v>
      </c>
      <c r="E1202" s="4" t="s">
        <v>531</v>
      </c>
    </row>
    <row r="1203" customFormat="false" ht="15" hidden="false" customHeight="false" outlineLevel="0" collapsed="false">
      <c r="A1203" s="4" t="s">
        <v>1714</v>
      </c>
      <c r="B1203" s="5" t="n">
        <v>0.062</v>
      </c>
      <c r="C1203" s="5" t="n">
        <v>0.061</v>
      </c>
      <c r="D1203" s="5" t="n">
        <f aca="false">IF(AND(ISNUMBER(B1203),ISNUMBER(C1203)),C1203-B1203,"")</f>
        <v>-0.001</v>
      </c>
      <c r="E1203" s="4" t="s">
        <v>531</v>
      </c>
    </row>
    <row r="1204" customFormat="false" ht="23.85" hidden="false" customHeight="false" outlineLevel="0" collapsed="false">
      <c r="A1204" s="4" t="s">
        <v>1715</v>
      </c>
      <c r="B1204" s="5" t="n">
        <v>-0.054</v>
      </c>
      <c r="C1204" s="5" t="n">
        <v>-0.065</v>
      </c>
      <c r="D1204" s="5" t="n">
        <f aca="false">IF(AND(ISNUMBER(B1204),ISNUMBER(C1204)),C1204-B1204,"")</f>
        <v>-0.011</v>
      </c>
      <c r="E1204" s="4" t="s">
        <v>1572</v>
      </c>
    </row>
    <row r="1205" customFormat="false" ht="23.85" hidden="false" customHeight="false" outlineLevel="0" collapsed="false">
      <c r="A1205" s="4" t="s">
        <v>1716</v>
      </c>
      <c r="B1205" s="5" t="n">
        <v>0.071</v>
      </c>
      <c r="C1205" s="5" t="n">
        <v>0.063</v>
      </c>
      <c r="D1205" s="5" t="n">
        <f aca="false">IF(AND(ISNUMBER(B1205),ISNUMBER(C1205)),C1205-B1205,"")</f>
        <v>-0.00799999999999999</v>
      </c>
      <c r="E1205" s="4" t="s">
        <v>1572</v>
      </c>
    </row>
    <row r="1206" customFormat="false" ht="23.85" hidden="false" customHeight="false" outlineLevel="0" collapsed="false">
      <c r="A1206" s="4" t="s">
        <v>1717</v>
      </c>
      <c r="B1206" s="5" t="n">
        <v>-0.035</v>
      </c>
      <c r="C1206" s="5" t="n">
        <v>-0.017</v>
      </c>
      <c r="D1206" s="5" t="n">
        <f aca="false">IF(AND(ISNUMBER(B1206),ISNUMBER(C1206)),C1206-B1206,"")</f>
        <v>0.018</v>
      </c>
      <c r="E1206" s="4" t="s">
        <v>1572</v>
      </c>
    </row>
    <row r="1207" customFormat="false" ht="23.85" hidden="false" customHeight="false" outlineLevel="0" collapsed="false">
      <c r="A1207" s="4" t="s">
        <v>1718</v>
      </c>
      <c r="B1207" s="5" t="n">
        <v>0.09</v>
      </c>
      <c r="C1207" s="5" t="n">
        <v>0.072</v>
      </c>
      <c r="D1207" s="5" t="n">
        <f aca="false">IF(AND(ISNUMBER(B1207),ISNUMBER(C1207)),C1207-B1207,"")</f>
        <v>-0.018</v>
      </c>
      <c r="E1207" s="4" t="s">
        <v>1572</v>
      </c>
    </row>
    <row r="1208" customFormat="false" ht="23.85" hidden="false" customHeight="false" outlineLevel="0" collapsed="false">
      <c r="A1208" s="4" t="s">
        <v>1719</v>
      </c>
      <c r="B1208" s="5" t="n">
        <v>0.271</v>
      </c>
      <c r="C1208" s="5" t="n">
        <v>0.259</v>
      </c>
      <c r="D1208" s="5" t="n">
        <f aca="false">IF(AND(ISNUMBER(B1208),ISNUMBER(C1208)),C1208-B1208,"")</f>
        <v>-0.012</v>
      </c>
      <c r="E1208" s="4" t="s">
        <v>1572</v>
      </c>
    </row>
    <row r="1209" customFormat="false" ht="15" hidden="false" customHeight="false" outlineLevel="0" collapsed="false">
      <c r="A1209" s="4" t="s">
        <v>1720</v>
      </c>
      <c r="B1209" s="5" t="n">
        <v>0.127</v>
      </c>
      <c r="C1209" s="5" t="n">
        <v>0.126</v>
      </c>
      <c r="D1209" s="5" t="n">
        <f aca="false">IF(AND(ISNUMBER(B1209),ISNUMBER(C1209)),C1209-B1209,"")</f>
        <v>-0.001</v>
      </c>
      <c r="E1209" s="4" t="s">
        <v>531</v>
      </c>
    </row>
    <row r="1210" customFormat="false" ht="23.85" hidden="false" customHeight="false" outlineLevel="0" collapsed="false">
      <c r="A1210" s="4" t="s">
        <v>1721</v>
      </c>
      <c r="B1210" s="5" t="n">
        <v>0.125</v>
      </c>
      <c r="C1210" s="5" t="n">
        <v>0.125</v>
      </c>
      <c r="D1210" s="5" t="n">
        <f aca="false">IF(AND(ISNUMBER(B1210),ISNUMBER(C1210)),C1210-B1210,"")</f>
        <v>0</v>
      </c>
      <c r="E1210" s="4" t="s">
        <v>605</v>
      </c>
    </row>
    <row r="1211" customFormat="false" ht="23.85" hidden="false" customHeight="false" outlineLevel="0" collapsed="false">
      <c r="A1211" s="4" t="s">
        <v>1722</v>
      </c>
      <c r="B1211" s="5" t="n">
        <v>0.335</v>
      </c>
      <c r="C1211" s="5" t="n">
        <v>0.297</v>
      </c>
      <c r="D1211" s="5" t="n">
        <f aca="false">IF(AND(ISNUMBER(B1211),ISNUMBER(C1211)),C1211-B1211,"")</f>
        <v>-0.038</v>
      </c>
      <c r="E1211" s="4" t="s">
        <v>1572</v>
      </c>
    </row>
    <row r="1212" customFormat="false" ht="23.85" hidden="false" customHeight="false" outlineLevel="0" collapsed="false">
      <c r="A1212" s="4" t="s">
        <v>1723</v>
      </c>
      <c r="B1212" s="5" t="n">
        <v>0.154</v>
      </c>
      <c r="C1212" s="5" t="n">
        <v>0.139</v>
      </c>
      <c r="D1212" s="5" t="n">
        <f aca="false">IF(AND(ISNUMBER(B1212),ISNUMBER(C1212)),C1212-B1212,"")</f>
        <v>-0.015</v>
      </c>
      <c r="E1212" s="4" t="s">
        <v>1572</v>
      </c>
    </row>
    <row r="1213" customFormat="false" ht="23.85" hidden="false" customHeight="false" outlineLevel="0" collapsed="false">
      <c r="A1213" s="4" t="s">
        <v>1724</v>
      </c>
      <c r="B1213" s="5" t="n">
        <v>0.143</v>
      </c>
      <c r="C1213" s="5" t="n">
        <v>0.141</v>
      </c>
      <c r="D1213" s="5" t="n">
        <f aca="false">IF(AND(ISNUMBER(B1213),ISNUMBER(C1213)),C1213-B1213,"")</f>
        <v>-0.002</v>
      </c>
      <c r="E1213" s="4" t="s">
        <v>605</v>
      </c>
    </row>
    <row r="1214" customFormat="false" ht="23.85" hidden="false" customHeight="false" outlineLevel="0" collapsed="false">
      <c r="A1214" s="4" t="s">
        <v>1725</v>
      </c>
      <c r="B1214" s="5" t="n">
        <v>0.401</v>
      </c>
      <c r="C1214" s="5" t="n">
        <v>0.323</v>
      </c>
      <c r="D1214" s="5" t="n">
        <f aca="false">IF(AND(ISNUMBER(B1214),ISNUMBER(C1214)),C1214-B1214,"")</f>
        <v>-0.078</v>
      </c>
      <c r="E1214" s="4" t="s">
        <v>1580</v>
      </c>
    </row>
    <row r="1215" customFormat="false" ht="23.85" hidden="false" customHeight="false" outlineLevel="0" collapsed="false">
      <c r="A1215" s="4" t="s">
        <v>1726</v>
      </c>
      <c r="B1215" s="5" t="n">
        <v>0.239</v>
      </c>
      <c r="C1215" s="5" t="n">
        <v>0.162</v>
      </c>
      <c r="D1215" s="5" t="n">
        <f aca="false">IF(AND(ISNUMBER(B1215),ISNUMBER(C1215)),C1215-B1215,"")</f>
        <v>-0.077</v>
      </c>
      <c r="E1215" s="4" t="s">
        <v>1580</v>
      </c>
    </row>
    <row r="1216" customFormat="false" ht="23.85" hidden="false" customHeight="false" outlineLevel="0" collapsed="false">
      <c r="A1216" s="4" t="s">
        <v>1727</v>
      </c>
      <c r="B1216" s="5" t="n">
        <v>0.273</v>
      </c>
      <c r="C1216" s="5" t="n">
        <v>0.199</v>
      </c>
      <c r="D1216" s="5" t="n">
        <f aca="false">IF(AND(ISNUMBER(B1216),ISNUMBER(C1216)),C1216-B1216,"")</f>
        <v>-0.074</v>
      </c>
      <c r="E1216" s="4" t="s">
        <v>1515</v>
      </c>
    </row>
    <row r="1217" customFormat="false" ht="23.85" hidden="false" customHeight="false" outlineLevel="0" collapsed="false">
      <c r="A1217" s="4" t="s">
        <v>1728</v>
      </c>
      <c r="B1217" s="5" t="n">
        <v>-0.476</v>
      </c>
      <c r="C1217" s="5" t="n">
        <v>-0.48</v>
      </c>
      <c r="D1217" s="5" t="n">
        <f aca="false">IF(AND(ISNUMBER(B1217),ISNUMBER(C1217)),C1217-B1217,"")</f>
        <v>-0.004</v>
      </c>
      <c r="E1217" s="4" t="s">
        <v>1572</v>
      </c>
    </row>
    <row r="1218" customFormat="false" ht="15" hidden="false" customHeight="false" outlineLevel="0" collapsed="false">
      <c r="A1218" s="4" t="s">
        <v>1729</v>
      </c>
      <c r="B1218" s="5" t="n">
        <v>0.164</v>
      </c>
      <c r="C1218" s="5" t="n">
        <v>0.164</v>
      </c>
      <c r="D1218" s="5" t="n">
        <f aca="false">IF(AND(ISNUMBER(B1218),ISNUMBER(C1218)),C1218-B1218,"")</f>
        <v>0</v>
      </c>
      <c r="E1218" s="4" t="s">
        <v>531</v>
      </c>
    </row>
    <row r="1219" customFormat="false" ht="23.85" hidden="false" customHeight="false" outlineLevel="0" collapsed="false">
      <c r="A1219" s="4" t="s">
        <v>1730</v>
      </c>
      <c r="B1219" s="5" t="n">
        <v>0.164</v>
      </c>
      <c r="C1219" s="5" t="n">
        <v>0.163</v>
      </c>
      <c r="D1219" s="5" t="n">
        <f aca="false">IF(AND(ISNUMBER(B1219),ISNUMBER(C1219)),C1219-B1219,"")</f>
        <v>-0.001</v>
      </c>
      <c r="E1219" s="4" t="s">
        <v>605</v>
      </c>
    </row>
    <row r="1220" customFormat="false" ht="15" hidden="false" customHeight="false" outlineLevel="0" collapsed="false">
      <c r="A1220" s="4" t="s">
        <v>1731</v>
      </c>
      <c r="B1220" s="5" t="n">
        <v>-0.449</v>
      </c>
      <c r="C1220" s="5" t="n">
        <v>-0.45</v>
      </c>
      <c r="D1220" s="5" t="n">
        <f aca="false">IF(AND(ISNUMBER(B1220),ISNUMBER(C1220)),C1220-B1220,"")</f>
        <v>-0.001</v>
      </c>
      <c r="E1220" s="4" t="s">
        <v>531</v>
      </c>
    </row>
    <row r="1221" customFormat="false" ht="23.85" hidden="false" customHeight="false" outlineLevel="0" collapsed="false">
      <c r="A1221" s="4" t="s">
        <v>1732</v>
      </c>
      <c r="B1221" s="5" t="n">
        <v>0.201</v>
      </c>
      <c r="C1221" s="5" t="n">
        <v>0.177</v>
      </c>
      <c r="D1221" s="5" t="n">
        <f aca="false">IF(AND(ISNUMBER(B1221),ISNUMBER(C1221)),C1221-B1221,"")</f>
        <v>-0.024</v>
      </c>
      <c r="E1221" s="4" t="s">
        <v>1572</v>
      </c>
    </row>
    <row r="1222" customFormat="false" ht="23.85" hidden="false" customHeight="false" outlineLevel="0" collapsed="false">
      <c r="A1222" s="4" t="s">
        <v>1733</v>
      </c>
      <c r="B1222" s="5" t="n">
        <v>0.187</v>
      </c>
      <c r="C1222" s="5" t="n">
        <v>0.186</v>
      </c>
      <c r="D1222" s="5" t="n">
        <f aca="false">IF(AND(ISNUMBER(B1222),ISNUMBER(C1222)),C1222-B1222,"")</f>
        <v>-0.001</v>
      </c>
      <c r="E1222" s="4" t="s">
        <v>605</v>
      </c>
    </row>
    <row r="1223" customFormat="false" ht="23.85" hidden="false" customHeight="false" outlineLevel="0" collapsed="false">
      <c r="A1223" s="4" t="s">
        <v>1734</v>
      </c>
      <c r="B1223" s="5" t="n">
        <v>-0.381</v>
      </c>
      <c r="C1223" s="5" t="n">
        <v>-0.447</v>
      </c>
      <c r="D1223" s="5" t="n">
        <f aca="false">IF(AND(ISNUMBER(B1223),ISNUMBER(C1223)),C1223-B1223,"")</f>
        <v>-0.066</v>
      </c>
      <c r="E1223" s="4" t="s">
        <v>1572</v>
      </c>
    </row>
    <row r="1224" customFormat="false" ht="23.85" hidden="false" customHeight="false" outlineLevel="0" collapsed="false">
      <c r="A1224" s="4" t="s">
        <v>1735</v>
      </c>
      <c r="B1224" s="5" t="n">
        <v>0.322</v>
      </c>
      <c r="C1224" s="5" t="n">
        <v>0.199</v>
      </c>
      <c r="D1224" s="5" t="n">
        <f aca="false">IF(AND(ISNUMBER(B1224),ISNUMBER(C1224)),C1224-B1224,"")</f>
        <v>-0.123</v>
      </c>
      <c r="E1224" s="4" t="s">
        <v>1580</v>
      </c>
    </row>
    <row r="1225" customFormat="false" ht="23.85" hidden="false" customHeight="false" outlineLevel="0" collapsed="false">
      <c r="A1225" s="4" t="s">
        <v>1736</v>
      </c>
      <c r="B1225" s="5" t="n">
        <v>0.345</v>
      </c>
      <c r="C1225" s="5" t="n">
        <v>0.243</v>
      </c>
      <c r="D1225" s="5" t="n">
        <f aca="false">IF(AND(ISNUMBER(B1225),ISNUMBER(C1225)),C1225-B1225,"")</f>
        <v>-0.102</v>
      </c>
      <c r="E1225" s="4" t="s">
        <v>1737</v>
      </c>
    </row>
    <row r="1226" customFormat="false" ht="23.85" hidden="false" customHeight="false" outlineLevel="0" collapsed="false">
      <c r="A1226" s="4" t="s">
        <v>1738</v>
      </c>
      <c r="B1226" s="5" t="n">
        <v>-0.081</v>
      </c>
      <c r="C1226" s="5" t="n">
        <v>-0.089</v>
      </c>
      <c r="D1226" s="5" t="n">
        <f aca="false">IF(AND(ISNUMBER(B1226),ISNUMBER(C1226)),C1226-B1226,"")</f>
        <v>-0.00799999999999999</v>
      </c>
      <c r="E1226" s="4" t="s">
        <v>1572</v>
      </c>
    </row>
    <row r="1227" customFormat="false" ht="15" hidden="false" customHeight="false" outlineLevel="0" collapsed="false">
      <c r="A1227" s="4" t="s">
        <v>1739</v>
      </c>
      <c r="B1227" s="5" t="n">
        <v>0.14</v>
      </c>
      <c r="C1227" s="5" t="n">
        <v>0.141</v>
      </c>
      <c r="D1227" s="5" t="n">
        <f aca="false">IF(AND(ISNUMBER(B1227),ISNUMBER(C1227)),C1227-B1227,"")</f>
        <v>0.000999999999999973</v>
      </c>
      <c r="E1227" s="4" t="s">
        <v>531</v>
      </c>
    </row>
    <row r="1228" customFormat="false" ht="23.85" hidden="false" customHeight="false" outlineLevel="0" collapsed="false">
      <c r="A1228" s="4" t="s">
        <v>1740</v>
      </c>
      <c r="B1228" s="5" t="n">
        <v>0.142</v>
      </c>
      <c r="C1228" s="5" t="n">
        <v>0.141</v>
      </c>
      <c r="D1228" s="5" t="n">
        <f aca="false">IF(AND(ISNUMBER(B1228),ISNUMBER(C1228)),C1228-B1228,"")</f>
        <v>-0.001</v>
      </c>
      <c r="E1228" s="4" t="s">
        <v>605</v>
      </c>
    </row>
    <row r="1229" customFormat="false" ht="23.85" hidden="false" customHeight="false" outlineLevel="0" collapsed="false">
      <c r="A1229" s="4" t="s">
        <v>1741</v>
      </c>
      <c r="B1229" s="5" t="n">
        <v>-0.148</v>
      </c>
      <c r="C1229" s="5" t="n">
        <v>-0.137</v>
      </c>
      <c r="D1229" s="5" t="n">
        <f aca="false">IF(AND(ISNUMBER(B1229),ISNUMBER(C1229)),C1229-B1229,"")</f>
        <v>0.011</v>
      </c>
      <c r="E1229" s="4" t="s">
        <v>1572</v>
      </c>
    </row>
    <row r="1230" customFormat="false" ht="23.85" hidden="false" customHeight="false" outlineLevel="0" collapsed="false">
      <c r="A1230" s="4" t="s">
        <v>1742</v>
      </c>
      <c r="B1230" s="5" t="n">
        <v>0.172</v>
      </c>
      <c r="C1230" s="5" t="n">
        <v>0.151</v>
      </c>
      <c r="D1230" s="5" t="n">
        <f aca="false">IF(AND(ISNUMBER(B1230),ISNUMBER(C1230)),C1230-B1230,"")</f>
        <v>-0.021</v>
      </c>
      <c r="E1230" s="4" t="s">
        <v>1572</v>
      </c>
    </row>
    <row r="1231" customFormat="false" ht="23.85" hidden="false" customHeight="false" outlineLevel="0" collapsed="false">
      <c r="A1231" s="4" t="s">
        <v>1743</v>
      </c>
      <c r="B1231" s="5" t="n">
        <v>0.16</v>
      </c>
      <c r="C1231" s="5" t="n">
        <v>0.157</v>
      </c>
      <c r="D1231" s="5" t="n">
        <f aca="false">IF(AND(ISNUMBER(B1231),ISNUMBER(C1231)),C1231-B1231,"")</f>
        <v>-0.003</v>
      </c>
      <c r="E1231" s="4" t="s">
        <v>605</v>
      </c>
    </row>
    <row r="1232" customFormat="false" ht="23.85" hidden="false" customHeight="false" outlineLevel="0" collapsed="false">
      <c r="A1232" s="4" t="s">
        <v>1744</v>
      </c>
      <c r="B1232" s="5" t="n">
        <v>-0.096</v>
      </c>
      <c r="C1232" s="5" t="n">
        <v>-0.201</v>
      </c>
      <c r="D1232" s="5" t="n">
        <f aca="false">IF(AND(ISNUMBER(B1232),ISNUMBER(C1232)),C1232-B1232,"")</f>
        <v>-0.105</v>
      </c>
      <c r="E1232" s="4" t="s">
        <v>1580</v>
      </c>
    </row>
    <row r="1233" customFormat="false" ht="23.85" hidden="false" customHeight="false" outlineLevel="0" collapsed="false">
      <c r="A1233" s="4" t="s">
        <v>1745</v>
      </c>
      <c r="B1233" s="5" t="n">
        <v>0.276</v>
      </c>
      <c r="C1233" s="5" t="n">
        <v>0.239</v>
      </c>
      <c r="D1233" s="5" t="n">
        <f aca="false">IF(AND(ISNUMBER(B1233),ISNUMBER(C1233)),C1233-B1233,"")</f>
        <v>-0.037</v>
      </c>
      <c r="E1233" s="4" t="s">
        <v>1572</v>
      </c>
    </row>
    <row r="1234" customFormat="false" ht="23.85" hidden="false" customHeight="false" outlineLevel="0" collapsed="false">
      <c r="A1234" s="4" t="s">
        <v>1746</v>
      </c>
      <c r="B1234" s="5" t="n">
        <v>0.301</v>
      </c>
      <c r="C1234" s="5" t="n">
        <v>0.213</v>
      </c>
      <c r="D1234" s="5" t="n">
        <f aca="false">IF(AND(ISNUMBER(B1234),ISNUMBER(C1234)),C1234-B1234,"")</f>
        <v>-0.088</v>
      </c>
      <c r="E1234" s="4" t="s">
        <v>1612</v>
      </c>
    </row>
    <row r="1235" customFormat="false" ht="23.85" hidden="false" customHeight="false" outlineLevel="0" collapsed="false">
      <c r="A1235" s="4" t="s">
        <v>1747</v>
      </c>
      <c r="B1235" s="5" t="n">
        <v>0.102</v>
      </c>
      <c r="C1235" s="5" t="n">
        <v>0.094</v>
      </c>
      <c r="D1235" s="5" t="n">
        <f aca="false">IF(AND(ISNUMBER(B1235),ISNUMBER(C1235)),C1235-B1235,"")</f>
        <v>-0.00799999999999999</v>
      </c>
      <c r="E1235" s="4" t="s">
        <v>1572</v>
      </c>
    </row>
    <row r="1236" customFormat="false" ht="15" hidden="false" customHeight="false" outlineLevel="0" collapsed="false">
      <c r="A1236" s="4" t="s">
        <v>1748</v>
      </c>
      <c r="B1236" s="5" t="n">
        <v>0.142</v>
      </c>
      <c r="C1236" s="5" t="n">
        <v>0.142</v>
      </c>
      <c r="D1236" s="5" t="n">
        <f aca="false">IF(AND(ISNUMBER(B1236),ISNUMBER(C1236)),C1236-B1236,"")</f>
        <v>0</v>
      </c>
      <c r="E1236" s="4" t="s">
        <v>531</v>
      </c>
    </row>
    <row r="1237" customFormat="false" ht="23.85" hidden="false" customHeight="false" outlineLevel="0" collapsed="false">
      <c r="A1237" s="4" t="s">
        <v>1749</v>
      </c>
      <c r="B1237" s="5" t="n">
        <v>0.143</v>
      </c>
      <c r="C1237" s="5" t="n">
        <v>0.141</v>
      </c>
      <c r="D1237" s="5" t="n">
        <f aca="false">IF(AND(ISNUMBER(B1237),ISNUMBER(C1237)),C1237-B1237,"")</f>
        <v>-0.002</v>
      </c>
      <c r="E1237" s="4" t="s">
        <v>605</v>
      </c>
    </row>
    <row r="1238" customFormat="false" ht="23.85" hidden="false" customHeight="false" outlineLevel="0" collapsed="false">
      <c r="A1238" s="4" t="s">
        <v>1750</v>
      </c>
      <c r="B1238" s="5" t="n">
        <v>0.11</v>
      </c>
      <c r="C1238" s="5" t="n">
        <v>0.097</v>
      </c>
      <c r="D1238" s="5" t="n">
        <f aca="false">IF(AND(ISNUMBER(B1238),ISNUMBER(C1238)),C1238-B1238,"")</f>
        <v>-0.013</v>
      </c>
      <c r="E1238" s="4" t="s">
        <v>1572</v>
      </c>
    </row>
    <row r="1239" customFormat="false" ht="23.85" hidden="false" customHeight="false" outlineLevel="0" collapsed="false">
      <c r="A1239" s="4" t="s">
        <v>1751</v>
      </c>
      <c r="B1239" s="5" t="n">
        <v>0.174</v>
      </c>
      <c r="C1239" s="5" t="n">
        <v>0.151</v>
      </c>
      <c r="D1239" s="5" t="n">
        <f aca="false">IF(AND(ISNUMBER(B1239),ISNUMBER(C1239)),C1239-B1239,"")</f>
        <v>-0.023</v>
      </c>
      <c r="E1239" s="4" t="s">
        <v>1572</v>
      </c>
    </row>
    <row r="1240" customFormat="false" ht="23.85" hidden="false" customHeight="false" outlineLevel="0" collapsed="false">
      <c r="A1240" s="4" t="s">
        <v>1752</v>
      </c>
      <c r="B1240" s="5" t="n">
        <v>0.163</v>
      </c>
      <c r="C1240" s="5" t="n">
        <v>0.16</v>
      </c>
      <c r="D1240" s="5" t="n">
        <f aca="false">IF(AND(ISNUMBER(B1240),ISNUMBER(C1240)),C1240-B1240,"")</f>
        <v>-0.003</v>
      </c>
      <c r="E1240" s="4" t="s">
        <v>605</v>
      </c>
    </row>
    <row r="1241" customFormat="false" ht="23.85" hidden="false" customHeight="false" outlineLevel="0" collapsed="false">
      <c r="A1241" s="4" t="s">
        <v>1753</v>
      </c>
      <c r="B1241" s="5" t="n">
        <v>0.185</v>
      </c>
      <c r="C1241" s="5" t="n">
        <v>0.065</v>
      </c>
      <c r="D1241" s="5" t="n">
        <f aca="false">IF(AND(ISNUMBER(B1241),ISNUMBER(C1241)),C1241-B1241,"")</f>
        <v>-0.12</v>
      </c>
      <c r="E1241" s="4" t="s">
        <v>1580</v>
      </c>
    </row>
    <row r="1242" customFormat="false" ht="23.85" hidden="false" customHeight="false" outlineLevel="0" collapsed="false">
      <c r="A1242" s="4" t="s">
        <v>1754</v>
      </c>
      <c r="B1242" s="5" t="n">
        <v>0.291</v>
      </c>
      <c r="C1242" s="5" t="n">
        <v>0.191</v>
      </c>
      <c r="D1242" s="5" t="n">
        <f aca="false">IF(AND(ISNUMBER(B1242),ISNUMBER(C1242)),C1242-B1242,"")</f>
        <v>-0.1</v>
      </c>
      <c r="E1242" s="4" t="s">
        <v>1580</v>
      </c>
    </row>
    <row r="1243" customFormat="false" ht="23.85" hidden="false" customHeight="false" outlineLevel="0" collapsed="false">
      <c r="A1243" s="4" t="s">
        <v>1755</v>
      </c>
      <c r="B1243" s="5" t="n">
        <v>0.328</v>
      </c>
      <c r="C1243" s="5" t="n">
        <v>0.235</v>
      </c>
      <c r="D1243" s="5" t="n">
        <f aca="false">IF(AND(ISNUMBER(B1243),ISNUMBER(C1243)),C1243-B1243,"")</f>
        <v>-0.093</v>
      </c>
      <c r="E1243" s="4" t="s">
        <v>1756</v>
      </c>
    </row>
    <row r="1244" customFormat="false" ht="15" hidden="false" customHeight="false" outlineLevel="0" collapsed="false">
      <c r="A1244" s="4" t="s">
        <v>1757</v>
      </c>
      <c r="B1244" s="5" t="n">
        <v>0.85</v>
      </c>
      <c r="C1244" s="5" t="n">
        <v>0.85</v>
      </c>
      <c r="D1244" s="5" t="n">
        <f aca="false">IF(AND(ISNUMBER(B1244),ISNUMBER(C1244)),C1244-B1244,"")</f>
        <v>0</v>
      </c>
      <c r="E1244" s="4" t="s">
        <v>531</v>
      </c>
    </row>
    <row r="1245" customFormat="false" ht="15" hidden="false" customHeight="false" outlineLevel="0" collapsed="false">
      <c r="A1245" s="4" t="s">
        <v>1758</v>
      </c>
      <c r="B1245" s="5" t="n">
        <v>0.15</v>
      </c>
      <c r="C1245" s="5" t="n">
        <v>0.15</v>
      </c>
      <c r="D1245" s="5" t="n">
        <f aca="false">IF(AND(ISNUMBER(B1245),ISNUMBER(C1245)),C1245-B1245,"")</f>
        <v>0</v>
      </c>
      <c r="E1245" s="4" t="s">
        <v>531</v>
      </c>
    </row>
    <row r="1246" customFormat="false" ht="15" hidden="false" customHeight="false" outlineLevel="0" collapsed="false">
      <c r="A1246" s="4" t="s">
        <v>1759</v>
      </c>
      <c r="B1246" s="5" t="n">
        <v>0.848</v>
      </c>
      <c r="C1246" s="5" t="n">
        <v>0.848</v>
      </c>
      <c r="D1246" s="5" t="n">
        <f aca="false">IF(AND(ISNUMBER(B1246),ISNUMBER(C1246)),C1246-B1246,"")</f>
        <v>0</v>
      </c>
      <c r="E1246" s="4" t="s">
        <v>531</v>
      </c>
    </row>
    <row r="1247" customFormat="false" ht="15" hidden="false" customHeight="false" outlineLevel="0" collapsed="false">
      <c r="A1247" s="4" t="s">
        <v>1760</v>
      </c>
      <c r="B1247" s="5" t="n">
        <v>0.153</v>
      </c>
      <c r="C1247" s="5" t="n">
        <v>0.153</v>
      </c>
      <c r="D1247" s="5" t="n">
        <f aca="false">IF(AND(ISNUMBER(B1247),ISNUMBER(C1247)),C1247-B1247,"")</f>
        <v>0</v>
      </c>
      <c r="E1247" s="4" t="s">
        <v>531</v>
      </c>
    </row>
    <row r="1248" customFormat="false" ht="15" hidden="false" customHeight="false" outlineLevel="0" collapsed="false">
      <c r="A1248" s="4" t="s">
        <v>1761</v>
      </c>
      <c r="B1248" s="5" t="n">
        <v>0.846</v>
      </c>
      <c r="C1248" s="5" t="n">
        <v>0.846</v>
      </c>
      <c r="D1248" s="5" t="n">
        <f aca="false">IF(AND(ISNUMBER(B1248),ISNUMBER(C1248)),C1248-B1248,"")</f>
        <v>0</v>
      </c>
      <c r="E1248" s="4" t="s">
        <v>531</v>
      </c>
    </row>
    <row r="1249" customFormat="false" ht="15" hidden="false" customHeight="false" outlineLevel="0" collapsed="false">
      <c r="A1249" s="4" t="s">
        <v>1762</v>
      </c>
      <c r="B1249" s="5" t="n">
        <v>0.153</v>
      </c>
      <c r="C1249" s="5" t="n">
        <v>0.153</v>
      </c>
      <c r="D1249" s="5" t="n">
        <f aca="false">IF(AND(ISNUMBER(B1249),ISNUMBER(C1249)),C1249-B1249,"")</f>
        <v>0</v>
      </c>
      <c r="E1249" s="4" t="s">
        <v>531</v>
      </c>
    </row>
    <row r="1250" customFormat="false" ht="15" hidden="false" customHeight="false" outlineLevel="0" collapsed="false">
      <c r="A1250" s="4" t="s">
        <v>1763</v>
      </c>
      <c r="B1250" s="5" t="n">
        <v>0.845</v>
      </c>
      <c r="C1250" s="5" t="n">
        <v>0.842</v>
      </c>
      <c r="D1250" s="5" t="n">
        <f aca="false">IF(AND(ISNUMBER(B1250),ISNUMBER(C1250)),C1250-B1250,"")</f>
        <v>-0.003</v>
      </c>
      <c r="E1250" s="4" t="s">
        <v>1235</v>
      </c>
    </row>
    <row r="1251" customFormat="false" ht="15" hidden="false" customHeight="false" outlineLevel="0" collapsed="false">
      <c r="A1251" s="4" t="s">
        <v>1764</v>
      </c>
      <c r="B1251" s="5" t="n">
        <v>0.154</v>
      </c>
      <c r="C1251" s="5" t="n">
        <v>0.155</v>
      </c>
      <c r="D1251" s="5" t="n">
        <f aca="false">IF(AND(ISNUMBER(B1251),ISNUMBER(C1251)),C1251-B1251,"")</f>
        <v>0.001</v>
      </c>
      <c r="E1251" s="4" t="s">
        <v>531</v>
      </c>
    </row>
    <row r="1252" customFormat="false" ht="15" hidden="false" customHeight="false" outlineLevel="0" collapsed="false">
      <c r="A1252" s="4" t="s">
        <v>1765</v>
      </c>
      <c r="B1252" s="5" t="n">
        <v>0.03</v>
      </c>
      <c r="C1252" s="5" t="n">
        <v>0.026</v>
      </c>
      <c r="D1252" s="5" t="n">
        <f aca="false">IF(AND(ISNUMBER(B1252),ISNUMBER(C1252)),C1252-B1252,"")</f>
        <v>-0.004</v>
      </c>
      <c r="E1252" s="4" t="s">
        <v>1235</v>
      </c>
    </row>
    <row r="1253" customFormat="false" ht="15" hidden="false" customHeight="false" outlineLevel="0" collapsed="false">
      <c r="A1253" s="4" t="s">
        <v>1766</v>
      </c>
      <c r="B1253" s="5" t="n">
        <v>0.009</v>
      </c>
      <c r="C1253" s="5" t="n">
        <v>0.007</v>
      </c>
      <c r="D1253" s="5" t="n">
        <f aca="false">IF(AND(ISNUMBER(B1253),ISNUMBER(C1253)),C1253-B1253,"")</f>
        <v>-0.002</v>
      </c>
      <c r="E1253" s="4" t="s">
        <v>1235</v>
      </c>
    </row>
    <row r="1254" customFormat="false" ht="15" hidden="false" customHeight="false" outlineLevel="0" collapsed="false">
      <c r="A1254" s="4" t="s">
        <v>1767</v>
      </c>
      <c r="B1254" s="5" t="n">
        <v>0.015</v>
      </c>
      <c r="C1254" s="5" t="n">
        <v>0.015</v>
      </c>
      <c r="D1254" s="5" t="n">
        <f aca="false">IF(AND(ISNUMBER(B1254),ISNUMBER(C1254)),C1254-B1254,"")</f>
        <v>0</v>
      </c>
      <c r="E1254" s="4" t="s">
        <v>531</v>
      </c>
    </row>
    <row r="1255" customFormat="false" ht="15" hidden="false" customHeight="false" outlineLevel="0" collapsed="false">
      <c r="A1255" s="4" t="s">
        <v>1768</v>
      </c>
      <c r="B1255" s="5" t="n">
        <v>0</v>
      </c>
      <c r="C1255" s="5" t="n">
        <v>-0.001</v>
      </c>
      <c r="D1255" s="5" t="n">
        <f aca="false">IF(AND(ISNUMBER(B1255),ISNUMBER(C1255)),C1255-B1255,"")</f>
        <v>-0.001</v>
      </c>
      <c r="E1255" s="4" t="s">
        <v>531</v>
      </c>
    </row>
    <row r="1256" customFormat="false" ht="15" hidden="false" customHeight="false" outlineLevel="0" collapsed="false">
      <c r="A1256" s="4" t="s">
        <v>1769</v>
      </c>
      <c r="B1256" s="5" t="n">
        <v>0.009</v>
      </c>
      <c r="C1256" s="5" t="n">
        <v>0.004</v>
      </c>
      <c r="D1256" s="5" t="n">
        <f aca="false">IF(AND(ISNUMBER(B1256),ISNUMBER(C1256)),C1256-B1256,"")</f>
        <v>-0.005</v>
      </c>
      <c r="E1256" s="4" t="s">
        <v>1235</v>
      </c>
    </row>
    <row r="1257" customFormat="false" ht="15" hidden="false" customHeight="false" outlineLevel="0" collapsed="false">
      <c r="A1257" s="4" t="s">
        <v>1770</v>
      </c>
      <c r="B1257" s="5" t="n">
        <v>0.022</v>
      </c>
      <c r="C1257" s="5" t="n">
        <v>0.019</v>
      </c>
      <c r="D1257" s="5" t="n">
        <f aca="false">IF(AND(ISNUMBER(B1257),ISNUMBER(C1257)),C1257-B1257,"")</f>
        <v>-0.003</v>
      </c>
      <c r="E1257" s="4" t="s">
        <v>1235</v>
      </c>
    </row>
    <row r="1258" customFormat="false" ht="15" hidden="false" customHeight="false" outlineLevel="0" collapsed="false">
      <c r="A1258" s="4" t="s">
        <v>1771</v>
      </c>
      <c r="B1258" s="5" t="n">
        <v>0.074</v>
      </c>
      <c r="C1258" s="5" t="n">
        <v>0.064</v>
      </c>
      <c r="D1258" s="5" t="n">
        <f aca="false">IF(AND(ISNUMBER(B1258),ISNUMBER(C1258)),C1258-B1258,"")</f>
        <v>-0.01</v>
      </c>
      <c r="E1258" s="4" t="s">
        <v>1235</v>
      </c>
    </row>
    <row r="1259" customFormat="false" ht="15" hidden="false" customHeight="false" outlineLevel="0" collapsed="false">
      <c r="A1259" s="4" t="s">
        <v>1772</v>
      </c>
      <c r="B1259" s="5" t="n">
        <v>0.152</v>
      </c>
      <c r="C1259" s="5" t="n">
        <v>0.142</v>
      </c>
      <c r="D1259" s="5" t="n">
        <f aca="false">IF(AND(ISNUMBER(B1259),ISNUMBER(C1259)),C1259-B1259,"")</f>
        <v>-0.01</v>
      </c>
      <c r="E1259" s="4" t="s">
        <v>1235</v>
      </c>
    </row>
    <row r="1260" customFormat="false" ht="15" hidden="false" customHeight="false" outlineLevel="0" collapsed="false">
      <c r="A1260" s="4" t="s">
        <v>1773</v>
      </c>
      <c r="B1260" s="5" t="n">
        <v>0.005</v>
      </c>
      <c r="C1260" s="5" t="n">
        <v>0.011</v>
      </c>
      <c r="D1260" s="5" t="n">
        <f aca="false">IF(AND(ISNUMBER(B1260),ISNUMBER(C1260)),C1260-B1260,"")</f>
        <v>0.006</v>
      </c>
      <c r="E1260" s="4" t="s">
        <v>1235</v>
      </c>
    </row>
    <row r="1261" customFormat="false" ht="15" hidden="false" customHeight="false" outlineLevel="0" collapsed="false">
      <c r="A1261" s="4" t="s">
        <v>1774</v>
      </c>
      <c r="B1261" s="5" t="n">
        <v>0.314</v>
      </c>
      <c r="C1261" s="5" t="n">
        <v>0.314</v>
      </c>
      <c r="D1261" s="5" t="n">
        <f aca="false">IF(AND(ISNUMBER(B1261),ISNUMBER(C1261)),C1261-B1261,"")</f>
        <v>0</v>
      </c>
      <c r="E1261" s="4" t="s">
        <v>531</v>
      </c>
    </row>
    <row r="1262" customFormat="false" ht="23.85" hidden="false" customHeight="false" outlineLevel="0" collapsed="false">
      <c r="A1262" s="4" t="s">
        <v>1775</v>
      </c>
      <c r="B1262" s="5" t="n">
        <v>0.538</v>
      </c>
      <c r="C1262" s="5" t="n">
        <v>0.54</v>
      </c>
      <c r="D1262" s="5" t="n">
        <f aca="false">IF(AND(ISNUMBER(B1262),ISNUMBER(C1262)),C1262-B1262,"")</f>
        <v>0.002</v>
      </c>
      <c r="E1262" s="4" t="s">
        <v>556</v>
      </c>
    </row>
    <row r="1263" customFormat="false" ht="15" hidden="false" customHeight="false" outlineLevel="0" collapsed="false">
      <c r="A1263" s="4" t="s">
        <v>1776</v>
      </c>
      <c r="B1263" s="5" t="n">
        <v>0.269</v>
      </c>
      <c r="C1263" s="5" t="n">
        <v>0.27</v>
      </c>
      <c r="D1263" s="5" t="n">
        <f aca="false">IF(AND(ISNUMBER(B1263),ISNUMBER(C1263)),C1263-B1263,"")</f>
        <v>0.001</v>
      </c>
      <c r="E1263" s="4" t="s">
        <v>531</v>
      </c>
    </row>
    <row r="1264" customFormat="false" ht="15" hidden="false" customHeight="false" outlineLevel="0" collapsed="false">
      <c r="A1264" s="4" t="s">
        <v>1777</v>
      </c>
      <c r="B1264" s="5" t="n">
        <v>0.582</v>
      </c>
      <c r="C1264" s="5" t="n">
        <v>0.581</v>
      </c>
      <c r="D1264" s="5" t="n">
        <f aca="false">IF(AND(ISNUMBER(B1264),ISNUMBER(C1264)),C1264-B1264,"")</f>
        <v>-0.001</v>
      </c>
      <c r="E1264" s="4" t="s">
        <v>531</v>
      </c>
    </row>
    <row r="1265" customFormat="false" ht="15" hidden="false" customHeight="false" outlineLevel="0" collapsed="false">
      <c r="A1265" s="4" t="s">
        <v>1778</v>
      </c>
      <c r="B1265" s="5" t="n">
        <v>77</v>
      </c>
      <c r="C1265" s="5" t="n">
        <v>77</v>
      </c>
      <c r="D1265" s="5" t="n">
        <f aca="false">IF(AND(ISNUMBER(B1265),ISNUMBER(C1265)),C1265-B1265,"")</f>
        <v>0</v>
      </c>
      <c r="E1265" s="4" t="s">
        <v>531</v>
      </c>
    </row>
    <row r="1266" customFormat="false" ht="15" hidden="false" customHeight="false" outlineLevel="0" collapsed="false">
      <c r="A1266" s="4" t="s">
        <v>1779</v>
      </c>
      <c r="B1266" s="5" t="n">
        <v>90</v>
      </c>
      <c r="C1266" s="5" t="n">
        <v>89</v>
      </c>
      <c r="D1266" s="5" t="n">
        <f aca="false">IF(AND(ISNUMBER(B1266),ISNUMBER(C1266)),C1266-B1266,"")</f>
        <v>-1</v>
      </c>
      <c r="E1266" s="4" t="s">
        <v>1780</v>
      </c>
    </row>
    <row r="1267" customFormat="false" ht="15" hidden="false" customHeight="false" outlineLevel="0" collapsed="false">
      <c r="A1267" s="4" t="s">
        <v>1781</v>
      </c>
      <c r="B1267" s="5" t="s">
        <v>27</v>
      </c>
      <c r="C1267" s="5" t="s">
        <v>27</v>
      </c>
      <c r="D1267" s="5" t="str">
        <f aca="false">IF(AND(ISNUMBER(B1267),ISNUMBER(C1267)),C1267-B1267,"")</f>
        <v/>
      </c>
      <c r="E1267" s="4" t="s">
        <v>531</v>
      </c>
    </row>
    <row r="1268" customFormat="false" ht="15" hidden="false" customHeight="false" outlineLevel="0" collapsed="false">
      <c r="A1268" s="4" t="s">
        <v>1782</v>
      </c>
      <c r="B1268" s="5" t="n">
        <v>0.562</v>
      </c>
      <c r="C1268" s="5" t="n">
        <v>0.562</v>
      </c>
      <c r="D1268" s="5" t="n">
        <f aca="false">IF(AND(ISNUMBER(B1268),ISNUMBER(C1268)),C1268-B1268,"")</f>
        <v>0</v>
      </c>
      <c r="E1268" s="4" t="s">
        <v>531</v>
      </c>
    </row>
    <row r="1269" customFormat="false" ht="15" hidden="false" customHeight="false" outlineLevel="0" collapsed="false">
      <c r="A1269" s="4" t="s">
        <v>1783</v>
      </c>
      <c r="B1269" s="5" t="n">
        <v>0.564</v>
      </c>
      <c r="C1269" s="5" t="n">
        <v>0.564</v>
      </c>
      <c r="D1269" s="5" t="n">
        <f aca="false">IF(AND(ISNUMBER(B1269),ISNUMBER(C1269)),C1269-B1269,"")</f>
        <v>0</v>
      </c>
      <c r="E1269" s="4" t="s">
        <v>531</v>
      </c>
    </row>
    <row r="1270" customFormat="false" ht="15" hidden="false" customHeight="false" outlineLevel="0" collapsed="false">
      <c r="A1270" s="4" t="s">
        <v>1784</v>
      </c>
      <c r="B1270" s="5" t="n">
        <v>0.858</v>
      </c>
      <c r="C1270" s="5" t="n">
        <v>0.858</v>
      </c>
      <c r="D1270" s="5" t="n">
        <f aca="false">IF(AND(ISNUMBER(B1270),ISNUMBER(C1270)),C1270-B1270,"")</f>
        <v>0</v>
      </c>
      <c r="E1270" s="4" t="s">
        <v>531</v>
      </c>
    </row>
    <row r="1271" customFormat="false" ht="23.85" hidden="false" customHeight="false" outlineLevel="0" collapsed="false">
      <c r="A1271" s="4" t="s">
        <v>1785</v>
      </c>
      <c r="B1271" s="5" t="n">
        <v>0.849</v>
      </c>
      <c r="C1271" s="5" t="n">
        <v>0.849</v>
      </c>
      <c r="D1271" s="5" t="n">
        <f aca="false">IF(AND(ISNUMBER(B1271),ISNUMBER(C1271)),C1271-B1271,"")</f>
        <v>0</v>
      </c>
      <c r="E1271" s="4" t="s">
        <v>531</v>
      </c>
    </row>
    <row r="1272" customFormat="false" ht="15" hidden="false" customHeight="false" outlineLevel="0" collapsed="false">
      <c r="A1272" s="4" t="s">
        <v>1786</v>
      </c>
      <c r="B1272" s="5" t="n">
        <v>0.845</v>
      </c>
      <c r="C1272" s="5" t="n">
        <v>0.845</v>
      </c>
      <c r="D1272" s="5" t="n">
        <f aca="false">IF(AND(ISNUMBER(B1272),ISNUMBER(C1272)),C1272-B1272,"")</f>
        <v>0</v>
      </c>
      <c r="E1272" s="4" t="s">
        <v>531</v>
      </c>
    </row>
    <row r="1273" customFormat="false" ht="15" hidden="false" customHeight="false" outlineLevel="0" collapsed="false">
      <c r="A1273" s="4" t="s">
        <v>1787</v>
      </c>
      <c r="B1273" s="5" t="n">
        <v>0.86</v>
      </c>
      <c r="C1273" s="5" t="n">
        <v>0.86</v>
      </c>
      <c r="D1273" s="5" t="n">
        <f aca="false">IF(AND(ISNUMBER(B1273),ISNUMBER(C1273)),C1273-B1273,"")</f>
        <v>0</v>
      </c>
      <c r="E1273" s="4" t="s">
        <v>531</v>
      </c>
    </row>
    <row r="1274" customFormat="false" ht="15" hidden="false" customHeight="false" outlineLevel="0" collapsed="false">
      <c r="A1274" s="4" t="s">
        <v>1788</v>
      </c>
      <c r="B1274" s="5" t="n">
        <v>0.573</v>
      </c>
      <c r="C1274" s="5" t="n">
        <v>0.573</v>
      </c>
      <c r="D1274" s="5" t="n">
        <f aca="false">IF(AND(ISNUMBER(B1274),ISNUMBER(C1274)),C1274-B1274,"")</f>
        <v>0</v>
      </c>
      <c r="E1274" s="4" t="s">
        <v>531</v>
      </c>
    </row>
    <row r="1275" customFormat="false" ht="15" hidden="false" customHeight="false" outlineLevel="0" collapsed="false">
      <c r="A1275" s="4" t="s">
        <v>1789</v>
      </c>
      <c r="B1275" s="5" t="n">
        <v>0.542</v>
      </c>
      <c r="C1275" s="5" t="n">
        <v>0.542</v>
      </c>
      <c r="D1275" s="5" t="n">
        <f aca="false">IF(AND(ISNUMBER(B1275),ISNUMBER(C1275)),C1275-B1275,"")</f>
        <v>0</v>
      </c>
      <c r="E1275" s="4" t="s">
        <v>531</v>
      </c>
    </row>
    <row r="1276" customFormat="false" ht="15" hidden="false" customHeight="false" outlineLevel="0" collapsed="false">
      <c r="A1276" s="4" t="s">
        <v>1790</v>
      </c>
      <c r="B1276" s="5" t="n">
        <v>0.579</v>
      </c>
      <c r="C1276" s="5" t="n">
        <v>0.579</v>
      </c>
      <c r="D1276" s="5" t="n">
        <f aca="false">IF(AND(ISNUMBER(B1276),ISNUMBER(C1276)),C1276-B1276,"")</f>
        <v>0</v>
      </c>
      <c r="E1276" s="4" t="s">
        <v>531</v>
      </c>
    </row>
    <row r="1277" customFormat="false" ht="15" hidden="false" customHeight="false" outlineLevel="0" collapsed="false">
      <c r="A1277" s="4" t="s">
        <v>1791</v>
      </c>
      <c r="B1277" s="5" t="n">
        <v>0.551</v>
      </c>
      <c r="C1277" s="5" t="n">
        <v>0.551</v>
      </c>
      <c r="D1277" s="5" t="n">
        <f aca="false">IF(AND(ISNUMBER(B1277),ISNUMBER(C1277)),C1277-B1277,"")</f>
        <v>0</v>
      </c>
      <c r="E1277" s="4" t="s">
        <v>531</v>
      </c>
    </row>
    <row r="1279" customFormat="false" ht="15" hidden="false" customHeight="false" outlineLevel="0" collapsed="false">
      <c r="A1279" s="13" t="s">
        <v>1792</v>
      </c>
      <c r="B1279" s="14"/>
      <c r="C1279" s="14"/>
      <c r="D1279" s="19" t="n">
        <f aca="false">MAX(MAX(D697:D1277),-MIN(D697:D1277))</f>
        <v>1</v>
      </c>
      <c r="E1279" s="14"/>
    </row>
    <row r="1281" customFormat="false" ht="15" hidden="false" customHeight="false" outlineLevel="0" collapsed="false">
      <c r="A1281" s="8" t="s">
        <v>1793</v>
      </c>
    </row>
    <row r="1282" customFormat="false" ht="70.5" hidden="false" customHeight="true" outlineLevel="0" collapsed="false">
      <c r="A1282" s="2" t="s">
        <v>1794</v>
      </c>
      <c r="B1282" s="2"/>
      <c r="C1282" s="2"/>
      <c r="D1282" s="2"/>
      <c r="E1282" s="2"/>
      <c r="F1282" s="2"/>
      <c r="G1282" s="2"/>
      <c r="H1282" s="2"/>
    </row>
    <row r="1283" customFormat="false" ht="30" hidden="false" customHeight="true" outlineLevel="0" collapsed="false">
      <c r="A1283" s="3" t="s">
        <v>527</v>
      </c>
      <c r="B1283" s="3" t="s">
        <v>528</v>
      </c>
      <c r="C1283" s="3" t="s">
        <v>529</v>
      </c>
      <c r="D1283" s="3" t="s">
        <v>402</v>
      </c>
      <c r="E1283" s="3" t="s">
        <v>17</v>
      </c>
    </row>
    <row r="1284" customFormat="false" ht="15" hidden="false" customHeight="false" outlineLevel="0" collapsed="false">
      <c r="A1284" s="4" t="s">
        <v>1795</v>
      </c>
      <c r="B1284" s="5" t="n">
        <v>257</v>
      </c>
      <c r="C1284" s="5" t="n">
        <v>257</v>
      </c>
      <c r="D1284" s="5" t="n">
        <f aca="false">IF(AND(ISNUMBER(B1284),ISNUMBER(C1284)),C1284-B1284,"")</f>
        <v>0</v>
      </c>
      <c r="E1284" s="4" t="s">
        <v>531</v>
      </c>
    </row>
    <row r="1285" customFormat="false" ht="15" hidden="false" customHeight="false" outlineLevel="0" collapsed="false">
      <c r="A1285" s="4" t="s">
        <v>1796</v>
      </c>
      <c r="B1285" s="5" t="n">
        <v>0.233</v>
      </c>
      <c r="C1285" s="5" t="n">
        <v>0.233</v>
      </c>
      <c r="D1285" s="5" t="n">
        <f aca="false">IF(AND(ISNUMBER(B1285),ISNUMBER(C1285)),C1285-B1285,"")</f>
        <v>0</v>
      </c>
      <c r="E1285" s="4" t="s">
        <v>531</v>
      </c>
    </row>
    <row r="1286" customFormat="false" ht="15" hidden="false" customHeight="false" outlineLevel="0" collapsed="false">
      <c r="A1286" s="4" t="s">
        <v>1797</v>
      </c>
      <c r="B1286" s="5" t="n">
        <v>134</v>
      </c>
      <c r="C1286" s="5" t="n">
        <v>134</v>
      </c>
      <c r="D1286" s="5" t="n">
        <f aca="false">IF(AND(ISNUMBER(B1286),ISNUMBER(C1286)),C1286-B1286,"")</f>
        <v>0</v>
      </c>
      <c r="E1286" s="4" t="s">
        <v>531</v>
      </c>
    </row>
    <row r="1287" customFormat="false" ht="15" hidden="false" customHeight="false" outlineLevel="0" collapsed="false">
      <c r="A1287" s="4" t="s">
        <v>1798</v>
      </c>
      <c r="B1287" s="5" t="n">
        <v>0.381</v>
      </c>
      <c r="C1287" s="5" t="n">
        <v>0.381</v>
      </c>
      <c r="D1287" s="5" t="n">
        <f aca="false">IF(AND(ISNUMBER(B1287),ISNUMBER(C1287)),C1287-B1287,"")</f>
        <v>0</v>
      </c>
      <c r="E1287" s="4" t="s">
        <v>531</v>
      </c>
    </row>
    <row r="1288" customFormat="false" ht="15" hidden="false" customHeight="false" outlineLevel="0" collapsed="false">
      <c r="A1288" s="4" t="s">
        <v>1799</v>
      </c>
      <c r="B1288" s="5" t="n">
        <v>391</v>
      </c>
      <c r="C1288" s="5" t="n">
        <v>391</v>
      </c>
      <c r="D1288" s="5" t="n">
        <f aca="false">IF(AND(ISNUMBER(B1288),ISNUMBER(C1288)),C1288-B1288,"")</f>
        <v>0</v>
      </c>
      <c r="E1288" s="4" t="s">
        <v>531</v>
      </c>
    </row>
    <row r="1289" customFormat="false" ht="15" hidden="false" customHeight="false" outlineLevel="0" collapsed="false">
      <c r="A1289" s="4" t="s">
        <v>1800</v>
      </c>
      <c r="B1289" s="5" t="n">
        <v>0.284</v>
      </c>
      <c r="C1289" s="5" t="n">
        <v>0.284</v>
      </c>
      <c r="D1289" s="5" t="n">
        <f aca="false">IF(AND(ISNUMBER(B1289),ISNUMBER(C1289)),C1289-B1289,"")</f>
        <v>0</v>
      </c>
      <c r="E1289" s="4" t="s">
        <v>531</v>
      </c>
    </row>
    <row r="1290" customFormat="false" ht="15" hidden="false" customHeight="false" outlineLevel="0" collapsed="false">
      <c r="A1290" s="4" t="s">
        <v>1801</v>
      </c>
      <c r="B1290" s="5" t="n">
        <v>257</v>
      </c>
      <c r="C1290" s="5" t="n">
        <v>257</v>
      </c>
      <c r="D1290" s="5" t="n">
        <f aca="false">IF(AND(ISNUMBER(B1290),ISNUMBER(C1290)),C1290-B1290,"")</f>
        <v>0</v>
      </c>
      <c r="E1290" s="4" t="s">
        <v>531</v>
      </c>
    </row>
    <row r="1291" customFormat="false" ht="15" hidden="false" customHeight="false" outlineLevel="0" collapsed="false">
      <c r="A1291" s="4" t="s">
        <v>1802</v>
      </c>
      <c r="B1291" s="5" t="n">
        <v>0.202</v>
      </c>
      <c r="C1291" s="5" t="n">
        <v>0.202</v>
      </c>
      <c r="D1291" s="5" t="n">
        <f aca="false">IF(AND(ISNUMBER(B1291),ISNUMBER(C1291)),C1291-B1291,"")</f>
        <v>0</v>
      </c>
      <c r="E1291" s="4" t="s">
        <v>531</v>
      </c>
    </row>
    <row r="1292" customFormat="false" ht="15" hidden="false" customHeight="false" outlineLevel="0" collapsed="false">
      <c r="A1292" s="4" t="s">
        <v>1803</v>
      </c>
      <c r="B1292" s="5" t="n">
        <v>133</v>
      </c>
      <c r="C1292" s="5" t="n">
        <v>133</v>
      </c>
      <c r="D1292" s="5" t="n">
        <f aca="false">IF(AND(ISNUMBER(B1292),ISNUMBER(C1292)),C1292-B1292,"")</f>
        <v>0</v>
      </c>
      <c r="E1292" s="4" t="s">
        <v>531</v>
      </c>
    </row>
    <row r="1293" customFormat="false" ht="15" hidden="false" customHeight="false" outlineLevel="0" collapsed="false">
      <c r="A1293" s="4" t="s">
        <v>1804</v>
      </c>
      <c r="B1293" s="5" t="n">
        <v>0.18</v>
      </c>
      <c r="C1293" s="5" t="n">
        <v>0.18</v>
      </c>
      <c r="D1293" s="5" t="n">
        <f aca="false">IF(AND(ISNUMBER(B1293),ISNUMBER(C1293)),C1293-B1293,"")</f>
        <v>0</v>
      </c>
      <c r="E1293" s="4" t="s">
        <v>531</v>
      </c>
    </row>
    <row r="1294" customFormat="false" ht="15" hidden="false" customHeight="false" outlineLevel="0" collapsed="false">
      <c r="A1294" s="4" t="s">
        <v>1805</v>
      </c>
      <c r="B1294" s="5" t="n">
        <v>390</v>
      </c>
      <c r="C1294" s="5" t="n">
        <v>390</v>
      </c>
      <c r="D1294" s="5" t="n">
        <f aca="false">IF(AND(ISNUMBER(B1294),ISNUMBER(C1294)),C1294-B1294,"")</f>
        <v>0</v>
      </c>
      <c r="E1294" s="4" t="s">
        <v>531</v>
      </c>
    </row>
    <row r="1295" customFormat="false" ht="15" hidden="false" customHeight="false" outlineLevel="0" collapsed="false">
      <c r="A1295" s="4" t="s">
        <v>1806</v>
      </c>
      <c r="B1295" s="5" t="n">
        <v>0.195</v>
      </c>
      <c r="C1295" s="5" t="n">
        <v>0.195</v>
      </c>
      <c r="D1295" s="5" t="n">
        <f aca="false">IF(AND(ISNUMBER(B1295),ISNUMBER(C1295)),C1295-B1295,"")</f>
        <v>0</v>
      </c>
      <c r="E1295" s="4" t="s">
        <v>531</v>
      </c>
    </row>
    <row r="1296" customFormat="false" ht="15" hidden="false" customHeight="false" outlineLevel="0" collapsed="false">
      <c r="A1296" s="4" t="s">
        <v>1807</v>
      </c>
      <c r="B1296" s="5" t="n">
        <v>58</v>
      </c>
      <c r="C1296" s="5" t="n">
        <v>58</v>
      </c>
      <c r="D1296" s="5" t="n">
        <f aca="false">IF(AND(ISNUMBER(B1296),ISNUMBER(C1296)),C1296-B1296,"")</f>
        <v>0</v>
      </c>
      <c r="E1296" s="4" t="s">
        <v>531</v>
      </c>
    </row>
    <row r="1297" customFormat="false" ht="15" hidden="false" customHeight="false" outlineLevel="0" collapsed="false">
      <c r="A1297" s="4" t="s">
        <v>1808</v>
      </c>
      <c r="B1297" s="5" t="n">
        <v>0.414</v>
      </c>
      <c r="C1297" s="5" t="n">
        <v>0.414</v>
      </c>
      <c r="D1297" s="5" t="n">
        <f aca="false">IF(AND(ISNUMBER(B1297),ISNUMBER(C1297)),C1297-B1297,"")</f>
        <v>0</v>
      </c>
      <c r="E1297" s="4" t="s">
        <v>531</v>
      </c>
    </row>
    <row r="1298" customFormat="false" ht="15" hidden="false" customHeight="false" outlineLevel="0" collapsed="false">
      <c r="A1298" s="4" t="s">
        <v>1809</v>
      </c>
      <c r="B1298" s="5" t="n">
        <v>0.347</v>
      </c>
      <c r="C1298" s="5" t="n">
        <v>0.347</v>
      </c>
      <c r="D1298" s="5" t="n">
        <f aca="false">IF(AND(ISNUMBER(B1298),ISNUMBER(C1298)),C1298-B1298,"")</f>
        <v>0</v>
      </c>
      <c r="E1298" s="4" t="s">
        <v>531</v>
      </c>
    </row>
    <row r="1299" customFormat="false" ht="15" hidden="false" customHeight="false" outlineLevel="0" collapsed="false">
      <c r="A1299" s="4" t="s">
        <v>1810</v>
      </c>
      <c r="B1299" s="5" t="n">
        <v>0.067</v>
      </c>
      <c r="C1299" s="5" t="n">
        <v>0.066</v>
      </c>
      <c r="D1299" s="5" t="n">
        <f aca="false">IF(AND(ISNUMBER(B1299),ISNUMBER(C1299)),C1299-B1299,"")</f>
        <v>-0.001</v>
      </c>
      <c r="E1299" s="4" t="s">
        <v>1811</v>
      </c>
    </row>
    <row r="1300" customFormat="false" ht="15" hidden="false" customHeight="false" outlineLevel="0" collapsed="false">
      <c r="A1300" s="4" t="s">
        <v>1812</v>
      </c>
      <c r="B1300" s="5" t="n">
        <v>0.144</v>
      </c>
      <c r="C1300" s="5" t="n">
        <v>0.144</v>
      </c>
      <c r="D1300" s="5" t="n">
        <f aca="false">IF(AND(ISNUMBER(B1300),ISNUMBER(C1300)),C1300-B1300,"")</f>
        <v>0</v>
      </c>
      <c r="E1300" s="4" t="s">
        <v>531</v>
      </c>
    </row>
    <row r="1301" customFormat="false" ht="15" hidden="false" customHeight="false" outlineLevel="0" collapsed="false">
      <c r="A1301" s="4" t="s">
        <v>1813</v>
      </c>
      <c r="B1301" s="5" t="s">
        <v>1814</v>
      </c>
      <c r="C1301" s="5" t="s">
        <v>1814</v>
      </c>
      <c r="D1301" s="5" t="str">
        <f aca="false">IF(AND(ISNUMBER(B1301),ISNUMBER(C1301)),C1301-B1301,"")</f>
        <v/>
      </c>
      <c r="E1301" s="4" t="s">
        <v>1815</v>
      </c>
    </row>
    <row r="1302" customFormat="false" ht="15" hidden="false" customHeight="false" outlineLevel="0" collapsed="false">
      <c r="A1302" s="4" t="s">
        <v>1816</v>
      </c>
      <c r="B1302" s="5" t="n">
        <v>55</v>
      </c>
      <c r="C1302" s="5" t="n">
        <v>55</v>
      </c>
      <c r="D1302" s="5" t="n">
        <f aca="false">IF(AND(ISNUMBER(B1302),ISNUMBER(C1302)),C1302-B1302,"")</f>
        <v>0</v>
      </c>
      <c r="E1302" s="4" t="s">
        <v>531</v>
      </c>
    </row>
    <row r="1303" customFormat="false" ht="15" hidden="false" customHeight="false" outlineLevel="0" collapsed="false">
      <c r="A1303" s="4" t="s">
        <v>1817</v>
      </c>
      <c r="B1303" s="5" t="n">
        <v>0.4</v>
      </c>
      <c r="C1303" s="5" t="n">
        <v>0.4</v>
      </c>
      <c r="D1303" s="5" t="n">
        <f aca="false">IF(AND(ISNUMBER(B1303),ISNUMBER(C1303)),C1303-B1303,"")</f>
        <v>0</v>
      </c>
      <c r="E1303" s="4" t="s">
        <v>531</v>
      </c>
    </row>
    <row r="1304" customFormat="false" ht="15" hidden="false" customHeight="false" outlineLevel="0" collapsed="false">
      <c r="A1304" s="4" t="s">
        <v>1818</v>
      </c>
      <c r="B1304" s="5" t="n">
        <v>0.466</v>
      </c>
      <c r="C1304" s="5" t="n">
        <v>0.466</v>
      </c>
      <c r="D1304" s="5" t="n">
        <f aca="false">IF(AND(ISNUMBER(B1304),ISNUMBER(C1304)),C1304-B1304,"")</f>
        <v>0</v>
      </c>
      <c r="E1304" s="4" t="s">
        <v>531</v>
      </c>
    </row>
    <row r="1305" customFormat="false" ht="15" hidden="false" customHeight="false" outlineLevel="0" collapsed="false">
      <c r="A1305" s="4" t="s">
        <v>1819</v>
      </c>
      <c r="B1305" s="5" t="n">
        <v>-0.066</v>
      </c>
      <c r="C1305" s="5" t="n">
        <v>-0.066</v>
      </c>
      <c r="D1305" s="5" t="n">
        <f aca="false">IF(AND(ISNUMBER(B1305),ISNUMBER(C1305)),C1305-B1305,"")</f>
        <v>0</v>
      </c>
      <c r="E1305" s="4" t="s">
        <v>531</v>
      </c>
    </row>
    <row r="1306" customFormat="false" ht="15" hidden="false" customHeight="false" outlineLevel="0" collapsed="false">
      <c r="A1306" s="4" t="s">
        <v>1820</v>
      </c>
      <c r="B1306" s="5" t="n">
        <v>0.149</v>
      </c>
      <c r="C1306" s="5" t="n">
        <v>0.149</v>
      </c>
      <c r="D1306" s="5" t="n">
        <f aca="false">IF(AND(ISNUMBER(B1306),ISNUMBER(C1306)),C1306-B1306,"")</f>
        <v>0</v>
      </c>
      <c r="E1306" s="4" t="s">
        <v>531</v>
      </c>
    </row>
    <row r="1307" customFormat="false" ht="15" hidden="false" customHeight="false" outlineLevel="0" collapsed="false">
      <c r="A1307" s="4" t="s">
        <v>1821</v>
      </c>
      <c r="B1307" s="5" t="s">
        <v>1814</v>
      </c>
      <c r="C1307" s="5" t="s">
        <v>1814</v>
      </c>
      <c r="D1307" s="5" t="str">
        <f aca="false">IF(AND(ISNUMBER(B1307),ISNUMBER(C1307)),C1307-B1307,"")</f>
        <v/>
      </c>
      <c r="E1307" s="4" t="s">
        <v>1815</v>
      </c>
    </row>
    <row r="1308" customFormat="false" ht="15" hidden="false" customHeight="false" outlineLevel="0" collapsed="false">
      <c r="A1308" s="4" t="s">
        <v>1822</v>
      </c>
      <c r="B1308" s="5" t="n">
        <v>60</v>
      </c>
      <c r="C1308" s="5" t="n">
        <v>60</v>
      </c>
      <c r="D1308" s="5" t="n">
        <f aca="false">IF(AND(ISNUMBER(B1308),ISNUMBER(C1308)),C1308-B1308,"")</f>
        <v>0</v>
      </c>
      <c r="E1308" s="4" t="s">
        <v>531</v>
      </c>
    </row>
    <row r="1309" customFormat="false" ht="15" hidden="false" customHeight="false" outlineLevel="0" collapsed="false">
      <c r="A1309" s="4" t="s">
        <v>1823</v>
      </c>
      <c r="B1309" s="5" t="n">
        <v>0.55</v>
      </c>
      <c r="C1309" s="5" t="n">
        <v>0.55</v>
      </c>
      <c r="D1309" s="5" t="n">
        <f aca="false">IF(AND(ISNUMBER(B1309),ISNUMBER(C1309)),C1309-B1309,"")</f>
        <v>0</v>
      </c>
      <c r="E1309" s="4" t="s">
        <v>531</v>
      </c>
    </row>
    <row r="1310" customFormat="false" ht="15" hidden="false" customHeight="false" outlineLevel="0" collapsed="false">
      <c r="A1310" s="4" t="s">
        <v>1824</v>
      </c>
      <c r="B1310" s="5" t="n">
        <v>0.619</v>
      </c>
      <c r="C1310" s="5" t="n">
        <v>0.619</v>
      </c>
      <c r="D1310" s="5" t="n">
        <f aca="false">IF(AND(ISNUMBER(B1310),ISNUMBER(C1310)),C1310-B1310,"")</f>
        <v>0</v>
      </c>
      <c r="E1310" s="4" t="s">
        <v>531</v>
      </c>
    </row>
    <row r="1311" customFormat="false" ht="15" hidden="false" customHeight="false" outlineLevel="0" collapsed="false">
      <c r="A1311" s="4" t="s">
        <v>1825</v>
      </c>
      <c r="B1311" s="5" t="n">
        <v>-0.069</v>
      </c>
      <c r="C1311" s="5" t="n">
        <v>-0.069</v>
      </c>
      <c r="D1311" s="5" t="n">
        <f aca="false">IF(AND(ISNUMBER(B1311),ISNUMBER(C1311)),C1311-B1311,"")</f>
        <v>0</v>
      </c>
      <c r="E1311" s="4" t="s">
        <v>531</v>
      </c>
    </row>
    <row r="1312" customFormat="false" ht="15" hidden="false" customHeight="false" outlineLevel="0" collapsed="false">
      <c r="A1312" s="4" t="s">
        <v>1826</v>
      </c>
      <c r="B1312" s="5" t="n">
        <v>0.143</v>
      </c>
      <c r="C1312" s="5" t="n">
        <v>0.143</v>
      </c>
      <c r="D1312" s="5" t="n">
        <f aca="false">IF(AND(ISNUMBER(B1312),ISNUMBER(C1312)),C1312-B1312,"")</f>
        <v>0</v>
      </c>
      <c r="E1312" s="4" t="s">
        <v>531</v>
      </c>
    </row>
    <row r="1313" customFormat="false" ht="15" hidden="false" customHeight="false" outlineLevel="0" collapsed="false">
      <c r="A1313" s="4" t="s">
        <v>1827</v>
      </c>
      <c r="B1313" s="5" t="s">
        <v>1814</v>
      </c>
      <c r="C1313" s="5" t="s">
        <v>1814</v>
      </c>
      <c r="D1313" s="5" t="str">
        <f aca="false">IF(AND(ISNUMBER(B1313),ISNUMBER(C1313)),C1313-B1313,"")</f>
        <v/>
      </c>
      <c r="E1313" s="4" t="s">
        <v>1815</v>
      </c>
    </row>
    <row r="1314" customFormat="false" ht="15" hidden="false" customHeight="false" outlineLevel="0" collapsed="false">
      <c r="A1314" s="4" t="s">
        <v>1828</v>
      </c>
      <c r="B1314" s="5" t="n">
        <v>57</v>
      </c>
      <c r="C1314" s="5" t="n">
        <v>57</v>
      </c>
      <c r="D1314" s="5" t="n">
        <f aca="false">IF(AND(ISNUMBER(B1314),ISNUMBER(C1314)),C1314-B1314,"")</f>
        <v>0</v>
      </c>
      <c r="E1314" s="4" t="s">
        <v>531</v>
      </c>
    </row>
    <row r="1315" customFormat="false" ht="15" hidden="false" customHeight="false" outlineLevel="0" collapsed="false">
      <c r="A1315" s="4" t="s">
        <v>1829</v>
      </c>
      <c r="B1315" s="5" t="n">
        <v>3.124</v>
      </c>
      <c r="C1315" s="5" t="n">
        <v>3.124</v>
      </c>
      <c r="D1315" s="5" t="n">
        <f aca="false">IF(AND(ISNUMBER(B1315),ISNUMBER(C1315)),C1315-B1315,"")</f>
        <v>0</v>
      </c>
      <c r="E1315" s="4" t="s">
        <v>531</v>
      </c>
    </row>
    <row r="1316" customFormat="false" ht="15" hidden="false" customHeight="false" outlineLevel="0" collapsed="false">
      <c r="A1316" s="4" t="s">
        <v>1830</v>
      </c>
      <c r="B1316" s="5" t="n">
        <v>3.24</v>
      </c>
      <c r="C1316" s="5" t="n">
        <v>3.24</v>
      </c>
      <c r="D1316" s="5" t="n">
        <f aca="false">IF(AND(ISNUMBER(B1316),ISNUMBER(C1316)),C1316-B1316,"")</f>
        <v>0</v>
      </c>
      <c r="E1316" s="4" t="s">
        <v>531</v>
      </c>
    </row>
    <row r="1317" customFormat="false" ht="15" hidden="false" customHeight="false" outlineLevel="0" collapsed="false">
      <c r="A1317" s="4" t="s">
        <v>1831</v>
      </c>
      <c r="B1317" s="5" t="n">
        <v>-0.116</v>
      </c>
      <c r="C1317" s="5" t="n">
        <v>-0.116</v>
      </c>
      <c r="D1317" s="5" t="n">
        <f aca="false">IF(AND(ISNUMBER(B1317),ISNUMBER(C1317)),C1317-B1317,"")</f>
        <v>0</v>
      </c>
      <c r="E1317" s="4" t="s">
        <v>531</v>
      </c>
    </row>
    <row r="1318" customFormat="false" ht="15" hidden="false" customHeight="false" outlineLevel="0" collapsed="false">
      <c r="A1318" s="4" t="s">
        <v>1832</v>
      </c>
      <c r="B1318" s="5" t="n">
        <v>0.231</v>
      </c>
      <c r="C1318" s="5" t="n">
        <v>0.231</v>
      </c>
      <c r="D1318" s="5" t="n">
        <f aca="false">IF(AND(ISNUMBER(B1318),ISNUMBER(C1318)),C1318-B1318,"")</f>
        <v>0</v>
      </c>
      <c r="E1318" s="4" t="s">
        <v>531</v>
      </c>
    </row>
    <row r="1319" customFormat="false" ht="15" hidden="false" customHeight="false" outlineLevel="0" collapsed="false">
      <c r="A1319" s="4" t="s">
        <v>1833</v>
      </c>
      <c r="B1319" s="5" t="s">
        <v>1814</v>
      </c>
      <c r="C1319" s="5" t="s">
        <v>1814</v>
      </c>
      <c r="D1319" s="5" t="str">
        <f aca="false">IF(AND(ISNUMBER(B1319),ISNUMBER(C1319)),C1319-B1319,"")</f>
        <v/>
      </c>
      <c r="E1319" s="4" t="s">
        <v>1815</v>
      </c>
    </row>
    <row r="1320" customFormat="false" ht="15" hidden="false" customHeight="false" outlineLevel="0" collapsed="false">
      <c r="A1320" s="4" t="s">
        <v>1834</v>
      </c>
      <c r="B1320" s="5" t="n">
        <v>60</v>
      </c>
      <c r="C1320" s="5" t="n">
        <v>60</v>
      </c>
      <c r="D1320" s="5" t="n">
        <f aca="false">IF(AND(ISNUMBER(B1320),ISNUMBER(C1320)),C1320-B1320,"")</f>
        <v>0</v>
      </c>
      <c r="E1320" s="4" t="s">
        <v>531</v>
      </c>
    </row>
    <row r="1321" customFormat="false" ht="15" hidden="false" customHeight="false" outlineLevel="0" collapsed="false">
      <c r="A1321" s="4" t="s">
        <v>1835</v>
      </c>
      <c r="B1321" s="5" t="s">
        <v>178</v>
      </c>
      <c r="C1321" s="5" t="s">
        <v>178</v>
      </c>
      <c r="D1321" s="5" t="str">
        <f aca="false">IF(AND(ISNUMBER(B1321),ISNUMBER(C1321)),C1321-B1321,"")</f>
        <v/>
      </c>
      <c r="E1321" s="4" t="s">
        <v>1815</v>
      </c>
    </row>
    <row r="1322" customFormat="false" ht="15" hidden="false" customHeight="false" outlineLevel="0" collapsed="false">
      <c r="A1322" s="4" t="s">
        <v>1836</v>
      </c>
      <c r="B1322" s="5" t="s">
        <v>27</v>
      </c>
      <c r="C1322" s="5" t="s">
        <v>27</v>
      </c>
      <c r="D1322" s="5" t="str">
        <f aca="false">IF(AND(ISNUMBER(B1322),ISNUMBER(C1322)),C1322-B1322,"")</f>
        <v/>
      </c>
      <c r="E1322" s="4" t="s">
        <v>531</v>
      </c>
    </row>
    <row r="1323" customFormat="false" ht="15" hidden="false" customHeight="false" outlineLevel="0" collapsed="false">
      <c r="A1323" s="4" t="s">
        <v>1837</v>
      </c>
      <c r="B1323" s="5" t="n">
        <v>58</v>
      </c>
      <c r="C1323" s="5" t="n">
        <v>58</v>
      </c>
      <c r="D1323" s="5" t="n">
        <f aca="false">IF(AND(ISNUMBER(B1323),ISNUMBER(C1323)),C1323-B1323,"")</f>
        <v>0</v>
      </c>
      <c r="E1323" s="4" t="s">
        <v>531</v>
      </c>
    </row>
    <row r="1324" customFormat="false" ht="15" hidden="false" customHeight="false" outlineLevel="0" collapsed="false">
      <c r="A1324" s="4" t="s">
        <v>1838</v>
      </c>
      <c r="B1324" s="5" t="s">
        <v>27</v>
      </c>
      <c r="C1324" s="5" t="s">
        <v>27</v>
      </c>
      <c r="D1324" s="5" t="str">
        <f aca="false">IF(AND(ISNUMBER(B1324),ISNUMBER(C1324)),C1324-B1324,"")</f>
        <v/>
      </c>
      <c r="E1324" s="4" t="s">
        <v>531</v>
      </c>
    </row>
    <row r="1325" customFormat="false" ht="15" hidden="false" customHeight="false" outlineLevel="0" collapsed="false">
      <c r="A1325" s="4" t="s">
        <v>1839</v>
      </c>
      <c r="B1325" s="5" t="s">
        <v>27</v>
      </c>
      <c r="C1325" s="5" t="s">
        <v>27</v>
      </c>
      <c r="D1325" s="5" t="str">
        <f aca="false">IF(AND(ISNUMBER(B1325),ISNUMBER(C1325)),C1325-B1325,"")</f>
        <v/>
      </c>
      <c r="E1325" s="4" t="s">
        <v>531</v>
      </c>
    </row>
    <row r="1326" customFormat="false" ht="15" hidden="false" customHeight="false" outlineLevel="0" collapsed="false">
      <c r="A1326" s="4" t="s">
        <v>1840</v>
      </c>
      <c r="B1326" s="5" t="s">
        <v>27</v>
      </c>
      <c r="C1326" s="5" t="s">
        <v>27</v>
      </c>
      <c r="D1326" s="5" t="str">
        <f aca="false">IF(AND(ISNUMBER(B1326),ISNUMBER(C1326)),C1326-B1326,"")</f>
        <v/>
      </c>
      <c r="E1326" s="4" t="s">
        <v>1811</v>
      </c>
    </row>
    <row r="1327" customFormat="false" ht="15" hidden="false" customHeight="false" outlineLevel="0" collapsed="false">
      <c r="A1327" s="4" t="s">
        <v>1841</v>
      </c>
      <c r="B1327" s="5" t="s">
        <v>27</v>
      </c>
      <c r="C1327" s="5" t="s">
        <v>27</v>
      </c>
      <c r="D1327" s="5" t="str">
        <f aca="false">IF(AND(ISNUMBER(B1327),ISNUMBER(C1327)),C1327-B1327,"")</f>
        <v/>
      </c>
      <c r="E1327" s="4" t="s">
        <v>531</v>
      </c>
    </row>
    <row r="1328" customFormat="false" ht="15" hidden="false" customHeight="false" outlineLevel="0" collapsed="false">
      <c r="A1328" s="4" t="s">
        <v>1842</v>
      </c>
      <c r="B1328" s="5" t="s">
        <v>27</v>
      </c>
      <c r="C1328" s="5" t="s">
        <v>27</v>
      </c>
      <c r="D1328" s="5" t="str">
        <f aca="false">IF(AND(ISNUMBER(B1328),ISNUMBER(C1328)),C1328-B1328,"")</f>
        <v/>
      </c>
      <c r="E1328" s="4" t="s">
        <v>1815</v>
      </c>
    </row>
    <row r="1329" customFormat="false" ht="15" hidden="false" customHeight="false" outlineLevel="0" collapsed="false">
      <c r="A1329" s="4" t="s">
        <v>1843</v>
      </c>
      <c r="B1329" s="5" t="n">
        <v>58</v>
      </c>
      <c r="C1329" s="5" t="n">
        <v>58</v>
      </c>
      <c r="D1329" s="5" t="n">
        <f aca="false">IF(AND(ISNUMBER(B1329),ISNUMBER(C1329)),C1329-B1329,"")</f>
        <v>0</v>
      </c>
      <c r="E1329" s="4" t="s">
        <v>531</v>
      </c>
    </row>
    <row r="1330" customFormat="false" ht="15" hidden="false" customHeight="false" outlineLevel="0" collapsed="false">
      <c r="A1330" s="4" t="s">
        <v>1844</v>
      </c>
      <c r="B1330" s="5" t="n">
        <v>0.655</v>
      </c>
      <c r="C1330" s="5" t="n">
        <v>0.655</v>
      </c>
      <c r="D1330" s="5" t="n">
        <f aca="false">IF(AND(ISNUMBER(B1330),ISNUMBER(C1330)),C1330-B1330,"")</f>
        <v>0</v>
      </c>
      <c r="E1330" s="4" t="s">
        <v>531</v>
      </c>
    </row>
    <row r="1331" customFormat="false" ht="15" hidden="false" customHeight="false" outlineLevel="0" collapsed="false">
      <c r="A1331" s="4" t="s">
        <v>1845</v>
      </c>
      <c r="B1331" s="5" t="n">
        <v>0.52</v>
      </c>
      <c r="C1331" s="5" t="n">
        <v>0.52</v>
      </c>
      <c r="D1331" s="5" t="n">
        <f aca="false">IF(AND(ISNUMBER(B1331),ISNUMBER(C1331)),C1331-B1331,"")</f>
        <v>0</v>
      </c>
      <c r="E1331" s="4" t="s">
        <v>531</v>
      </c>
    </row>
    <row r="1332" customFormat="false" ht="15" hidden="false" customHeight="false" outlineLevel="0" collapsed="false">
      <c r="A1332" s="4" t="s">
        <v>1846</v>
      </c>
      <c r="B1332" s="5" t="n">
        <v>0.135</v>
      </c>
      <c r="C1332" s="5" t="n">
        <v>0.135</v>
      </c>
      <c r="D1332" s="5" t="n">
        <f aca="false">IF(AND(ISNUMBER(B1332),ISNUMBER(C1332)),C1332-B1332,"")</f>
        <v>0</v>
      </c>
      <c r="E1332" s="4" t="s">
        <v>531</v>
      </c>
    </row>
    <row r="1333" customFormat="false" ht="15" hidden="false" customHeight="false" outlineLevel="0" collapsed="false">
      <c r="A1333" s="4" t="s">
        <v>1847</v>
      </c>
      <c r="B1333" s="5" t="n">
        <v>0.141</v>
      </c>
      <c r="C1333" s="5" t="n">
        <v>0.141</v>
      </c>
      <c r="D1333" s="5" t="n">
        <f aca="false">IF(AND(ISNUMBER(B1333),ISNUMBER(C1333)),C1333-B1333,"")</f>
        <v>0</v>
      </c>
      <c r="E1333" s="4" t="s">
        <v>531</v>
      </c>
    </row>
    <row r="1334" customFormat="false" ht="15" hidden="false" customHeight="false" outlineLevel="0" collapsed="false">
      <c r="A1334" s="4" t="s">
        <v>1848</v>
      </c>
      <c r="B1334" s="5" t="s">
        <v>1849</v>
      </c>
      <c r="C1334" s="5" t="s">
        <v>1849</v>
      </c>
      <c r="D1334" s="5" t="str">
        <f aca="false">IF(AND(ISNUMBER(B1334),ISNUMBER(C1334)),C1334-B1334,"")</f>
        <v/>
      </c>
      <c r="E1334" s="4" t="s">
        <v>1815</v>
      </c>
    </row>
    <row r="1335" customFormat="false" ht="15" hidden="false" customHeight="false" outlineLevel="0" collapsed="false">
      <c r="A1335" s="4" t="s">
        <v>1850</v>
      </c>
      <c r="B1335" s="5" t="n">
        <v>58</v>
      </c>
      <c r="C1335" s="5" t="n">
        <v>58</v>
      </c>
      <c r="D1335" s="5" t="n">
        <f aca="false">IF(AND(ISNUMBER(B1335),ISNUMBER(C1335)),C1335-B1335,"")</f>
        <v>0</v>
      </c>
      <c r="E1335" s="4" t="s">
        <v>531</v>
      </c>
    </row>
    <row r="1336" customFormat="false" ht="15" hidden="false" customHeight="false" outlineLevel="0" collapsed="false">
      <c r="A1336" s="4" t="s">
        <v>1851</v>
      </c>
      <c r="B1336" s="5" t="n">
        <v>0.69</v>
      </c>
      <c r="C1336" s="5" t="n">
        <v>0.69</v>
      </c>
      <c r="D1336" s="5" t="n">
        <f aca="false">IF(AND(ISNUMBER(B1336),ISNUMBER(C1336)),C1336-B1336,"")</f>
        <v>0</v>
      </c>
      <c r="E1336" s="4" t="s">
        <v>531</v>
      </c>
    </row>
    <row r="1337" customFormat="false" ht="15" hidden="false" customHeight="false" outlineLevel="0" collapsed="false">
      <c r="A1337" s="4" t="s">
        <v>1852</v>
      </c>
      <c r="B1337" s="5" t="n">
        <v>0.52</v>
      </c>
      <c r="C1337" s="5" t="n">
        <v>0.52</v>
      </c>
      <c r="D1337" s="5" t="n">
        <f aca="false">IF(AND(ISNUMBER(B1337),ISNUMBER(C1337)),C1337-B1337,"")</f>
        <v>0</v>
      </c>
      <c r="E1337" s="4" t="s">
        <v>531</v>
      </c>
    </row>
    <row r="1338" customFormat="false" ht="15" hidden="false" customHeight="false" outlineLevel="0" collapsed="false">
      <c r="A1338" s="4" t="s">
        <v>1853</v>
      </c>
      <c r="B1338" s="5" t="n">
        <v>0.17</v>
      </c>
      <c r="C1338" s="5" t="n">
        <v>0.169</v>
      </c>
      <c r="D1338" s="5" t="n">
        <f aca="false">IF(AND(ISNUMBER(B1338),ISNUMBER(C1338)),C1338-B1338,"")</f>
        <v>-0.001</v>
      </c>
      <c r="E1338" s="4" t="s">
        <v>1811</v>
      </c>
    </row>
    <row r="1339" customFormat="false" ht="15" hidden="false" customHeight="false" outlineLevel="0" collapsed="false">
      <c r="A1339" s="4" t="s">
        <v>1854</v>
      </c>
      <c r="B1339" s="5" t="n">
        <v>0.138</v>
      </c>
      <c r="C1339" s="5" t="n">
        <v>0.138</v>
      </c>
      <c r="D1339" s="5" t="n">
        <f aca="false">IF(AND(ISNUMBER(B1339),ISNUMBER(C1339)),C1339-B1339,"")</f>
        <v>0</v>
      </c>
      <c r="E1339" s="4" t="s">
        <v>531</v>
      </c>
    </row>
    <row r="1340" customFormat="false" ht="15" hidden="false" customHeight="false" outlineLevel="0" collapsed="false">
      <c r="A1340" s="4" t="s">
        <v>1855</v>
      </c>
      <c r="B1340" s="5" t="s">
        <v>1856</v>
      </c>
      <c r="C1340" s="5" t="s">
        <v>1856</v>
      </c>
      <c r="D1340" s="5" t="str">
        <f aca="false">IF(AND(ISNUMBER(B1340),ISNUMBER(C1340)),C1340-B1340,"")</f>
        <v/>
      </c>
      <c r="E1340" s="4" t="s">
        <v>1815</v>
      </c>
    </row>
    <row r="1341" customFormat="false" ht="15" hidden="false" customHeight="false" outlineLevel="0" collapsed="false">
      <c r="A1341" s="4" t="s">
        <v>1857</v>
      </c>
      <c r="B1341" s="5" t="n">
        <v>59</v>
      </c>
      <c r="C1341" s="5" t="n">
        <v>59</v>
      </c>
      <c r="D1341" s="5" t="n">
        <f aca="false">IF(AND(ISNUMBER(B1341),ISNUMBER(C1341)),C1341-B1341,"")</f>
        <v>0</v>
      </c>
      <c r="E1341" s="4" t="s">
        <v>531</v>
      </c>
    </row>
    <row r="1342" customFormat="false" ht="15" hidden="false" customHeight="false" outlineLevel="0" collapsed="false">
      <c r="A1342" s="4" t="s">
        <v>1858</v>
      </c>
      <c r="B1342" s="5" t="n">
        <v>0.237</v>
      </c>
      <c r="C1342" s="5" t="n">
        <v>0.237</v>
      </c>
      <c r="D1342" s="5" t="n">
        <f aca="false">IF(AND(ISNUMBER(B1342),ISNUMBER(C1342)),C1342-B1342,"")</f>
        <v>0</v>
      </c>
      <c r="E1342" s="4" t="s">
        <v>531</v>
      </c>
    </row>
    <row r="1343" customFormat="false" ht="15" hidden="false" customHeight="false" outlineLevel="0" collapsed="false">
      <c r="A1343" s="4" t="s">
        <v>1859</v>
      </c>
      <c r="B1343" s="5" t="n">
        <v>0.173</v>
      </c>
      <c r="C1343" s="5" t="n">
        <v>0.173</v>
      </c>
      <c r="D1343" s="5" t="n">
        <f aca="false">IF(AND(ISNUMBER(B1343),ISNUMBER(C1343)),C1343-B1343,"")</f>
        <v>0</v>
      </c>
      <c r="E1343" s="4" t="s">
        <v>531</v>
      </c>
    </row>
    <row r="1344" customFormat="false" ht="15" hidden="false" customHeight="false" outlineLevel="0" collapsed="false">
      <c r="A1344" s="4" t="s">
        <v>1860</v>
      </c>
      <c r="B1344" s="5" t="n">
        <v>0.064</v>
      </c>
      <c r="C1344" s="5" t="n">
        <v>0.065</v>
      </c>
      <c r="D1344" s="5" t="n">
        <f aca="false">IF(AND(ISNUMBER(B1344),ISNUMBER(C1344)),C1344-B1344,"")</f>
        <v>0.001</v>
      </c>
      <c r="E1344" s="4" t="s">
        <v>1811</v>
      </c>
    </row>
    <row r="1345" customFormat="false" ht="15" hidden="false" customHeight="false" outlineLevel="0" collapsed="false">
      <c r="A1345" s="4" t="s">
        <v>1861</v>
      </c>
      <c r="B1345" s="5" t="n">
        <v>0.121</v>
      </c>
      <c r="C1345" s="5" t="n">
        <v>0.121</v>
      </c>
      <c r="D1345" s="5" t="n">
        <f aca="false">IF(AND(ISNUMBER(B1345),ISNUMBER(C1345)),C1345-B1345,"")</f>
        <v>0</v>
      </c>
      <c r="E1345" s="4" t="s">
        <v>531</v>
      </c>
    </row>
    <row r="1346" customFormat="false" ht="15" hidden="false" customHeight="false" outlineLevel="0" collapsed="false">
      <c r="A1346" s="4" t="s">
        <v>1862</v>
      </c>
      <c r="B1346" s="5" t="s">
        <v>1814</v>
      </c>
      <c r="C1346" s="5" t="s">
        <v>1814</v>
      </c>
      <c r="D1346" s="5" t="str">
        <f aca="false">IF(AND(ISNUMBER(B1346),ISNUMBER(C1346)),C1346-B1346,"")</f>
        <v/>
      </c>
      <c r="E1346" s="4" t="s">
        <v>1815</v>
      </c>
    </row>
    <row r="1347" customFormat="false" ht="15" hidden="false" customHeight="false" outlineLevel="0" collapsed="false">
      <c r="A1347" s="4" t="s">
        <v>1863</v>
      </c>
      <c r="B1347" s="5" t="n">
        <v>58</v>
      </c>
      <c r="C1347" s="5" t="n">
        <v>58</v>
      </c>
      <c r="D1347" s="5" t="n">
        <f aca="false">IF(AND(ISNUMBER(B1347),ISNUMBER(C1347)),C1347-B1347,"")</f>
        <v>0</v>
      </c>
      <c r="E1347" s="4" t="s">
        <v>531</v>
      </c>
    </row>
    <row r="1348" customFormat="false" ht="15" hidden="false" customHeight="false" outlineLevel="0" collapsed="false">
      <c r="A1348" s="4" t="s">
        <v>1864</v>
      </c>
      <c r="B1348" s="5" t="n">
        <v>0.293</v>
      </c>
      <c r="C1348" s="5" t="n">
        <v>0.293</v>
      </c>
      <c r="D1348" s="5" t="n">
        <f aca="false">IF(AND(ISNUMBER(B1348),ISNUMBER(C1348)),C1348-B1348,"")</f>
        <v>0</v>
      </c>
      <c r="E1348" s="4" t="s">
        <v>531</v>
      </c>
    </row>
    <row r="1349" customFormat="false" ht="15" hidden="false" customHeight="false" outlineLevel="0" collapsed="false">
      <c r="A1349" s="4" t="s">
        <v>1865</v>
      </c>
      <c r="B1349" s="5" t="n">
        <v>0.204</v>
      </c>
      <c r="C1349" s="5" t="n">
        <v>0.204</v>
      </c>
      <c r="D1349" s="5" t="n">
        <f aca="false">IF(AND(ISNUMBER(B1349),ISNUMBER(C1349)),C1349-B1349,"")</f>
        <v>0</v>
      </c>
      <c r="E1349" s="4" t="s">
        <v>531</v>
      </c>
    </row>
    <row r="1350" customFormat="false" ht="15" hidden="false" customHeight="false" outlineLevel="0" collapsed="false">
      <c r="A1350" s="4" t="s">
        <v>1866</v>
      </c>
      <c r="B1350" s="5" t="n">
        <v>0.089</v>
      </c>
      <c r="C1350" s="5" t="n">
        <v>0.089</v>
      </c>
      <c r="D1350" s="5" t="n">
        <f aca="false">IF(AND(ISNUMBER(B1350),ISNUMBER(C1350)),C1350-B1350,"")</f>
        <v>0</v>
      </c>
      <c r="E1350" s="4" t="s">
        <v>531</v>
      </c>
    </row>
    <row r="1351" customFormat="false" ht="15" hidden="false" customHeight="false" outlineLevel="0" collapsed="false">
      <c r="A1351" s="4" t="s">
        <v>1867</v>
      </c>
      <c r="B1351" s="5" t="n">
        <v>0.13</v>
      </c>
      <c r="C1351" s="5" t="n">
        <v>0.13</v>
      </c>
      <c r="D1351" s="5" t="n">
        <f aca="false">IF(AND(ISNUMBER(B1351),ISNUMBER(C1351)),C1351-B1351,"")</f>
        <v>0</v>
      </c>
      <c r="E1351" s="4" t="s">
        <v>531</v>
      </c>
    </row>
    <row r="1352" customFormat="false" ht="15" hidden="false" customHeight="false" outlineLevel="0" collapsed="false">
      <c r="A1352" s="4" t="s">
        <v>1868</v>
      </c>
      <c r="B1352" s="5" t="s">
        <v>1814</v>
      </c>
      <c r="C1352" s="5" t="s">
        <v>1814</v>
      </c>
      <c r="D1352" s="5" t="str">
        <f aca="false">IF(AND(ISNUMBER(B1352),ISNUMBER(C1352)),C1352-B1352,"")</f>
        <v/>
      </c>
      <c r="E1352" s="4" t="s">
        <v>1815</v>
      </c>
    </row>
    <row r="1353" customFormat="false" ht="15" hidden="false" customHeight="false" outlineLevel="0" collapsed="false">
      <c r="A1353" s="4" t="s">
        <v>1869</v>
      </c>
      <c r="B1353" s="5" t="n">
        <v>59</v>
      </c>
      <c r="C1353" s="5" t="n">
        <v>59</v>
      </c>
      <c r="D1353" s="5" t="n">
        <f aca="false">IF(AND(ISNUMBER(B1353),ISNUMBER(C1353)),C1353-B1353,"")</f>
        <v>0</v>
      </c>
      <c r="E1353" s="4" t="s">
        <v>531</v>
      </c>
    </row>
    <row r="1354" customFormat="false" ht="15" hidden="false" customHeight="false" outlineLevel="0" collapsed="false">
      <c r="A1354" s="4" t="s">
        <v>1870</v>
      </c>
      <c r="B1354" s="5" t="n">
        <v>0.78</v>
      </c>
      <c r="C1354" s="5" t="n">
        <v>0.78</v>
      </c>
      <c r="D1354" s="5" t="n">
        <f aca="false">IF(AND(ISNUMBER(B1354),ISNUMBER(C1354)),C1354-B1354,"")</f>
        <v>0</v>
      </c>
      <c r="E1354" s="4" t="s">
        <v>531</v>
      </c>
    </row>
    <row r="1355" customFormat="false" ht="15" hidden="false" customHeight="false" outlineLevel="0" collapsed="false">
      <c r="A1355" s="4" t="s">
        <v>1871</v>
      </c>
      <c r="B1355" s="5" t="n">
        <v>0.645</v>
      </c>
      <c r="C1355" s="5" t="n">
        <v>0.645</v>
      </c>
      <c r="D1355" s="5" t="n">
        <f aca="false">IF(AND(ISNUMBER(B1355),ISNUMBER(C1355)),C1355-B1355,"")</f>
        <v>0</v>
      </c>
      <c r="E1355" s="4" t="s">
        <v>531</v>
      </c>
    </row>
    <row r="1356" customFormat="false" ht="15" hidden="false" customHeight="false" outlineLevel="0" collapsed="false">
      <c r="A1356" s="4" t="s">
        <v>1872</v>
      </c>
      <c r="B1356" s="5" t="n">
        <v>0.135</v>
      </c>
      <c r="C1356" s="5" t="n">
        <v>0.135</v>
      </c>
      <c r="D1356" s="5" t="n">
        <f aca="false">IF(AND(ISNUMBER(B1356),ISNUMBER(C1356)),C1356-B1356,"")</f>
        <v>0</v>
      </c>
      <c r="E1356" s="4" t="s">
        <v>531</v>
      </c>
    </row>
    <row r="1357" customFormat="false" ht="15" hidden="false" customHeight="false" outlineLevel="0" collapsed="false">
      <c r="A1357" s="4" t="s">
        <v>1873</v>
      </c>
      <c r="B1357" s="5" t="n">
        <v>0.125</v>
      </c>
      <c r="C1357" s="5" t="n">
        <v>0.125</v>
      </c>
      <c r="D1357" s="5" t="n">
        <f aca="false">IF(AND(ISNUMBER(B1357),ISNUMBER(C1357)),C1357-B1357,"")</f>
        <v>0</v>
      </c>
      <c r="E1357" s="4" t="s">
        <v>531</v>
      </c>
    </row>
    <row r="1358" customFormat="false" ht="15" hidden="false" customHeight="false" outlineLevel="0" collapsed="false">
      <c r="A1358" s="4" t="s">
        <v>1874</v>
      </c>
      <c r="B1358" s="5" t="s">
        <v>1849</v>
      </c>
      <c r="C1358" s="5" t="s">
        <v>1849</v>
      </c>
      <c r="D1358" s="5" t="str">
        <f aca="false">IF(AND(ISNUMBER(B1358),ISNUMBER(C1358)),C1358-B1358,"")</f>
        <v/>
      </c>
      <c r="E1358" s="4" t="s">
        <v>1815</v>
      </c>
    </row>
    <row r="1359" customFormat="false" ht="15" hidden="false" customHeight="false" outlineLevel="0" collapsed="false">
      <c r="A1359" s="4" t="s">
        <v>1875</v>
      </c>
      <c r="B1359" s="5" t="n">
        <v>59</v>
      </c>
      <c r="C1359" s="5" t="n">
        <v>59</v>
      </c>
      <c r="D1359" s="5" t="n">
        <f aca="false">IF(AND(ISNUMBER(B1359),ISNUMBER(C1359)),C1359-B1359,"")</f>
        <v>0</v>
      </c>
      <c r="E1359" s="4" t="s">
        <v>531</v>
      </c>
    </row>
    <row r="1360" customFormat="false" ht="15" hidden="false" customHeight="false" outlineLevel="0" collapsed="false">
      <c r="A1360" s="4" t="s">
        <v>1876</v>
      </c>
      <c r="B1360" s="5" t="s">
        <v>178</v>
      </c>
      <c r="C1360" s="5" t="s">
        <v>178</v>
      </c>
      <c r="D1360" s="5" t="str">
        <f aca="false">IF(AND(ISNUMBER(B1360),ISNUMBER(C1360)),C1360-B1360,"")</f>
        <v/>
      </c>
      <c r="E1360" s="4" t="s">
        <v>1815</v>
      </c>
    </row>
    <row r="1361" customFormat="false" ht="15" hidden="false" customHeight="false" outlineLevel="0" collapsed="false">
      <c r="A1361" s="4" t="s">
        <v>1877</v>
      </c>
      <c r="B1361" s="5" t="s">
        <v>27</v>
      </c>
      <c r="C1361" s="5" t="s">
        <v>27</v>
      </c>
      <c r="D1361" s="5" t="str">
        <f aca="false">IF(AND(ISNUMBER(B1361),ISNUMBER(C1361)),C1361-B1361,"")</f>
        <v/>
      </c>
      <c r="E1361" s="4" t="s">
        <v>531</v>
      </c>
    </row>
    <row r="1362" customFormat="false" ht="15" hidden="false" customHeight="false" outlineLevel="0" collapsed="false">
      <c r="A1362" s="4" t="s">
        <v>1878</v>
      </c>
      <c r="B1362" s="5" t="n">
        <v>59</v>
      </c>
      <c r="C1362" s="5" t="n">
        <v>59</v>
      </c>
      <c r="D1362" s="5" t="n">
        <f aca="false">IF(AND(ISNUMBER(B1362),ISNUMBER(C1362)),C1362-B1362,"")</f>
        <v>0</v>
      </c>
      <c r="E1362" s="4" t="s">
        <v>531</v>
      </c>
    </row>
    <row r="1363" customFormat="false" ht="15" hidden="false" customHeight="false" outlineLevel="0" collapsed="false">
      <c r="A1363" s="4" t="s">
        <v>1879</v>
      </c>
      <c r="B1363" s="5" t="n">
        <v>0.254</v>
      </c>
      <c r="C1363" s="5" t="n">
        <v>0.254</v>
      </c>
      <c r="D1363" s="5" t="n">
        <f aca="false">IF(AND(ISNUMBER(B1363),ISNUMBER(C1363)),C1363-B1363,"")</f>
        <v>0</v>
      </c>
      <c r="E1363" s="4" t="s">
        <v>531</v>
      </c>
    </row>
    <row r="1364" customFormat="false" ht="15" hidden="false" customHeight="false" outlineLevel="0" collapsed="false">
      <c r="A1364" s="4" t="s">
        <v>1880</v>
      </c>
      <c r="B1364" s="5" t="n">
        <v>0.325</v>
      </c>
      <c r="C1364" s="5" t="n">
        <v>0.325</v>
      </c>
      <c r="D1364" s="5" t="n">
        <f aca="false">IF(AND(ISNUMBER(B1364),ISNUMBER(C1364)),C1364-B1364,"")</f>
        <v>0</v>
      </c>
      <c r="E1364" s="4" t="s">
        <v>531</v>
      </c>
    </row>
    <row r="1365" customFormat="false" ht="15" hidden="false" customHeight="false" outlineLevel="0" collapsed="false">
      <c r="A1365" s="4" t="s">
        <v>1881</v>
      </c>
      <c r="B1365" s="5" t="n">
        <v>-0.071</v>
      </c>
      <c r="C1365" s="5" t="n">
        <v>-0.071</v>
      </c>
      <c r="D1365" s="5" t="n">
        <f aca="false">IF(AND(ISNUMBER(B1365),ISNUMBER(C1365)),C1365-B1365,"")</f>
        <v>0</v>
      </c>
      <c r="E1365" s="4" t="s">
        <v>531</v>
      </c>
    </row>
    <row r="1366" customFormat="false" ht="15" hidden="false" customHeight="false" outlineLevel="0" collapsed="false">
      <c r="A1366" s="4" t="s">
        <v>1882</v>
      </c>
      <c r="B1366" s="5" t="n">
        <v>0.129</v>
      </c>
      <c r="C1366" s="5" t="n">
        <v>0.129</v>
      </c>
      <c r="D1366" s="5" t="n">
        <f aca="false">IF(AND(ISNUMBER(B1366),ISNUMBER(C1366)),C1366-B1366,"")</f>
        <v>0</v>
      </c>
      <c r="E1366" s="4" t="s">
        <v>531</v>
      </c>
    </row>
    <row r="1367" customFormat="false" ht="15" hidden="false" customHeight="false" outlineLevel="0" collapsed="false">
      <c r="A1367" s="4" t="s">
        <v>1883</v>
      </c>
      <c r="B1367" s="5" t="s">
        <v>1814</v>
      </c>
      <c r="C1367" s="5" t="s">
        <v>1814</v>
      </c>
      <c r="D1367" s="5" t="str">
        <f aca="false">IF(AND(ISNUMBER(B1367),ISNUMBER(C1367)),C1367-B1367,"")</f>
        <v/>
      </c>
      <c r="E1367" s="4" t="s">
        <v>1815</v>
      </c>
    </row>
    <row r="1368" customFormat="false" ht="15" hidden="false" customHeight="false" outlineLevel="0" collapsed="false">
      <c r="A1368" s="4" t="s">
        <v>1884</v>
      </c>
      <c r="B1368" s="5" t="n">
        <v>59</v>
      </c>
      <c r="C1368" s="5" t="n">
        <v>59</v>
      </c>
      <c r="D1368" s="5" t="n">
        <f aca="false">IF(AND(ISNUMBER(B1368),ISNUMBER(C1368)),C1368-B1368,"")</f>
        <v>0</v>
      </c>
      <c r="E1368" s="4" t="s">
        <v>531</v>
      </c>
    </row>
    <row r="1369" customFormat="false" ht="15" hidden="false" customHeight="false" outlineLevel="0" collapsed="false">
      <c r="A1369" s="4" t="s">
        <v>1885</v>
      </c>
      <c r="B1369" s="5" t="n">
        <v>0.763</v>
      </c>
      <c r="C1369" s="5" t="n">
        <v>0.763</v>
      </c>
      <c r="D1369" s="5" t="n">
        <f aca="false">IF(AND(ISNUMBER(B1369),ISNUMBER(C1369)),C1369-B1369,"")</f>
        <v>0</v>
      </c>
      <c r="E1369" s="4" t="s">
        <v>531</v>
      </c>
    </row>
    <row r="1370" customFormat="false" ht="15" hidden="false" customHeight="false" outlineLevel="0" collapsed="false">
      <c r="A1370" s="4" t="s">
        <v>1886</v>
      </c>
      <c r="B1370" s="5" t="n">
        <v>0.594</v>
      </c>
      <c r="C1370" s="5" t="n">
        <v>0.594</v>
      </c>
      <c r="D1370" s="5" t="n">
        <f aca="false">IF(AND(ISNUMBER(B1370),ISNUMBER(C1370)),C1370-B1370,"")</f>
        <v>0</v>
      </c>
      <c r="E1370" s="4" t="s">
        <v>531</v>
      </c>
    </row>
    <row r="1371" customFormat="false" ht="15" hidden="false" customHeight="false" outlineLevel="0" collapsed="false">
      <c r="A1371" s="4" t="s">
        <v>1887</v>
      </c>
      <c r="B1371" s="5" t="n">
        <v>0.169</v>
      </c>
      <c r="C1371" s="5" t="n">
        <v>0.169</v>
      </c>
      <c r="D1371" s="5" t="n">
        <f aca="false">IF(AND(ISNUMBER(B1371),ISNUMBER(C1371)),C1371-B1371,"")</f>
        <v>0</v>
      </c>
      <c r="E1371" s="4" t="s">
        <v>531</v>
      </c>
    </row>
    <row r="1372" customFormat="false" ht="15" hidden="false" customHeight="false" outlineLevel="0" collapsed="false">
      <c r="A1372" s="4" t="s">
        <v>1888</v>
      </c>
      <c r="B1372" s="5" t="n">
        <v>0.128</v>
      </c>
      <c r="C1372" s="5" t="n">
        <v>0.128</v>
      </c>
      <c r="D1372" s="5" t="n">
        <f aca="false">IF(AND(ISNUMBER(B1372),ISNUMBER(C1372)),C1372-B1372,"")</f>
        <v>0</v>
      </c>
      <c r="E1372" s="4" t="s">
        <v>531</v>
      </c>
    </row>
    <row r="1373" customFormat="false" ht="15" hidden="false" customHeight="false" outlineLevel="0" collapsed="false">
      <c r="A1373" s="4" t="s">
        <v>1889</v>
      </c>
      <c r="B1373" s="5" t="s">
        <v>1856</v>
      </c>
      <c r="C1373" s="5" t="s">
        <v>1856</v>
      </c>
      <c r="D1373" s="5" t="str">
        <f aca="false">IF(AND(ISNUMBER(B1373),ISNUMBER(C1373)),C1373-B1373,"")</f>
        <v/>
      </c>
      <c r="E1373" s="4" t="s">
        <v>1815</v>
      </c>
    </row>
    <row r="1374" customFormat="false" ht="15" hidden="false" customHeight="false" outlineLevel="0" collapsed="false">
      <c r="A1374" s="4" t="s">
        <v>1890</v>
      </c>
      <c r="B1374" s="5" t="n">
        <v>58</v>
      </c>
      <c r="C1374" s="5" t="n">
        <v>58</v>
      </c>
      <c r="D1374" s="5" t="n">
        <f aca="false">IF(AND(ISNUMBER(B1374),ISNUMBER(C1374)),C1374-B1374,"")</f>
        <v>0</v>
      </c>
      <c r="E1374" s="4" t="s">
        <v>531</v>
      </c>
    </row>
    <row r="1375" customFormat="false" ht="15" hidden="false" customHeight="false" outlineLevel="0" collapsed="false">
      <c r="A1375" s="4" t="s">
        <v>1891</v>
      </c>
      <c r="B1375" s="5" t="n">
        <v>0.621</v>
      </c>
      <c r="C1375" s="5" t="n">
        <v>0.621</v>
      </c>
      <c r="D1375" s="5" t="n">
        <f aca="false">IF(AND(ISNUMBER(B1375),ISNUMBER(C1375)),C1375-B1375,"")</f>
        <v>0</v>
      </c>
      <c r="E1375" s="4" t="s">
        <v>531</v>
      </c>
    </row>
    <row r="1376" customFormat="false" ht="15" hidden="false" customHeight="false" outlineLevel="0" collapsed="false">
      <c r="A1376" s="4" t="s">
        <v>1892</v>
      </c>
      <c r="B1376" s="5" t="n">
        <v>0.52</v>
      </c>
      <c r="C1376" s="5" t="n">
        <v>0.52</v>
      </c>
      <c r="D1376" s="5" t="n">
        <f aca="false">IF(AND(ISNUMBER(B1376),ISNUMBER(C1376)),C1376-B1376,"")</f>
        <v>0</v>
      </c>
      <c r="E1376" s="4" t="s">
        <v>531</v>
      </c>
    </row>
    <row r="1377" customFormat="false" ht="15" hidden="false" customHeight="false" outlineLevel="0" collapsed="false">
      <c r="A1377" s="4" t="s">
        <v>1893</v>
      </c>
      <c r="B1377" s="5" t="n">
        <v>0.101</v>
      </c>
      <c r="C1377" s="5" t="n">
        <v>0.1</v>
      </c>
      <c r="D1377" s="5" t="n">
        <f aca="false">IF(AND(ISNUMBER(B1377),ISNUMBER(C1377)),C1377-B1377,"")</f>
        <v>-0.001</v>
      </c>
      <c r="E1377" s="4" t="s">
        <v>1811</v>
      </c>
    </row>
    <row r="1378" customFormat="false" ht="15" hidden="false" customHeight="false" outlineLevel="0" collapsed="false">
      <c r="A1378" s="4" t="s">
        <v>1894</v>
      </c>
      <c r="B1378" s="5" t="n">
        <v>0.143</v>
      </c>
      <c r="C1378" s="5" t="n">
        <v>0.143</v>
      </c>
      <c r="D1378" s="5" t="n">
        <f aca="false">IF(AND(ISNUMBER(B1378),ISNUMBER(C1378)),C1378-B1378,"")</f>
        <v>0</v>
      </c>
      <c r="E1378" s="4" t="s">
        <v>531</v>
      </c>
    </row>
    <row r="1379" customFormat="false" ht="15" hidden="false" customHeight="false" outlineLevel="0" collapsed="false">
      <c r="A1379" s="4" t="s">
        <v>1895</v>
      </c>
      <c r="B1379" s="5" t="s">
        <v>1814</v>
      </c>
      <c r="C1379" s="5" t="s">
        <v>1814</v>
      </c>
      <c r="D1379" s="5" t="str">
        <f aca="false">IF(AND(ISNUMBER(B1379),ISNUMBER(C1379)),C1379-B1379,"")</f>
        <v/>
      </c>
      <c r="E1379" s="4" t="s">
        <v>1815</v>
      </c>
    </row>
    <row r="1380" customFormat="false" ht="15" hidden="false" customHeight="false" outlineLevel="0" collapsed="false">
      <c r="A1380" s="4" t="s">
        <v>1896</v>
      </c>
      <c r="B1380" s="5" t="n">
        <v>58</v>
      </c>
      <c r="C1380" s="5" t="n">
        <v>58</v>
      </c>
      <c r="D1380" s="5" t="n">
        <f aca="false">IF(AND(ISNUMBER(B1380),ISNUMBER(C1380)),C1380-B1380,"")</f>
        <v>0</v>
      </c>
      <c r="E1380" s="4" t="s">
        <v>531</v>
      </c>
    </row>
    <row r="1381" customFormat="false" ht="15" hidden="false" customHeight="false" outlineLevel="0" collapsed="false">
      <c r="A1381" s="4" t="s">
        <v>1897</v>
      </c>
      <c r="B1381" s="5" t="n">
        <v>0.328</v>
      </c>
      <c r="C1381" s="5" t="n">
        <v>0.328</v>
      </c>
      <c r="D1381" s="5" t="n">
        <f aca="false">IF(AND(ISNUMBER(B1381),ISNUMBER(C1381)),C1381-B1381,"")</f>
        <v>0</v>
      </c>
      <c r="E1381" s="4" t="s">
        <v>531</v>
      </c>
    </row>
    <row r="1382" customFormat="false" ht="15" hidden="false" customHeight="false" outlineLevel="0" collapsed="false">
      <c r="A1382" s="4" t="s">
        <v>1898</v>
      </c>
      <c r="B1382" s="5" t="n">
        <v>0.281</v>
      </c>
      <c r="C1382" s="5" t="n">
        <v>0.281</v>
      </c>
      <c r="D1382" s="5" t="n">
        <f aca="false">IF(AND(ISNUMBER(B1382),ISNUMBER(C1382)),C1382-B1382,"")</f>
        <v>0</v>
      </c>
      <c r="E1382" s="4" t="s">
        <v>531</v>
      </c>
    </row>
    <row r="1383" customFormat="false" ht="15" hidden="false" customHeight="false" outlineLevel="0" collapsed="false">
      <c r="A1383" s="4" t="s">
        <v>1899</v>
      </c>
      <c r="B1383" s="5" t="n">
        <v>0.047</v>
      </c>
      <c r="C1383" s="5" t="n">
        <v>0.047</v>
      </c>
      <c r="D1383" s="5" t="n">
        <f aca="false">IF(AND(ISNUMBER(B1383),ISNUMBER(C1383)),C1383-B1383,"")</f>
        <v>0</v>
      </c>
      <c r="E1383" s="4" t="s">
        <v>531</v>
      </c>
    </row>
    <row r="1384" customFormat="false" ht="15" hidden="false" customHeight="false" outlineLevel="0" collapsed="false">
      <c r="A1384" s="4" t="s">
        <v>1900</v>
      </c>
      <c r="B1384" s="5" t="n">
        <v>0.136</v>
      </c>
      <c r="C1384" s="5" t="n">
        <v>0.136</v>
      </c>
      <c r="D1384" s="5" t="n">
        <f aca="false">IF(AND(ISNUMBER(B1384),ISNUMBER(C1384)),C1384-B1384,"")</f>
        <v>0</v>
      </c>
      <c r="E1384" s="4" t="s">
        <v>531</v>
      </c>
    </row>
    <row r="1385" customFormat="false" ht="15" hidden="false" customHeight="false" outlineLevel="0" collapsed="false">
      <c r="A1385" s="4" t="s">
        <v>1901</v>
      </c>
      <c r="B1385" s="5" t="s">
        <v>1814</v>
      </c>
      <c r="C1385" s="5" t="s">
        <v>1814</v>
      </c>
      <c r="D1385" s="5" t="str">
        <f aca="false">IF(AND(ISNUMBER(B1385),ISNUMBER(C1385)),C1385-B1385,"")</f>
        <v/>
      </c>
      <c r="E1385" s="4" t="s">
        <v>1815</v>
      </c>
    </row>
    <row r="1386" customFormat="false" ht="15" hidden="false" customHeight="false" outlineLevel="0" collapsed="false">
      <c r="A1386" s="4" t="s">
        <v>1902</v>
      </c>
      <c r="B1386" s="5" t="n">
        <v>58</v>
      </c>
      <c r="C1386" s="5" t="n">
        <v>58</v>
      </c>
      <c r="D1386" s="5" t="n">
        <f aca="false">IF(AND(ISNUMBER(B1386),ISNUMBER(C1386)),C1386-B1386,"")</f>
        <v>0</v>
      </c>
      <c r="E1386" s="4" t="s">
        <v>531</v>
      </c>
    </row>
    <row r="1387" customFormat="false" ht="15" hidden="false" customHeight="false" outlineLevel="0" collapsed="false">
      <c r="A1387" s="4" t="s">
        <v>1903</v>
      </c>
      <c r="B1387" s="5" t="n">
        <v>0.207</v>
      </c>
      <c r="C1387" s="5" t="n">
        <v>0.207</v>
      </c>
      <c r="D1387" s="5" t="n">
        <f aca="false">IF(AND(ISNUMBER(B1387),ISNUMBER(C1387)),C1387-B1387,"")</f>
        <v>0</v>
      </c>
      <c r="E1387" s="4" t="s">
        <v>531</v>
      </c>
    </row>
    <row r="1388" customFormat="false" ht="15" hidden="false" customHeight="false" outlineLevel="0" collapsed="false">
      <c r="A1388" s="4" t="s">
        <v>1904</v>
      </c>
      <c r="B1388" s="5" t="n">
        <v>0.213</v>
      </c>
      <c r="C1388" s="5" t="n">
        <v>0.213</v>
      </c>
      <c r="D1388" s="5" t="n">
        <f aca="false">IF(AND(ISNUMBER(B1388),ISNUMBER(C1388)),C1388-B1388,"")</f>
        <v>0</v>
      </c>
      <c r="E1388" s="4" t="s">
        <v>531</v>
      </c>
    </row>
    <row r="1389" customFormat="false" ht="15" hidden="false" customHeight="false" outlineLevel="0" collapsed="false">
      <c r="A1389" s="4" t="s">
        <v>1905</v>
      </c>
      <c r="B1389" s="5" t="n">
        <v>-0.006</v>
      </c>
      <c r="C1389" s="5" t="n">
        <v>-0.006</v>
      </c>
      <c r="D1389" s="5" t="n">
        <f aca="false">IF(AND(ISNUMBER(B1389),ISNUMBER(C1389)),C1389-B1389,"")</f>
        <v>0</v>
      </c>
      <c r="E1389" s="4" t="s">
        <v>531</v>
      </c>
    </row>
    <row r="1390" customFormat="false" ht="15" hidden="false" customHeight="false" outlineLevel="0" collapsed="false">
      <c r="A1390" s="4" t="s">
        <v>1906</v>
      </c>
      <c r="B1390" s="5" t="n">
        <v>0.119</v>
      </c>
      <c r="C1390" s="5" t="n">
        <v>0.119</v>
      </c>
      <c r="D1390" s="5" t="n">
        <f aca="false">IF(AND(ISNUMBER(B1390),ISNUMBER(C1390)),C1390-B1390,"")</f>
        <v>0</v>
      </c>
      <c r="E1390" s="4" t="s">
        <v>531</v>
      </c>
    </row>
    <row r="1391" customFormat="false" ht="15" hidden="false" customHeight="false" outlineLevel="0" collapsed="false">
      <c r="A1391" s="4" t="s">
        <v>1907</v>
      </c>
      <c r="B1391" s="5" t="s">
        <v>1814</v>
      </c>
      <c r="C1391" s="5" t="s">
        <v>1814</v>
      </c>
      <c r="D1391" s="5" t="str">
        <f aca="false">IF(AND(ISNUMBER(B1391),ISNUMBER(C1391)),C1391-B1391,"")</f>
        <v/>
      </c>
      <c r="E1391" s="4" t="s">
        <v>1815</v>
      </c>
    </row>
    <row r="1392" customFormat="false" ht="15" hidden="false" customHeight="false" outlineLevel="0" collapsed="false">
      <c r="A1392" s="4" t="s">
        <v>1908</v>
      </c>
      <c r="B1392" s="5" t="n">
        <v>58</v>
      </c>
      <c r="C1392" s="5" t="n">
        <v>58</v>
      </c>
      <c r="D1392" s="5" t="n">
        <f aca="false">IF(AND(ISNUMBER(B1392),ISNUMBER(C1392)),C1392-B1392,"")</f>
        <v>0</v>
      </c>
      <c r="E1392" s="4" t="s">
        <v>531</v>
      </c>
    </row>
    <row r="1393" customFormat="false" ht="15" hidden="false" customHeight="false" outlineLevel="0" collapsed="false">
      <c r="A1393" s="4" t="s">
        <v>1909</v>
      </c>
      <c r="B1393" s="5" t="n">
        <v>1.345</v>
      </c>
      <c r="C1393" s="5" t="n">
        <v>1.345</v>
      </c>
      <c r="D1393" s="5" t="n">
        <f aca="false">IF(AND(ISNUMBER(B1393),ISNUMBER(C1393)),C1393-B1393,"")</f>
        <v>0</v>
      </c>
      <c r="E1393" s="4" t="s">
        <v>531</v>
      </c>
    </row>
    <row r="1394" customFormat="false" ht="15" hidden="false" customHeight="false" outlineLevel="0" collapsed="false">
      <c r="A1394" s="4" t="s">
        <v>1910</v>
      </c>
      <c r="B1394" s="5" t="n">
        <v>1.041</v>
      </c>
      <c r="C1394" s="5" t="n">
        <v>1.041</v>
      </c>
      <c r="D1394" s="5" t="n">
        <f aca="false">IF(AND(ISNUMBER(B1394),ISNUMBER(C1394)),C1394-B1394,"")</f>
        <v>0</v>
      </c>
      <c r="E1394" s="4" t="s">
        <v>531</v>
      </c>
    </row>
    <row r="1395" customFormat="false" ht="15" hidden="false" customHeight="false" outlineLevel="0" collapsed="false">
      <c r="A1395" s="4" t="s">
        <v>1911</v>
      </c>
      <c r="B1395" s="5" t="n">
        <v>0.304</v>
      </c>
      <c r="C1395" s="5" t="n">
        <v>0.304</v>
      </c>
      <c r="D1395" s="5" t="n">
        <f aca="false">IF(AND(ISNUMBER(B1395),ISNUMBER(C1395)),C1395-B1395,"")</f>
        <v>0</v>
      </c>
      <c r="E1395" s="4" t="s">
        <v>531</v>
      </c>
    </row>
    <row r="1396" customFormat="false" ht="15" hidden="false" customHeight="false" outlineLevel="0" collapsed="false">
      <c r="A1396" s="4" t="s">
        <v>1912</v>
      </c>
      <c r="B1396" s="5" t="n">
        <v>0.272</v>
      </c>
      <c r="C1396" s="5" t="n">
        <v>0.272</v>
      </c>
      <c r="D1396" s="5" t="n">
        <f aca="false">IF(AND(ISNUMBER(B1396),ISNUMBER(C1396)),C1396-B1396,"")</f>
        <v>0</v>
      </c>
      <c r="E1396" s="4" t="s">
        <v>531</v>
      </c>
    </row>
    <row r="1397" customFormat="false" ht="15" hidden="false" customHeight="false" outlineLevel="0" collapsed="false">
      <c r="A1397" s="4" t="s">
        <v>1913</v>
      </c>
      <c r="B1397" s="5" t="s">
        <v>1856</v>
      </c>
      <c r="C1397" s="5" t="s">
        <v>1856</v>
      </c>
      <c r="D1397" s="5" t="str">
        <f aca="false">IF(AND(ISNUMBER(B1397),ISNUMBER(C1397)),C1397-B1397,"")</f>
        <v/>
      </c>
      <c r="E1397" s="4" t="s">
        <v>1815</v>
      </c>
    </row>
    <row r="1398" customFormat="false" ht="15" hidden="false" customHeight="false" outlineLevel="0" collapsed="false">
      <c r="A1398" s="4" t="s">
        <v>1914</v>
      </c>
      <c r="B1398" s="5" t="n">
        <v>59</v>
      </c>
      <c r="C1398" s="5" t="n">
        <v>59</v>
      </c>
      <c r="D1398" s="5" t="n">
        <f aca="false">IF(AND(ISNUMBER(B1398),ISNUMBER(C1398)),C1398-B1398,"")</f>
        <v>0</v>
      </c>
      <c r="E1398" s="4" t="s">
        <v>531</v>
      </c>
    </row>
    <row r="1399" customFormat="false" ht="15" hidden="false" customHeight="false" outlineLevel="0" collapsed="false">
      <c r="A1399" s="4" t="s">
        <v>1915</v>
      </c>
      <c r="B1399" s="5" t="s">
        <v>27</v>
      </c>
      <c r="C1399" s="5" t="s">
        <v>27</v>
      </c>
      <c r="D1399" s="5" t="str">
        <f aca="false">IF(AND(ISNUMBER(B1399),ISNUMBER(C1399)),C1399-B1399,"")</f>
        <v/>
      </c>
      <c r="E1399" s="4" t="s">
        <v>531</v>
      </c>
    </row>
    <row r="1400" customFormat="false" ht="15" hidden="false" customHeight="false" outlineLevel="0" collapsed="false">
      <c r="A1400" s="4" t="s">
        <v>1916</v>
      </c>
      <c r="B1400" s="5" t="s">
        <v>27</v>
      </c>
      <c r="C1400" s="5" t="s">
        <v>27</v>
      </c>
      <c r="D1400" s="5" t="str">
        <f aca="false">IF(AND(ISNUMBER(B1400),ISNUMBER(C1400)),C1400-B1400,"")</f>
        <v/>
      </c>
      <c r="E1400" s="4" t="s">
        <v>531</v>
      </c>
    </row>
    <row r="1401" customFormat="false" ht="15" hidden="false" customHeight="false" outlineLevel="0" collapsed="false">
      <c r="A1401" s="4" t="s">
        <v>1917</v>
      </c>
      <c r="B1401" s="5" t="s">
        <v>27</v>
      </c>
      <c r="C1401" s="5" t="s">
        <v>27</v>
      </c>
      <c r="D1401" s="5" t="str">
        <f aca="false">IF(AND(ISNUMBER(B1401),ISNUMBER(C1401)),C1401-B1401,"")</f>
        <v/>
      </c>
      <c r="E1401" s="4" t="s">
        <v>531</v>
      </c>
    </row>
    <row r="1402" customFormat="false" ht="15" hidden="false" customHeight="false" outlineLevel="0" collapsed="false">
      <c r="A1402" s="4" t="s">
        <v>1918</v>
      </c>
      <c r="B1402" s="5" t="s">
        <v>27</v>
      </c>
      <c r="C1402" s="5" t="s">
        <v>27</v>
      </c>
      <c r="D1402" s="5" t="str">
        <f aca="false">IF(AND(ISNUMBER(B1402),ISNUMBER(C1402)),C1402-B1402,"")</f>
        <v/>
      </c>
      <c r="E1402" s="4" t="s">
        <v>531</v>
      </c>
    </row>
    <row r="1403" customFormat="false" ht="15" hidden="false" customHeight="false" outlineLevel="0" collapsed="false">
      <c r="A1403" s="4" t="s">
        <v>1919</v>
      </c>
      <c r="B1403" s="5" t="s">
        <v>27</v>
      </c>
      <c r="C1403" s="5" t="s">
        <v>27</v>
      </c>
      <c r="D1403" s="5" t="str">
        <f aca="false">IF(AND(ISNUMBER(B1403),ISNUMBER(C1403)),C1403-B1403,"")</f>
        <v/>
      </c>
      <c r="E1403" s="4" t="s">
        <v>1815</v>
      </c>
    </row>
    <row r="1404" customFormat="false" ht="15" hidden="false" customHeight="false" outlineLevel="0" collapsed="false">
      <c r="A1404" s="4" t="s">
        <v>1920</v>
      </c>
      <c r="B1404" s="5" t="n">
        <v>58</v>
      </c>
      <c r="C1404" s="5" t="n">
        <v>58</v>
      </c>
      <c r="D1404" s="5" t="n">
        <f aca="false">IF(AND(ISNUMBER(B1404),ISNUMBER(C1404)),C1404-B1404,"")</f>
        <v>0</v>
      </c>
      <c r="E1404" s="4" t="s">
        <v>531</v>
      </c>
    </row>
    <row r="1405" customFormat="false" ht="15" hidden="false" customHeight="false" outlineLevel="0" collapsed="false">
      <c r="A1405" s="4" t="s">
        <v>1921</v>
      </c>
      <c r="B1405" s="5" t="n">
        <v>0.793</v>
      </c>
      <c r="C1405" s="5" t="n">
        <v>0.793</v>
      </c>
      <c r="D1405" s="5" t="n">
        <f aca="false">IF(AND(ISNUMBER(B1405),ISNUMBER(C1405)),C1405-B1405,"")</f>
        <v>0</v>
      </c>
      <c r="E1405" s="4" t="s">
        <v>531</v>
      </c>
    </row>
    <row r="1406" customFormat="false" ht="15" hidden="false" customHeight="false" outlineLevel="0" collapsed="false">
      <c r="A1406" s="4" t="s">
        <v>1922</v>
      </c>
      <c r="B1406" s="5" t="n">
        <v>0.704</v>
      </c>
      <c r="C1406" s="5" t="n">
        <v>0.704</v>
      </c>
      <c r="D1406" s="5" t="n">
        <f aca="false">IF(AND(ISNUMBER(B1406),ISNUMBER(C1406)),C1406-B1406,"")</f>
        <v>0</v>
      </c>
      <c r="E1406" s="4" t="s">
        <v>531</v>
      </c>
    </row>
    <row r="1407" customFormat="false" ht="15" hidden="false" customHeight="false" outlineLevel="0" collapsed="false">
      <c r="A1407" s="4" t="s">
        <v>1923</v>
      </c>
      <c r="B1407" s="5" t="n">
        <v>0.089</v>
      </c>
      <c r="C1407" s="5" t="n">
        <v>0.089</v>
      </c>
      <c r="D1407" s="5" t="n">
        <f aca="false">IF(AND(ISNUMBER(B1407),ISNUMBER(C1407)),C1407-B1407,"")</f>
        <v>0</v>
      </c>
      <c r="E1407" s="4" t="s">
        <v>531</v>
      </c>
    </row>
    <row r="1408" customFormat="false" ht="15" hidden="false" customHeight="false" outlineLevel="0" collapsed="false">
      <c r="A1408" s="4" t="s">
        <v>1924</v>
      </c>
      <c r="B1408" s="5" t="n">
        <v>0.292</v>
      </c>
      <c r="C1408" s="5" t="n">
        <v>0.292</v>
      </c>
      <c r="D1408" s="5" t="n">
        <f aca="false">IF(AND(ISNUMBER(B1408),ISNUMBER(C1408)),C1408-B1408,"")</f>
        <v>0</v>
      </c>
      <c r="E1408" s="4" t="s">
        <v>531</v>
      </c>
    </row>
    <row r="1409" customFormat="false" ht="15" hidden="false" customHeight="false" outlineLevel="0" collapsed="false">
      <c r="A1409" s="4" t="s">
        <v>1925</v>
      </c>
      <c r="B1409" s="5" t="s">
        <v>1814</v>
      </c>
      <c r="C1409" s="5" t="s">
        <v>1814</v>
      </c>
      <c r="D1409" s="5" t="str">
        <f aca="false">IF(AND(ISNUMBER(B1409),ISNUMBER(C1409)),C1409-B1409,"")</f>
        <v/>
      </c>
      <c r="E1409" s="4" t="s">
        <v>1815</v>
      </c>
    </row>
    <row r="1410" customFormat="false" ht="15" hidden="false" customHeight="false" outlineLevel="0" collapsed="false">
      <c r="A1410" s="4" t="s">
        <v>1926</v>
      </c>
      <c r="B1410" s="5" t="n">
        <v>58</v>
      </c>
      <c r="C1410" s="5" t="n">
        <v>58</v>
      </c>
      <c r="D1410" s="5" t="n">
        <f aca="false">IF(AND(ISNUMBER(B1410),ISNUMBER(C1410)),C1410-B1410,"")</f>
        <v>0</v>
      </c>
      <c r="E1410" s="4" t="s">
        <v>531</v>
      </c>
    </row>
    <row r="1411" customFormat="false" ht="15" hidden="false" customHeight="false" outlineLevel="0" collapsed="false">
      <c r="A1411" s="4" t="s">
        <v>1927</v>
      </c>
      <c r="B1411" s="5" t="n">
        <v>2.034</v>
      </c>
      <c r="C1411" s="5" t="n">
        <v>2.034</v>
      </c>
      <c r="D1411" s="5" t="n">
        <f aca="false">IF(AND(ISNUMBER(B1411),ISNUMBER(C1411)),C1411-B1411,"")</f>
        <v>0</v>
      </c>
      <c r="E1411" s="4" t="s">
        <v>531</v>
      </c>
    </row>
    <row r="1412" customFormat="false" ht="15" hidden="false" customHeight="false" outlineLevel="0" collapsed="false">
      <c r="A1412" s="4" t="s">
        <v>1928</v>
      </c>
      <c r="B1412" s="5" t="n">
        <v>1.658</v>
      </c>
      <c r="C1412" s="5" t="n">
        <v>1.658</v>
      </c>
      <c r="D1412" s="5" t="n">
        <f aca="false">IF(AND(ISNUMBER(B1412),ISNUMBER(C1412)),C1412-B1412,"")</f>
        <v>0</v>
      </c>
      <c r="E1412" s="4" t="s">
        <v>531</v>
      </c>
    </row>
    <row r="1413" customFormat="false" ht="15" hidden="false" customHeight="false" outlineLevel="0" collapsed="false">
      <c r="A1413" s="4" t="s">
        <v>1929</v>
      </c>
      <c r="B1413" s="5" t="n">
        <v>0.376</v>
      </c>
      <c r="C1413" s="5" t="n">
        <v>0.376</v>
      </c>
      <c r="D1413" s="5" t="n">
        <f aca="false">IF(AND(ISNUMBER(B1413),ISNUMBER(C1413)),C1413-B1413,"")</f>
        <v>0</v>
      </c>
      <c r="E1413" s="4" t="s">
        <v>531</v>
      </c>
    </row>
    <row r="1414" customFormat="false" ht="15" hidden="false" customHeight="false" outlineLevel="0" collapsed="false">
      <c r="A1414" s="4" t="s">
        <v>1930</v>
      </c>
      <c r="B1414" s="5" t="n">
        <v>0.234</v>
      </c>
      <c r="C1414" s="5" t="n">
        <v>0.234</v>
      </c>
      <c r="D1414" s="5" t="n">
        <f aca="false">IF(AND(ISNUMBER(B1414),ISNUMBER(C1414)),C1414-B1414,"")</f>
        <v>0</v>
      </c>
      <c r="E1414" s="4" t="s">
        <v>531</v>
      </c>
    </row>
    <row r="1415" customFormat="false" ht="15" hidden="false" customHeight="false" outlineLevel="0" collapsed="false">
      <c r="A1415" s="4" t="s">
        <v>1931</v>
      </c>
      <c r="B1415" s="5" t="s">
        <v>1856</v>
      </c>
      <c r="C1415" s="5" t="s">
        <v>1856</v>
      </c>
      <c r="D1415" s="5" t="str">
        <f aca="false">IF(AND(ISNUMBER(B1415),ISNUMBER(C1415)),C1415-B1415,"")</f>
        <v/>
      </c>
      <c r="E1415" s="4" t="s">
        <v>1815</v>
      </c>
    </row>
    <row r="1416" customFormat="false" ht="15" hidden="false" customHeight="false" outlineLevel="0" collapsed="false">
      <c r="A1416" s="4" t="s">
        <v>1932</v>
      </c>
      <c r="B1416" s="5" t="n">
        <v>50</v>
      </c>
      <c r="C1416" s="5" t="n">
        <v>50</v>
      </c>
      <c r="D1416" s="5" t="n">
        <f aca="false">IF(AND(ISNUMBER(B1416),ISNUMBER(C1416)),C1416-B1416,"")</f>
        <v>0</v>
      </c>
      <c r="E1416" s="4" t="s">
        <v>531</v>
      </c>
    </row>
    <row r="1417" customFormat="false" ht="15" hidden="false" customHeight="false" outlineLevel="0" collapsed="false">
      <c r="A1417" s="4" t="s">
        <v>1933</v>
      </c>
      <c r="B1417" s="5" t="n">
        <v>0.72</v>
      </c>
      <c r="C1417" s="5" t="n">
        <v>0.72</v>
      </c>
      <c r="D1417" s="5" t="n">
        <f aca="false">IF(AND(ISNUMBER(B1417),ISNUMBER(C1417)),C1417-B1417,"")</f>
        <v>0</v>
      </c>
      <c r="E1417" s="4" t="s">
        <v>531</v>
      </c>
    </row>
    <row r="1418" customFormat="false" ht="15" hidden="false" customHeight="false" outlineLevel="0" collapsed="false">
      <c r="A1418" s="4" t="s">
        <v>1934</v>
      </c>
      <c r="B1418" s="5" t="n">
        <v>0.646</v>
      </c>
      <c r="C1418" s="5" t="n">
        <v>0.646</v>
      </c>
      <c r="D1418" s="5" t="n">
        <f aca="false">IF(AND(ISNUMBER(B1418),ISNUMBER(C1418)),C1418-B1418,"")</f>
        <v>0</v>
      </c>
      <c r="E1418" s="4" t="s">
        <v>531</v>
      </c>
    </row>
    <row r="1419" customFormat="false" ht="15" hidden="false" customHeight="false" outlineLevel="0" collapsed="false">
      <c r="A1419" s="4" t="s">
        <v>1935</v>
      </c>
      <c r="B1419" s="5" t="n">
        <v>0.074</v>
      </c>
      <c r="C1419" s="5" t="n">
        <v>0.074</v>
      </c>
      <c r="D1419" s="5" t="n">
        <f aca="false">IF(AND(ISNUMBER(B1419),ISNUMBER(C1419)),C1419-B1419,"")</f>
        <v>0</v>
      </c>
      <c r="E1419" s="4" t="s">
        <v>531</v>
      </c>
    </row>
    <row r="1420" customFormat="false" ht="15" hidden="false" customHeight="false" outlineLevel="0" collapsed="false">
      <c r="A1420" s="4" t="s">
        <v>1936</v>
      </c>
      <c r="B1420" s="5" t="n">
        <v>0.162</v>
      </c>
      <c r="C1420" s="5" t="n">
        <v>0.162</v>
      </c>
      <c r="D1420" s="5" t="n">
        <f aca="false">IF(AND(ISNUMBER(B1420),ISNUMBER(C1420)),C1420-B1420,"")</f>
        <v>0</v>
      </c>
      <c r="E1420" s="4" t="s">
        <v>531</v>
      </c>
    </row>
    <row r="1421" customFormat="false" ht="15" hidden="false" customHeight="false" outlineLevel="0" collapsed="false">
      <c r="A1421" s="4" t="s">
        <v>1937</v>
      </c>
      <c r="B1421" s="5" t="s">
        <v>1814</v>
      </c>
      <c r="C1421" s="5" t="s">
        <v>1814</v>
      </c>
      <c r="D1421" s="5" t="str">
        <f aca="false">IF(AND(ISNUMBER(B1421),ISNUMBER(C1421)),C1421-B1421,"")</f>
        <v/>
      </c>
      <c r="E1421" s="4" t="s">
        <v>1815</v>
      </c>
    </row>
    <row r="1422" customFormat="false" ht="15" hidden="false" customHeight="false" outlineLevel="0" collapsed="false">
      <c r="A1422" s="4" t="s">
        <v>1938</v>
      </c>
      <c r="B1422" s="5" t="n">
        <v>45</v>
      </c>
      <c r="C1422" s="5" t="n">
        <v>45</v>
      </c>
      <c r="D1422" s="5" t="n">
        <f aca="false">IF(AND(ISNUMBER(B1422),ISNUMBER(C1422)),C1422-B1422,"")</f>
        <v>0</v>
      </c>
      <c r="E1422" s="4" t="s">
        <v>531</v>
      </c>
    </row>
    <row r="1423" customFormat="false" ht="15" hidden="false" customHeight="false" outlineLevel="0" collapsed="false">
      <c r="A1423" s="4" t="s">
        <v>1939</v>
      </c>
      <c r="B1423" s="5" t="n">
        <v>0.511</v>
      </c>
      <c r="C1423" s="5" t="n">
        <v>0.511</v>
      </c>
      <c r="D1423" s="5" t="n">
        <f aca="false">IF(AND(ISNUMBER(B1423),ISNUMBER(C1423)),C1423-B1423,"")</f>
        <v>0</v>
      </c>
      <c r="E1423" s="4" t="s">
        <v>531</v>
      </c>
    </row>
    <row r="1424" customFormat="false" ht="15" hidden="false" customHeight="false" outlineLevel="0" collapsed="false">
      <c r="A1424" s="4" t="s">
        <v>1940</v>
      </c>
      <c r="B1424" s="5" t="n">
        <v>0.5</v>
      </c>
      <c r="C1424" s="5" t="n">
        <v>0.5</v>
      </c>
      <c r="D1424" s="5" t="n">
        <f aca="false">IF(AND(ISNUMBER(B1424),ISNUMBER(C1424)),C1424-B1424,"")</f>
        <v>0</v>
      </c>
      <c r="E1424" s="4" t="s">
        <v>531</v>
      </c>
    </row>
    <row r="1425" customFormat="false" ht="15" hidden="false" customHeight="false" outlineLevel="0" collapsed="false">
      <c r="A1425" s="4" t="s">
        <v>1941</v>
      </c>
      <c r="B1425" s="5" t="n">
        <v>0.011</v>
      </c>
      <c r="C1425" s="5" t="n">
        <v>0.011</v>
      </c>
      <c r="D1425" s="5" t="n">
        <f aca="false">IF(AND(ISNUMBER(B1425),ISNUMBER(C1425)),C1425-B1425,"")</f>
        <v>0</v>
      </c>
      <c r="E1425" s="4" t="s">
        <v>531</v>
      </c>
    </row>
    <row r="1426" customFormat="false" ht="15" hidden="false" customHeight="false" outlineLevel="0" collapsed="false">
      <c r="A1426" s="4" t="s">
        <v>1942</v>
      </c>
      <c r="B1426" s="5" t="n">
        <v>0.185</v>
      </c>
      <c r="C1426" s="5" t="n">
        <v>0.185</v>
      </c>
      <c r="D1426" s="5" t="n">
        <f aca="false">IF(AND(ISNUMBER(B1426),ISNUMBER(C1426)),C1426-B1426,"")</f>
        <v>0</v>
      </c>
      <c r="E1426" s="4" t="s">
        <v>531</v>
      </c>
    </row>
    <row r="1427" customFormat="false" ht="15" hidden="false" customHeight="false" outlineLevel="0" collapsed="false">
      <c r="A1427" s="4" t="s">
        <v>1943</v>
      </c>
      <c r="B1427" s="5" t="s">
        <v>1814</v>
      </c>
      <c r="C1427" s="5" t="s">
        <v>1814</v>
      </c>
      <c r="D1427" s="5" t="str">
        <f aca="false">IF(AND(ISNUMBER(B1427),ISNUMBER(C1427)),C1427-B1427,"")</f>
        <v/>
      </c>
      <c r="E1427" s="4" t="s">
        <v>1815</v>
      </c>
    </row>
    <row r="1428" customFormat="false" ht="15" hidden="false" customHeight="false" outlineLevel="0" collapsed="false">
      <c r="A1428" s="4" t="s">
        <v>1944</v>
      </c>
      <c r="B1428" s="5" t="n">
        <v>51</v>
      </c>
      <c r="C1428" s="5" t="n">
        <v>51</v>
      </c>
      <c r="D1428" s="5" t="n">
        <f aca="false">IF(AND(ISNUMBER(B1428),ISNUMBER(C1428)),C1428-B1428,"")</f>
        <v>0</v>
      </c>
      <c r="E1428" s="4" t="s">
        <v>531</v>
      </c>
    </row>
    <row r="1429" customFormat="false" ht="15" hidden="false" customHeight="false" outlineLevel="0" collapsed="false">
      <c r="A1429" s="4" t="s">
        <v>1945</v>
      </c>
      <c r="B1429" s="5" t="s">
        <v>178</v>
      </c>
      <c r="C1429" s="5" t="s">
        <v>178</v>
      </c>
      <c r="D1429" s="5" t="str">
        <f aca="false">IF(AND(ISNUMBER(B1429),ISNUMBER(C1429)),C1429-B1429,"")</f>
        <v/>
      </c>
      <c r="E1429" s="4" t="s">
        <v>1815</v>
      </c>
    </row>
    <row r="1430" customFormat="false" ht="15" hidden="false" customHeight="false" outlineLevel="0" collapsed="false">
      <c r="A1430" s="4" t="s">
        <v>1946</v>
      </c>
      <c r="B1430" s="5" t="s">
        <v>27</v>
      </c>
      <c r="C1430" s="5" t="s">
        <v>27</v>
      </c>
      <c r="D1430" s="5" t="str">
        <f aca="false">IF(AND(ISNUMBER(B1430),ISNUMBER(C1430)),C1430-B1430,"")</f>
        <v/>
      </c>
      <c r="E1430" s="4" t="s">
        <v>531</v>
      </c>
    </row>
    <row r="1431" customFormat="false" ht="15" hidden="false" customHeight="false" outlineLevel="0" collapsed="false">
      <c r="A1431" s="4" t="s">
        <v>1947</v>
      </c>
      <c r="B1431" s="5" t="n">
        <v>46</v>
      </c>
      <c r="C1431" s="5" t="n">
        <v>46</v>
      </c>
      <c r="D1431" s="5" t="n">
        <f aca="false">IF(AND(ISNUMBER(B1431),ISNUMBER(C1431)),C1431-B1431,"")</f>
        <v>0</v>
      </c>
      <c r="E1431" s="4" t="s">
        <v>531</v>
      </c>
    </row>
    <row r="1432" customFormat="false" ht="15" hidden="false" customHeight="false" outlineLevel="0" collapsed="false">
      <c r="A1432" s="4" t="s">
        <v>1948</v>
      </c>
      <c r="B1432" s="5" t="n">
        <v>3.957</v>
      </c>
      <c r="C1432" s="5" t="n">
        <v>3.957</v>
      </c>
      <c r="D1432" s="5" t="n">
        <f aca="false">IF(AND(ISNUMBER(B1432),ISNUMBER(C1432)),C1432-B1432,"")</f>
        <v>0</v>
      </c>
      <c r="E1432" s="4" t="s">
        <v>531</v>
      </c>
    </row>
    <row r="1433" customFormat="false" ht="15" hidden="false" customHeight="false" outlineLevel="0" collapsed="false">
      <c r="A1433" s="4" t="s">
        <v>1949</v>
      </c>
      <c r="B1433" s="5" t="n">
        <v>3.975</v>
      </c>
      <c r="C1433" s="5" t="n">
        <v>3.975</v>
      </c>
      <c r="D1433" s="5" t="n">
        <f aca="false">IF(AND(ISNUMBER(B1433),ISNUMBER(C1433)),C1433-B1433,"")</f>
        <v>0</v>
      </c>
      <c r="E1433" s="4" t="s">
        <v>531</v>
      </c>
    </row>
    <row r="1434" customFormat="false" ht="15" hidden="false" customHeight="false" outlineLevel="0" collapsed="false">
      <c r="A1434" s="4" t="s">
        <v>1950</v>
      </c>
      <c r="B1434" s="5" t="n">
        <v>-0.018</v>
      </c>
      <c r="C1434" s="5" t="n">
        <v>-0.018</v>
      </c>
      <c r="D1434" s="5" t="n">
        <f aca="false">IF(AND(ISNUMBER(B1434),ISNUMBER(C1434)),C1434-B1434,"")</f>
        <v>0</v>
      </c>
      <c r="E1434" s="4" t="s">
        <v>531</v>
      </c>
    </row>
    <row r="1435" customFormat="false" ht="15" hidden="false" customHeight="false" outlineLevel="0" collapsed="false">
      <c r="A1435" s="4" t="s">
        <v>1951</v>
      </c>
      <c r="B1435" s="5" t="n">
        <v>0.229</v>
      </c>
      <c r="C1435" s="5" t="n">
        <v>0.229</v>
      </c>
      <c r="D1435" s="5" t="n">
        <f aca="false">IF(AND(ISNUMBER(B1435),ISNUMBER(C1435)),C1435-B1435,"")</f>
        <v>0</v>
      </c>
      <c r="E1435" s="4" t="s">
        <v>531</v>
      </c>
    </row>
    <row r="1436" customFormat="false" ht="15" hidden="false" customHeight="false" outlineLevel="0" collapsed="false">
      <c r="A1436" s="4" t="s">
        <v>1952</v>
      </c>
      <c r="B1436" s="5" t="s">
        <v>1814</v>
      </c>
      <c r="C1436" s="5" t="s">
        <v>1814</v>
      </c>
      <c r="D1436" s="5" t="str">
        <f aca="false">IF(AND(ISNUMBER(B1436),ISNUMBER(C1436)),C1436-B1436,"")</f>
        <v/>
      </c>
      <c r="E1436" s="4" t="s">
        <v>1815</v>
      </c>
    </row>
    <row r="1437" customFormat="false" ht="15" hidden="false" customHeight="false" outlineLevel="0" collapsed="false">
      <c r="A1437" s="4" t="s">
        <v>1953</v>
      </c>
      <c r="B1437" s="5" t="n">
        <v>51</v>
      </c>
      <c r="C1437" s="5" t="n">
        <v>51</v>
      </c>
      <c r="D1437" s="5" t="n">
        <f aca="false">IF(AND(ISNUMBER(B1437),ISNUMBER(C1437)),C1437-B1437,"")</f>
        <v>0</v>
      </c>
      <c r="E1437" s="4" t="s">
        <v>531</v>
      </c>
    </row>
    <row r="1438" customFormat="false" ht="15" hidden="false" customHeight="false" outlineLevel="0" collapsed="false">
      <c r="A1438" s="4" t="s">
        <v>1954</v>
      </c>
      <c r="B1438" s="5" t="n">
        <v>0.804</v>
      </c>
      <c r="C1438" s="5" t="n">
        <v>0.804</v>
      </c>
      <c r="D1438" s="5" t="n">
        <f aca="false">IF(AND(ISNUMBER(B1438),ISNUMBER(C1438)),C1438-B1438,"")</f>
        <v>0</v>
      </c>
      <c r="E1438" s="4" t="s">
        <v>531</v>
      </c>
    </row>
    <row r="1439" customFormat="false" ht="15" hidden="false" customHeight="false" outlineLevel="0" collapsed="false">
      <c r="A1439" s="4" t="s">
        <v>1955</v>
      </c>
      <c r="B1439" s="5" t="n">
        <v>0.768</v>
      </c>
      <c r="C1439" s="5" t="n">
        <v>0.768</v>
      </c>
      <c r="D1439" s="5" t="n">
        <f aca="false">IF(AND(ISNUMBER(B1439),ISNUMBER(C1439)),C1439-B1439,"")</f>
        <v>0</v>
      </c>
      <c r="E1439" s="4" t="s">
        <v>531</v>
      </c>
    </row>
    <row r="1440" customFormat="false" ht="15" hidden="false" customHeight="false" outlineLevel="0" collapsed="false">
      <c r="A1440" s="4" t="s">
        <v>1956</v>
      </c>
      <c r="B1440" s="5" t="n">
        <v>0.036</v>
      </c>
      <c r="C1440" s="5" t="n">
        <v>0.036</v>
      </c>
      <c r="D1440" s="5" t="n">
        <f aca="false">IF(AND(ISNUMBER(B1440),ISNUMBER(C1440)),C1440-B1440,"")</f>
        <v>0</v>
      </c>
      <c r="E1440" s="4" t="s">
        <v>531</v>
      </c>
    </row>
    <row r="1441" customFormat="false" ht="15" hidden="false" customHeight="false" outlineLevel="0" collapsed="false">
      <c r="A1441" s="4" t="s">
        <v>1957</v>
      </c>
      <c r="B1441" s="5" t="n">
        <v>0.142</v>
      </c>
      <c r="C1441" s="5" t="n">
        <v>0.142</v>
      </c>
      <c r="D1441" s="5" t="n">
        <f aca="false">IF(AND(ISNUMBER(B1441),ISNUMBER(C1441)),C1441-B1441,"")</f>
        <v>0</v>
      </c>
      <c r="E1441" s="4" t="s">
        <v>531</v>
      </c>
    </row>
    <row r="1442" customFormat="false" ht="15" hidden="false" customHeight="false" outlineLevel="0" collapsed="false">
      <c r="A1442" s="4" t="s">
        <v>1958</v>
      </c>
      <c r="B1442" s="5" t="s">
        <v>1814</v>
      </c>
      <c r="C1442" s="5" t="s">
        <v>1814</v>
      </c>
      <c r="D1442" s="5" t="str">
        <f aca="false">IF(AND(ISNUMBER(B1442),ISNUMBER(C1442)),C1442-B1442,"")</f>
        <v/>
      </c>
      <c r="E1442" s="4" t="s">
        <v>1815</v>
      </c>
    </row>
    <row r="1443" customFormat="false" ht="15" hidden="false" customHeight="false" outlineLevel="0" collapsed="false">
      <c r="A1443" s="4" t="s">
        <v>1959</v>
      </c>
      <c r="B1443" s="5" t="n">
        <v>51</v>
      </c>
      <c r="C1443" s="5" t="n">
        <v>51</v>
      </c>
      <c r="D1443" s="5" t="n">
        <f aca="false">IF(AND(ISNUMBER(B1443),ISNUMBER(C1443)),C1443-B1443,"")</f>
        <v>0</v>
      </c>
      <c r="E1443" s="4" t="s">
        <v>531</v>
      </c>
    </row>
    <row r="1444" customFormat="false" ht="15" hidden="false" customHeight="false" outlineLevel="0" collapsed="false">
      <c r="A1444" s="4" t="s">
        <v>1960</v>
      </c>
      <c r="B1444" s="5" t="s">
        <v>27</v>
      </c>
      <c r="C1444" s="5" t="s">
        <v>27</v>
      </c>
      <c r="D1444" s="5" t="str">
        <f aca="false">IF(AND(ISNUMBER(B1444),ISNUMBER(C1444)),C1444-B1444,"")</f>
        <v/>
      </c>
      <c r="E1444" s="4" t="s">
        <v>531</v>
      </c>
    </row>
    <row r="1445" customFormat="false" ht="15" hidden="false" customHeight="false" outlineLevel="0" collapsed="false">
      <c r="A1445" s="4" t="s">
        <v>1961</v>
      </c>
      <c r="B1445" s="5" t="s">
        <v>27</v>
      </c>
      <c r="C1445" s="5" t="s">
        <v>27</v>
      </c>
      <c r="D1445" s="5" t="str">
        <f aca="false">IF(AND(ISNUMBER(B1445),ISNUMBER(C1445)),C1445-B1445,"")</f>
        <v/>
      </c>
      <c r="E1445" s="4" t="s">
        <v>531</v>
      </c>
    </row>
    <row r="1446" customFormat="false" ht="15" hidden="false" customHeight="false" outlineLevel="0" collapsed="false">
      <c r="A1446" s="4" t="s">
        <v>1962</v>
      </c>
      <c r="B1446" s="5" t="s">
        <v>27</v>
      </c>
      <c r="C1446" s="5" t="s">
        <v>27</v>
      </c>
      <c r="D1446" s="5" t="str">
        <f aca="false">IF(AND(ISNUMBER(B1446),ISNUMBER(C1446)),C1446-B1446,"")</f>
        <v/>
      </c>
      <c r="E1446" s="4" t="s">
        <v>531</v>
      </c>
    </row>
    <row r="1447" customFormat="false" ht="15" hidden="false" customHeight="false" outlineLevel="0" collapsed="false">
      <c r="A1447" s="4" t="s">
        <v>1963</v>
      </c>
      <c r="B1447" s="5" t="s">
        <v>27</v>
      </c>
      <c r="C1447" s="5" t="s">
        <v>27</v>
      </c>
      <c r="D1447" s="5" t="str">
        <f aca="false">IF(AND(ISNUMBER(B1447),ISNUMBER(C1447)),C1447-B1447,"")</f>
        <v/>
      </c>
      <c r="E1447" s="4" t="s">
        <v>531</v>
      </c>
    </row>
    <row r="1448" customFormat="false" ht="15" hidden="false" customHeight="false" outlineLevel="0" collapsed="false">
      <c r="A1448" s="4" t="s">
        <v>1964</v>
      </c>
      <c r="B1448" s="5" t="s">
        <v>27</v>
      </c>
      <c r="C1448" s="5" t="s">
        <v>27</v>
      </c>
      <c r="D1448" s="5" t="str">
        <f aca="false">IF(AND(ISNUMBER(B1448),ISNUMBER(C1448)),C1448-B1448,"")</f>
        <v/>
      </c>
      <c r="E1448" s="4" t="s">
        <v>1815</v>
      </c>
    </row>
    <row r="1449" customFormat="false" ht="15" hidden="false" customHeight="false" outlineLevel="0" collapsed="false">
      <c r="A1449" s="4" t="s">
        <v>1965</v>
      </c>
      <c r="B1449" s="5" t="n">
        <v>51</v>
      </c>
      <c r="C1449" s="5" t="n">
        <v>51</v>
      </c>
      <c r="D1449" s="5" t="n">
        <f aca="false">IF(AND(ISNUMBER(B1449),ISNUMBER(C1449)),C1449-B1449,"")</f>
        <v>0</v>
      </c>
      <c r="E1449" s="4" t="s">
        <v>531</v>
      </c>
    </row>
    <row r="1450" customFormat="false" ht="15" hidden="false" customHeight="false" outlineLevel="0" collapsed="false">
      <c r="A1450" s="4" t="s">
        <v>1966</v>
      </c>
      <c r="B1450" s="5" t="n">
        <v>0.784</v>
      </c>
      <c r="C1450" s="5" t="n">
        <v>0.784</v>
      </c>
      <c r="D1450" s="5" t="n">
        <f aca="false">IF(AND(ISNUMBER(B1450),ISNUMBER(C1450)),C1450-B1450,"")</f>
        <v>0</v>
      </c>
      <c r="E1450" s="4" t="s">
        <v>531</v>
      </c>
    </row>
    <row r="1451" customFormat="false" ht="15" hidden="false" customHeight="false" outlineLevel="0" collapsed="false">
      <c r="A1451" s="4" t="s">
        <v>1967</v>
      </c>
      <c r="B1451" s="5" t="n">
        <v>0.7</v>
      </c>
      <c r="C1451" s="5" t="n">
        <v>0.7</v>
      </c>
      <c r="D1451" s="5" t="n">
        <f aca="false">IF(AND(ISNUMBER(B1451),ISNUMBER(C1451)),C1451-B1451,"")</f>
        <v>0</v>
      </c>
      <c r="E1451" s="4" t="s">
        <v>531</v>
      </c>
    </row>
    <row r="1452" customFormat="false" ht="15" hidden="false" customHeight="false" outlineLevel="0" collapsed="false">
      <c r="A1452" s="4" t="s">
        <v>1968</v>
      </c>
      <c r="B1452" s="5" t="n">
        <v>0.084</v>
      </c>
      <c r="C1452" s="5" t="n">
        <v>0.084</v>
      </c>
      <c r="D1452" s="5" t="n">
        <f aca="false">IF(AND(ISNUMBER(B1452),ISNUMBER(C1452)),C1452-B1452,"")</f>
        <v>0</v>
      </c>
      <c r="E1452" s="4" t="s">
        <v>531</v>
      </c>
    </row>
    <row r="1453" customFormat="false" ht="15" hidden="false" customHeight="false" outlineLevel="0" collapsed="false">
      <c r="A1453" s="4" t="s">
        <v>1969</v>
      </c>
      <c r="B1453" s="5" t="n">
        <v>0.151</v>
      </c>
      <c r="C1453" s="5" t="n">
        <v>0.151</v>
      </c>
      <c r="D1453" s="5" t="n">
        <f aca="false">IF(AND(ISNUMBER(B1453),ISNUMBER(C1453)),C1453-B1453,"")</f>
        <v>0</v>
      </c>
      <c r="E1453" s="4" t="s">
        <v>531</v>
      </c>
    </row>
    <row r="1454" customFormat="false" ht="15" hidden="false" customHeight="false" outlineLevel="0" collapsed="false">
      <c r="A1454" s="4" t="s">
        <v>1970</v>
      </c>
      <c r="B1454" s="5" t="s">
        <v>1814</v>
      </c>
      <c r="C1454" s="5" t="s">
        <v>1814</v>
      </c>
      <c r="D1454" s="5" t="str">
        <f aca="false">IF(AND(ISNUMBER(B1454),ISNUMBER(C1454)),C1454-B1454,"")</f>
        <v/>
      </c>
      <c r="E1454" s="4" t="s">
        <v>1815</v>
      </c>
    </row>
    <row r="1455" customFormat="false" ht="15" hidden="false" customHeight="false" outlineLevel="0" collapsed="false">
      <c r="A1455" s="4" t="s">
        <v>1971</v>
      </c>
      <c r="B1455" s="5" t="n">
        <v>51</v>
      </c>
      <c r="C1455" s="5" t="n">
        <v>51</v>
      </c>
      <c r="D1455" s="5" t="n">
        <f aca="false">IF(AND(ISNUMBER(B1455),ISNUMBER(C1455)),C1455-B1455,"")</f>
        <v>0</v>
      </c>
      <c r="E1455" s="4" t="s">
        <v>531</v>
      </c>
    </row>
    <row r="1456" customFormat="false" ht="15" hidden="false" customHeight="false" outlineLevel="0" collapsed="false">
      <c r="A1456" s="4" t="s">
        <v>1972</v>
      </c>
      <c r="B1456" s="5" t="n">
        <v>0.765</v>
      </c>
      <c r="C1456" s="5" t="n">
        <v>0.765</v>
      </c>
      <c r="D1456" s="5" t="n">
        <f aca="false">IF(AND(ISNUMBER(B1456),ISNUMBER(C1456)),C1456-B1456,"")</f>
        <v>0</v>
      </c>
      <c r="E1456" s="4" t="s">
        <v>531</v>
      </c>
    </row>
    <row r="1457" customFormat="false" ht="15" hidden="false" customHeight="false" outlineLevel="0" collapsed="false">
      <c r="A1457" s="4" t="s">
        <v>1973</v>
      </c>
      <c r="B1457" s="5" t="n">
        <v>0.787</v>
      </c>
      <c r="C1457" s="5" t="n">
        <v>0.787</v>
      </c>
      <c r="D1457" s="5" t="n">
        <f aca="false">IF(AND(ISNUMBER(B1457),ISNUMBER(C1457)),C1457-B1457,"")</f>
        <v>0</v>
      </c>
      <c r="E1457" s="4" t="s">
        <v>531</v>
      </c>
    </row>
    <row r="1458" customFormat="false" ht="15" hidden="false" customHeight="false" outlineLevel="0" collapsed="false">
      <c r="A1458" s="4" t="s">
        <v>1974</v>
      </c>
      <c r="B1458" s="5" t="n">
        <v>-0.022</v>
      </c>
      <c r="C1458" s="5" t="n">
        <v>-0.023</v>
      </c>
      <c r="D1458" s="5" t="n">
        <f aca="false">IF(AND(ISNUMBER(B1458),ISNUMBER(C1458)),C1458-B1458,"")</f>
        <v>-0.001</v>
      </c>
      <c r="E1458" s="4" t="s">
        <v>1811</v>
      </c>
    </row>
    <row r="1459" customFormat="false" ht="15" hidden="false" customHeight="false" outlineLevel="0" collapsed="false">
      <c r="A1459" s="4" t="s">
        <v>1975</v>
      </c>
      <c r="B1459" s="5" t="n">
        <v>0.147</v>
      </c>
      <c r="C1459" s="5" t="n">
        <v>0.147</v>
      </c>
      <c r="D1459" s="5" t="n">
        <f aca="false">IF(AND(ISNUMBER(B1459),ISNUMBER(C1459)),C1459-B1459,"")</f>
        <v>0</v>
      </c>
      <c r="E1459" s="4" t="s">
        <v>531</v>
      </c>
    </row>
    <row r="1460" customFormat="false" ht="15" hidden="false" customHeight="false" outlineLevel="0" collapsed="false">
      <c r="A1460" s="4" t="s">
        <v>1976</v>
      </c>
      <c r="B1460" s="5" t="s">
        <v>1814</v>
      </c>
      <c r="C1460" s="5" t="s">
        <v>1814</v>
      </c>
      <c r="D1460" s="5" t="str">
        <f aca="false">IF(AND(ISNUMBER(B1460),ISNUMBER(C1460)),C1460-B1460,"")</f>
        <v/>
      </c>
      <c r="E1460" s="4" t="s">
        <v>1815</v>
      </c>
    </row>
    <row r="1461" customFormat="false" ht="15" hidden="false" customHeight="false" outlineLevel="0" collapsed="false">
      <c r="A1461" s="4" t="s">
        <v>1977</v>
      </c>
      <c r="B1461" s="5" t="n">
        <v>51</v>
      </c>
      <c r="C1461" s="5" t="n">
        <v>51</v>
      </c>
      <c r="D1461" s="5" t="n">
        <f aca="false">IF(AND(ISNUMBER(B1461),ISNUMBER(C1461)),C1461-B1461,"")</f>
        <v>0</v>
      </c>
      <c r="E1461" s="4" t="s">
        <v>531</v>
      </c>
    </row>
    <row r="1462" customFormat="false" ht="15" hidden="false" customHeight="false" outlineLevel="0" collapsed="false">
      <c r="A1462" s="4" t="s">
        <v>1978</v>
      </c>
      <c r="B1462" s="5" t="s">
        <v>156</v>
      </c>
      <c r="C1462" s="5" t="s">
        <v>156</v>
      </c>
      <c r="D1462" s="5" t="str">
        <f aca="false">IF(AND(ISNUMBER(B1462),ISNUMBER(C1462)),C1462-B1462,"")</f>
        <v/>
      </c>
      <c r="E1462" s="4" t="s">
        <v>1815</v>
      </c>
    </row>
    <row r="1463" customFormat="false" ht="15" hidden="false" customHeight="false" outlineLevel="0" collapsed="false">
      <c r="A1463" s="4" t="s">
        <v>1979</v>
      </c>
      <c r="B1463" s="5" t="s">
        <v>27</v>
      </c>
      <c r="C1463" s="5" t="s">
        <v>27</v>
      </c>
      <c r="D1463" s="5" t="str">
        <f aca="false">IF(AND(ISNUMBER(B1463),ISNUMBER(C1463)),C1463-B1463,"")</f>
        <v/>
      </c>
      <c r="E1463" s="4" t="s">
        <v>1815</v>
      </c>
    </row>
    <row r="1464" customFormat="false" ht="15" hidden="false" customHeight="false" outlineLevel="0" collapsed="false">
      <c r="A1464" s="4" t="s">
        <v>1980</v>
      </c>
      <c r="B1464" s="5" t="n">
        <v>51</v>
      </c>
      <c r="C1464" s="5" t="n">
        <v>51</v>
      </c>
      <c r="D1464" s="5" t="n">
        <f aca="false">IF(AND(ISNUMBER(B1464),ISNUMBER(C1464)),C1464-B1464,"")</f>
        <v>0</v>
      </c>
      <c r="E1464" s="4" t="s">
        <v>531</v>
      </c>
    </row>
    <row r="1465" customFormat="false" ht="15" hidden="false" customHeight="false" outlineLevel="0" collapsed="false">
      <c r="A1465" s="4" t="s">
        <v>1981</v>
      </c>
      <c r="B1465" s="5" t="n">
        <v>0.373</v>
      </c>
      <c r="C1465" s="5" t="n">
        <v>0.373</v>
      </c>
      <c r="D1465" s="5" t="n">
        <f aca="false">IF(AND(ISNUMBER(B1465),ISNUMBER(C1465)),C1465-B1465,"")</f>
        <v>0</v>
      </c>
      <c r="E1465" s="4" t="s">
        <v>531</v>
      </c>
    </row>
    <row r="1466" customFormat="false" ht="15" hidden="false" customHeight="false" outlineLevel="0" collapsed="false">
      <c r="A1466" s="4" t="s">
        <v>1982</v>
      </c>
      <c r="B1466" s="5" t="n">
        <v>0.231</v>
      </c>
      <c r="C1466" s="5" t="n">
        <v>0.231</v>
      </c>
      <c r="D1466" s="5" t="n">
        <f aca="false">IF(AND(ISNUMBER(B1466),ISNUMBER(C1466)),C1466-B1466,"")</f>
        <v>0</v>
      </c>
      <c r="E1466" s="4" t="s">
        <v>531</v>
      </c>
    </row>
    <row r="1467" customFormat="false" ht="15" hidden="false" customHeight="false" outlineLevel="0" collapsed="false">
      <c r="A1467" s="4" t="s">
        <v>1983</v>
      </c>
      <c r="B1467" s="5" t="n">
        <v>0.142</v>
      </c>
      <c r="C1467" s="5" t="n">
        <v>0.142</v>
      </c>
      <c r="D1467" s="5" t="n">
        <f aca="false">IF(AND(ISNUMBER(B1467),ISNUMBER(C1467)),C1467-B1467,"")</f>
        <v>0</v>
      </c>
      <c r="E1467" s="4" t="s">
        <v>531</v>
      </c>
    </row>
    <row r="1468" customFormat="false" ht="15" hidden="false" customHeight="false" outlineLevel="0" collapsed="false">
      <c r="A1468" s="4" t="s">
        <v>1984</v>
      </c>
      <c r="B1468" s="5" t="n">
        <v>0.162</v>
      </c>
      <c r="C1468" s="5" t="n">
        <v>0.162</v>
      </c>
      <c r="D1468" s="5" t="n">
        <f aca="false">IF(AND(ISNUMBER(B1468),ISNUMBER(C1468)),C1468-B1468,"")</f>
        <v>0</v>
      </c>
      <c r="E1468" s="4" t="s">
        <v>531</v>
      </c>
    </row>
    <row r="1469" customFormat="false" ht="15" hidden="false" customHeight="false" outlineLevel="0" collapsed="false">
      <c r="A1469" s="4" t="s">
        <v>1985</v>
      </c>
      <c r="B1469" s="5" t="s">
        <v>1814</v>
      </c>
      <c r="C1469" s="5" t="s">
        <v>1814</v>
      </c>
      <c r="D1469" s="5" t="str">
        <f aca="false">IF(AND(ISNUMBER(B1469),ISNUMBER(C1469)),C1469-B1469,"")</f>
        <v/>
      </c>
      <c r="E1469" s="4" t="s">
        <v>1815</v>
      </c>
    </row>
    <row r="1470" customFormat="false" ht="15" hidden="false" customHeight="false" outlineLevel="0" collapsed="false">
      <c r="A1470" s="4" t="s">
        <v>1986</v>
      </c>
      <c r="B1470" s="5" t="n">
        <v>51</v>
      </c>
      <c r="C1470" s="5" t="n">
        <v>51</v>
      </c>
      <c r="D1470" s="5" t="n">
        <f aca="false">IF(AND(ISNUMBER(B1470),ISNUMBER(C1470)),C1470-B1470,"")</f>
        <v>0</v>
      </c>
      <c r="E1470" s="4" t="s">
        <v>531</v>
      </c>
    </row>
    <row r="1471" customFormat="false" ht="15" hidden="false" customHeight="false" outlineLevel="0" collapsed="false">
      <c r="A1471" s="4" t="s">
        <v>1987</v>
      </c>
      <c r="B1471" s="5" t="n">
        <v>0.392</v>
      </c>
      <c r="C1471" s="5" t="n">
        <v>0.392</v>
      </c>
      <c r="D1471" s="5" t="n">
        <f aca="false">IF(AND(ISNUMBER(B1471),ISNUMBER(C1471)),C1471-B1471,"")</f>
        <v>0</v>
      </c>
      <c r="E1471" s="4" t="s">
        <v>531</v>
      </c>
    </row>
    <row r="1472" customFormat="false" ht="15" hidden="false" customHeight="false" outlineLevel="0" collapsed="false">
      <c r="A1472" s="4" t="s">
        <v>1988</v>
      </c>
      <c r="B1472" s="5" t="n">
        <v>0.269</v>
      </c>
      <c r="C1472" s="5" t="n">
        <v>0.269</v>
      </c>
      <c r="D1472" s="5" t="n">
        <f aca="false">IF(AND(ISNUMBER(B1472),ISNUMBER(C1472)),C1472-B1472,"")</f>
        <v>0</v>
      </c>
      <c r="E1472" s="4" t="s">
        <v>531</v>
      </c>
    </row>
    <row r="1473" customFormat="false" ht="15" hidden="false" customHeight="false" outlineLevel="0" collapsed="false">
      <c r="A1473" s="4" t="s">
        <v>1989</v>
      </c>
      <c r="B1473" s="5" t="n">
        <v>0.123</v>
      </c>
      <c r="C1473" s="5" t="n">
        <v>0.123</v>
      </c>
      <c r="D1473" s="5" t="n">
        <f aca="false">IF(AND(ISNUMBER(B1473),ISNUMBER(C1473)),C1473-B1473,"")</f>
        <v>0</v>
      </c>
      <c r="E1473" s="4" t="s">
        <v>531</v>
      </c>
    </row>
    <row r="1474" customFormat="false" ht="15" hidden="false" customHeight="false" outlineLevel="0" collapsed="false">
      <c r="A1474" s="4" t="s">
        <v>1990</v>
      </c>
      <c r="B1474" s="5" t="n">
        <v>0.166</v>
      </c>
      <c r="C1474" s="5" t="n">
        <v>0.166</v>
      </c>
      <c r="D1474" s="5" t="n">
        <f aca="false">IF(AND(ISNUMBER(B1474),ISNUMBER(C1474)),C1474-B1474,"")</f>
        <v>0</v>
      </c>
      <c r="E1474" s="4" t="s">
        <v>531</v>
      </c>
    </row>
    <row r="1475" customFormat="false" ht="15" hidden="false" customHeight="false" outlineLevel="0" collapsed="false">
      <c r="A1475" s="4" t="s">
        <v>1991</v>
      </c>
      <c r="B1475" s="5" t="s">
        <v>1814</v>
      </c>
      <c r="C1475" s="5" t="s">
        <v>1814</v>
      </c>
      <c r="D1475" s="5" t="str">
        <f aca="false">IF(AND(ISNUMBER(B1475),ISNUMBER(C1475)),C1475-B1475,"")</f>
        <v/>
      </c>
      <c r="E1475" s="4" t="s">
        <v>1815</v>
      </c>
    </row>
    <row r="1476" customFormat="false" ht="15" hidden="false" customHeight="false" outlineLevel="0" collapsed="false">
      <c r="A1476" s="4" t="s">
        <v>1992</v>
      </c>
      <c r="B1476" s="5" t="n">
        <v>51</v>
      </c>
      <c r="C1476" s="5" t="n">
        <v>51</v>
      </c>
      <c r="D1476" s="5" t="n">
        <f aca="false">IF(AND(ISNUMBER(B1476),ISNUMBER(C1476)),C1476-B1476,"")</f>
        <v>0</v>
      </c>
      <c r="E1476" s="4" t="s">
        <v>531</v>
      </c>
    </row>
    <row r="1477" customFormat="false" ht="15" hidden="false" customHeight="false" outlineLevel="0" collapsed="false">
      <c r="A1477" s="4" t="s">
        <v>1993</v>
      </c>
      <c r="B1477" s="5" t="n">
        <v>0.627</v>
      </c>
      <c r="C1477" s="5" t="n">
        <v>0.627</v>
      </c>
      <c r="D1477" s="5" t="n">
        <f aca="false">IF(AND(ISNUMBER(B1477),ISNUMBER(C1477)),C1477-B1477,"")</f>
        <v>0</v>
      </c>
      <c r="E1477" s="4" t="s">
        <v>531</v>
      </c>
    </row>
    <row r="1478" customFormat="false" ht="15" hidden="false" customHeight="false" outlineLevel="0" collapsed="false">
      <c r="A1478" s="4" t="s">
        <v>1994</v>
      </c>
      <c r="B1478" s="5" t="n">
        <v>0.532</v>
      </c>
      <c r="C1478" s="5" t="n">
        <v>0.532</v>
      </c>
      <c r="D1478" s="5" t="n">
        <f aca="false">IF(AND(ISNUMBER(B1478),ISNUMBER(C1478)),C1478-B1478,"")</f>
        <v>0</v>
      </c>
      <c r="E1478" s="4" t="s">
        <v>531</v>
      </c>
    </row>
    <row r="1479" customFormat="false" ht="15" hidden="false" customHeight="false" outlineLevel="0" collapsed="false">
      <c r="A1479" s="4" t="s">
        <v>1995</v>
      </c>
      <c r="B1479" s="5" t="n">
        <v>0.095</v>
      </c>
      <c r="C1479" s="5" t="n">
        <v>0.095</v>
      </c>
      <c r="D1479" s="5" t="n">
        <f aca="false">IF(AND(ISNUMBER(B1479),ISNUMBER(C1479)),C1479-B1479,"")</f>
        <v>0</v>
      </c>
      <c r="E1479" s="4" t="s">
        <v>531</v>
      </c>
    </row>
    <row r="1480" customFormat="false" ht="15" hidden="false" customHeight="false" outlineLevel="0" collapsed="false">
      <c r="A1480" s="4" t="s">
        <v>1996</v>
      </c>
      <c r="B1480" s="5" t="n">
        <v>0.173</v>
      </c>
      <c r="C1480" s="5" t="n">
        <v>0.173</v>
      </c>
      <c r="D1480" s="5" t="n">
        <f aca="false">IF(AND(ISNUMBER(B1480),ISNUMBER(C1480)),C1480-B1480,"")</f>
        <v>0</v>
      </c>
      <c r="E1480" s="4" t="s">
        <v>531</v>
      </c>
    </row>
    <row r="1481" customFormat="false" ht="15" hidden="false" customHeight="false" outlineLevel="0" collapsed="false">
      <c r="A1481" s="4" t="s">
        <v>1997</v>
      </c>
      <c r="B1481" s="5" t="s">
        <v>1814</v>
      </c>
      <c r="C1481" s="5" t="s">
        <v>1814</v>
      </c>
      <c r="D1481" s="5" t="str">
        <f aca="false">IF(AND(ISNUMBER(B1481),ISNUMBER(C1481)),C1481-B1481,"")</f>
        <v/>
      </c>
      <c r="E1481" s="4" t="s">
        <v>1815</v>
      </c>
    </row>
    <row r="1482" customFormat="false" ht="15" hidden="false" customHeight="false" outlineLevel="0" collapsed="false">
      <c r="A1482" s="4" t="s">
        <v>1998</v>
      </c>
      <c r="B1482" s="5" t="n">
        <v>51</v>
      </c>
      <c r="C1482" s="5" t="n">
        <v>51</v>
      </c>
      <c r="D1482" s="5" t="n">
        <f aca="false">IF(AND(ISNUMBER(B1482),ISNUMBER(C1482)),C1482-B1482,"")</f>
        <v>0</v>
      </c>
      <c r="E1482" s="4" t="s">
        <v>531</v>
      </c>
    </row>
    <row r="1483" customFormat="false" ht="15" hidden="false" customHeight="false" outlineLevel="0" collapsed="false">
      <c r="A1483" s="4" t="s">
        <v>1999</v>
      </c>
      <c r="B1483" s="5" t="n">
        <v>0.412</v>
      </c>
      <c r="C1483" s="5" t="n">
        <v>0.412</v>
      </c>
      <c r="D1483" s="5" t="n">
        <f aca="false">IF(AND(ISNUMBER(B1483),ISNUMBER(C1483)),C1483-B1483,"")</f>
        <v>0</v>
      </c>
      <c r="E1483" s="4" t="s">
        <v>531</v>
      </c>
    </row>
    <row r="1484" customFormat="false" ht="15" hidden="false" customHeight="false" outlineLevel="0" collapsed="false">
      <c r="A1484" s="4" t="s">
        <v>2000</v>
      </c>
      <c r="B1484" s="5" t="n">
        <v>0.253</v>
      </c>
      <c r="C1484" s="5" t="n">
        <v>0.253</v>
      </c>
      <c r="D1484" s="5" t="n">
        <f aca="false">IF(AND(ISNUMBER(B1484),ISNUMBER(C1484)),C1484-B1484,"")</f>
        <v>0</v>
      </c>
      <c r="E1484" s="4" t="s">
        <v>531</v>
      </c>
    </row>
    <row r="1485" customFormat="false" ht="15" hidden="false" customHeight="false" outlineLevel="0" collapsed="false">
      <c r="A1485" s="4" t="s">
        <v>2001</v>
      </c>
      <c r="B1485" s="5" t="n">
        <v>0.159</v>
      </c>
      <c r="C1485" s="5" t="n">
        <v>0.159</v>
      </c>
      <c r="D1485" s="5" t="n">
        <f aca="false">IF(AND(ISNUMBER(B1485),ISNUMBER(C1485)),C1485-B1485,"")</f>
        <v>0</v>
      </c>
      <c r="E1485" s="4" t="s">
        <v>531</v>
      </c>
    </row>
    <row r="1486" customFormat="false" ht="15" hidden="false" customHeight="false" outlineLevel="0" collapsed="false">
      <c r="A1486" s="4" t="s">
        <v>2002</v>
      </c>
      <c r="B1486" s="5" t="n">
        <v>0.166</v>
      </c>
      <c r="C1486" s="5" t="n">
        <v>0.166</v>
      </c>
      <c r="D1486" s="5" t="n">
        <f aca="false">IF(AND(ISNUMBER(B1486),ISNUMBER(C1486)),C1486-B1486,"")</f>
        <v>0</v>
      </c>
      <c r="E1486" s="4" t="s">
        <v>531</v>
      </c>
    </row>
    <row r="1487" customFormat="false" ht="15" hidden="false" customHeight="false" outlineLevel="0" collapsed="false">
      <c r="A1487" s="4" t="s">
        <v>2003</v>
      </c>
      <c r="B1487" s="5" t="s">
        <v>1849</v>
      </c>
      <c r="C1487" s="5" t="s">
        <v>1849</v>
      </c>
      <c r="D1487" s="5" t="str">
        <f aca="false">IF(AND(ISNUMBER(B1487),ISNUMBER(C1487)),C1487-B1487,"")</f>
        <v/>
      </c>
      <c r="E1487" s="4" t="s">
        <v>1815</v>
      </c>
    </row>
    <row r="1488" customFormat="false" ht="15" hidden="false" customHeight="false" outlineLevel="0" collapsed="false">
      <c r="A1488" s="4" t="s">
        <v>2004</v>
      </c>
      <c r="B1488" s="5" t="n">
        <v>51</v>
      </c>
      <c r="C1488" s="5" t="n">
        <v>51</v>
      </c>
      <c r="D1488" s="5" t="n">
        <f aca="false">IF(AND(ISNUMBER(B1488),ISNUMBER(C1488)),C1488-B1488,"")</f>
        <v>0</v>
      </c>
      <c r="E1488" s="4" t="s">
        <v>531</v>
      </c>
    </row>
    <row r="1489" customFormat="false" ht="15" hidden="false" customHeight="false" outlineLevel="0" collapsed="false">
      <c r="A1489" s="4" t="s">
        <v>2005</v>
      </c>
      <c r="B1489" s="5" t="n">
        <v>0.647</v>
      </c>
      <c r="C1489" s="5" t="n">
        <v>0.647</v>
      </c>
      <c r="D1489" s="5" t="n">
        <f aca="false">IF(AND(ISNUMBER(B1489),ISNUMBER(C1489)),C1489-B1489,"")</f>
        <v>0</v>
      </c>
      <c r="E1489" s="4" t="s">
        <v>531</v>
      </c>
    </row>
    <row r="1490" customFormat="false" ht="15" hidden="false" customHeight="false" outlineLevel="0" collapsed="false">
      <c r="A1490" s="4" t="s">
        <v>2006</v>
      </c>
      <c r="B1490" s="5" t="n">
        <v>0.474</v>
      </c>
      <c r="C1490" s="5" t="n">
        <v>0.474</v>
      </c>
      <c r="D1490" s="5" t="n">
        <f aca="false">IF(AND(ISNUMBER(B1490),ISNUMBER(C1490)),C1490-B1490,"")</f>
        <v>0</v>
      </c>
      <c r="E1490" s="4" t="s">
        <v>531</v>
      </c>
    </row>
    <row r="1491" customFormat="false" ht="15" hidden="false" customHeight="false" outlineLevel="0" collapsed="false">
      <c r="A1491" s="4" t="s">
        <v>2007</v>
      </c>
      <c r="B1491" s="5" t="n">
        <v>0.173</v>
      </c>
      <c r="C1491" s="5" t="n">
        <v>0.173</v>
      </c>
      <c r="D1491" s="5" t="n">
        <f aca="false">IF(AND(ISNUMBER(B1491),ISNUMBER(C1491)),C1491-B1491,"")</f>
        <v>0</v>
      </c>
      <c r="E1491" s="4" t="s">
        <v>531</v>
      </c>
    </row>
    <row r="1492" customFormat="false" ht="15" hidden="false" customHeight="false" outlineLevel="0" collapsed="false">
      <c r="A1492" s="4" t="s">
        <v>2008</v>
      </c>
      <c r="B1492" s="5" t="n">
        <v>0.172</v>
      </c>
      <c r="C1492" s="5" t="n">
        <v>0.172</v>
      </c>
      <c r="D1492" s="5" t="n">
        <f aca="false">IF(AND(ISNUMBER(B1492),ISNUMBER(C1492)),C1492-B1492,"")</f>
        <v>0</v>
      </c>
      <c r="E1492" s="4" t="s">
        <v>531</v>
      </c>
    </row>
    <row r="1493" customFormat="false" ht="15" hidden="false" customHeight="false" outlineLevel="0" collapsed="false">
      <c r="A1493" s="4" t="s">
        <v>2009</v>
      </c>
      <c r="B1493" s="5" t="s">
        <v>1849</v>
      </c>
      <c r="C1493" s="5" t="s">
        <v>1849</v>
      </c>
      <c r="D1493" s="5" t="str">
        <f aca="false">IF(AND(ISNUMBER(B1493),ISNUMBER(C1493)),C1493-B1493,"")</f>
        <v/>
      </c>
      <c r="E1493" s="4" t="s">
        <v>1815</v>
      </c>
    </row>
    <row r="1494" customFormat="false" ht="15" hidden="false" customHeight="false" outlineLevel="0" collapsed="false">
      <c r="A1494" s="4" t="s">
        <v>2010</v>
      </c>
      <c r="B1494" s="5" t="n">
        <v>51</v>
      </c>
      <c r="C1494" s="5" t="n">
        <v>51</v>
      </c>
      <c r="D1494" s="5" t="n">
        <f aca="false">IF(AND(ISNUMBER(B1494),ISNUMBER(C1494)),C1494-B1494,"")</f>
        <v>0</v>
      </c>
      <c r="E1494" s="4" t="s">
        <v>531</v>
      </c>
    </row>
    <row r="1495" customFormat="false" ht="15" hidden="false" customHeight="false" outlineLevel="0" collapsed="false">
      <c r="A1495" s="4" t="s">
        <v>2011</v>
      </c>
      <c r="B1495" s="5" t="n">
        <v>0.353</v>
      </c>
      <c r="C1495" s="5" t="n">
        <v>0.353</v>
      </c>
      <c r="D1495" s="5" t="n">
        <f aca="false">IF(AND(ISNUMBER(B1495),ISNUMBER(C1495)),C1495-B1495,"")</f>
        <v>0</v>
      </c>
      <c r="E1495" s="4" t="s">
        <v>531</v>
      </c>
    </row>
    <row r="1496" customFormat="false" ht="15" hidden="false" customHeight="false" outlineLevel="0" collapsed="false">
      <c r="A1496" s="4" t="s">
        <v>2012</v>
      </c>
      <c r="B1496" s="5" t="n">
        <v>0.423</v>
      </c>
      <c r="C1496" s="5" t="n">
        <v>0.423</v>
      </c>
      <c r="D1496" s="5" t="n">
        <f aca="false">IF(AND(ISNUMBER(B1496),ISNUMBER(C1496)),C1496-B1496,"")</f>
        <v>0</v>
      </c>
      <c r="E1496" s="4" t="s">
        <v>531</v>
      </c>
    </row>
    <row r="1497" customFormat="false" ht="15" hidden="false" customHeight="false" outlineLevel="0" collapsed="false">
      <c r="A1497" s="4" t="s">
        <v>2013</v>
      </c>
      <c r="B1497" s="5" t="n">
        <v>-0.07</v>
      </c>
      <c r="C1497" s="5" t="n">
        <v>-0.07</v>
      </c>
      <c r="D1497" s="5" t="n">
        <f aca="false">IF(AND(ISNUMBER(B1497),ISNUMBER(C1497)),C1497-B1497,"")</f>
        <v>0</v>
      </c>
      <c r="E1497" s="4" t="s">
        <v>531</v>
      </c>
    </row>
    <row r="1498" customFormat="false" ht="15" hidden="false" customHeight="false" outlineLevel="0" collapsed="false">
      <c r="A1498" s="4" t="s">
        <v>2014</v>
      </c>
      <c r="B1498" s="5" t="n">
        <v>0.171</v>
      </c>
      <c r="C1498" s="5" t="n">
        <v>0.171</v>
      </c>
      <c r="D1498" s="5" t="n">
        <f aca="false">IF(AND(ISNUMBER(B1498),ISNUMBER(C1498)),C1498-B1498,"")</f>
        <v>0</v>
      </c>
      <c r="E1498" s="4" t="s">
        <v>531</v>
      </c>
    </row>
    <row r="1499" customFormat="false" ht="15" hidden="false" customHeight="false" outlineLevel="0" collapsed="false">
      <c r="A1499" s="4" t="s">
        <v>2015</v>
      </c>
      <c r="B1499" s="5" t="s">
        <v>1814</v>
      </c>
      <c r="C1499" s="5" t="s">
        <v>1814</v>
      </c>
      <c r="D1499" s="5" t="str">
        <f aca="false">IF(AND(ISNUMBER(B1499),ISNUMBER(C1499)),C1499-B1499,"")</f>
        <v/>
      </c>
      <c r="E1499" s="4" t="s">
        <v>1815</v>
      </c>
    </row>
    <row r="1500" customFormat="false" ht="15" hidden="false" customHeight="false" outlineLevel="0" collapsed="false">
      <c r="A1500" s="4" t="s">
        <v>2016</v>
      </c>
      <c r="B1500" s="5" t="n">
        <v>51</v>
      </c>
      <c r="C1500" s="5" t="n">
        <v>51</v>
      </c>
      <c r="D1500" s="5" t="n">
        <f aca="false">IF(AND(ISNUMBER(B1500),ISNUMBER(C1500)),C1500-B1500,"")</f>
        <v>0</v>
      </c>
      <c r="E1500" s="4" t="s">
        <v>531</v>
      </c>
    </row>
    <row r="1501" customFormat="false" ht="15" hidden="false" customHeight="false" outlineLevel="0" collapsed="false">
      <c r="A1501" s="4" t="s">
        <v>2017</v>
      </c>
      <c r="B1501" s="5" t="s">
        <v>156</v>
      </c>
      <c r="C1501" s="5" t="s">
        <v>156</v>
      </c>
      <c r="D1501" s="5" t="str">
        <f aca="false">IF(AND(ISNUMBER(B1501),ISNUMBER(C1501)),C1501-B1501,"")</f>
        <v/>
      </c>
      <c r="E1501" s="4" t="s">
        <v>1815</v>
      </c>
    </row>
    <row r="1502" customFormat="false" ht="15" hidden="false" customHeight="false" outlineLevel="0" collapsed="false">
      <c r="A1502" s="4" t="s">
        <v>2018</v>
      </c>
      <c r="B1502" s="5" t="s">
        <v>27</v>
      </c>
      <c r="C1502" s="5" t="s">
        <v>27</v>
      </c>
      <c r="D1502" s="5" t="str">
        <f aca="false">IF(AND(ISNUMBER(B1502),ISNUMBER(C1502)),C1502-B1502,"")</f>
        <v/>
      </c>
      <c r="E1502" s="4" t="s">
        <v>531</v>
      </c>
    </row>
    <row r="1503" customFormat="false" ht="15" hidden="false" customHeight="false" outlineLevel="0" collapsed="false">
      <c r="A1503" s="4" t="s">
        <v>2019</v>
      </c>
      <c r="B1503" s="5" t="n">
        <v>51</v>
      </c>
      <c r="C1503" s="5" t="n">
        <v>51</v>
      </c>
      <c r="D1503" s="5" t="n">
        <f aca="false">IF(AND(ISNUMBER(B1503),ISNUMBER(C1503)),C1503-B1503,"")</f>
        <v>0</v>
      </c>
      <c r="E1503" s="4" t="s">
        <v>531</v>
      </c>
    </row>
    <row r="1504" customFormat="false" ht="15" hidden="false" customHeight="false" outlineLevel="0" collapsed="false">
      <c r="A1504" s="4" t="s">
        <v>2020</v>
      </c>
      <c r="B1504" s="5" t="s">
        <v>156</v>
      </c>
      <c r="C1504" s="5" t="s">
        <v>156</v>
      </c>
      <c r="D1504" s="5" t="str">
        <f aca="false">IF(AND(ISNUMBER(B1504),ISNUMBER(C1504)),C1504-B1504,"")</f>
        <v/>
      </c>
      <c r="E1504" s="4" t="s">
        <v>1815</v>
      </c>
    </row>
    <row r="1505" customFormat="false" ht="15" hidden="false" customHeight="false" outlineLevel="0" collapsed="false">
      <c r="A1505" s="4" t="s">
        <v>2021</v>
      </c>
      <c r="B1505" s="5" t="s">
        <v>27</v>
      </c>
      <c r="C1505" s="5" t="s">
        <v>27</v>
      </c>
      <c r="D1505" s="5" t="str">
        <f aca="false">IF(AND(ISNUMBER(B1505),ISNUMBER(C1505)),C1505-B1505,"")</f>
        <v/>
      </c>
      <c r="E1505" s="4" t="s">
        <v>531</v>
      </c>
    </row>
    <row r="1506" customFormat="false" ht="15" hidden="false" customHeight="false" outlineLevel="0" collapsed="false">
      <c r="A1506" s="4" t="s">
        <v>2022</v>
      </c>
      <c r="B1506" s="5" t="n">
        <v>51</v>
      </c>
      <c r="C1506" s="5" t="n">
        <v>51</v>
      </c>
      <c r="D1506" s="5" t="n">
        <f aca="false">IF(AND(ISNUMBER(B1506),ISNUMBER(C1506)),C1506-B1506,"")</f>
        <v>0</v>
      </c>
      <c r="E1506" s="4" t="s">
        <v>531</v>
      </c>
    </row>
    <row r="1507" customFormat="false" ht="15" hidden="false" customHeight="false" outlineLevel="0" collapsed="false">
      <c r="A1507" s="4" t="s">
        <v>2023</v>
      </c>
      <c r="B1507" s="5" t="n">
        <v>1.549</v>
      </c>
      <c r="C1507" s="5" t="n">
        <v>1.549</v>
      </c>
      <c r="D1507" s="5" t="n">
        <f aca="false">IF(AND(ISNUMBER(B1507),ISNUMBER(C1507)),C1507-B1507,"")</f>
        <v>0</v>
      </c>
      <c r="E1507" s="4" t="s">
        <v>531</v>
      </c>
    </row>
    <row r="1508" customFormat="false" ht="15" hidden="false" customHeight="false" outlineLevel="0" collapsed="false">
      <c r="A1508" s="4" t="s">
        <v>2024</v>
      </c>
      <c r="B1508" s="5" t="n">
        <v>1.488</v>
      </c>
      <c r="C1508" s="5" t="n">
        <v>1.488</v>
      </c>
      <c r="D1508" s="5" t="n">
        <f aca="false">IF(AND(ISNUMBER(B1508),ISNUMBER(C1508)),C1508-B1508,"")</f>
        <v>0</v>
      </c>
      <c r="E1508" s="4" t="s">
        <v>531</v>
      </c>
    </row>
    <row r="1509" customFormat="false" ht="15" hidden="false" customHeight="false" outlineLevel="0" collapsed="false">
      <c r="A1509" s="4" t="s">
        <v>2025</v>
      </c>
      <c r="B1509" s="5" t="n">
        <v>0.061</v>
      </c>
      <c r="C1509" s="5" t="n">
        <v>0.062</v>
      </c>
      <c r="D1509" s="5" t="n">
        <f aca="false">IF(AND(ISNUMBER(B1509),ISNUMBER(C1509)),C1509-B1509,"")</f>
        <v>0.001</v>
      </c>
      <c r="E1509" s="4" t="s">
        <v>1811</v>
      </c>
    </row>
    <row r="1510" customFormat="false" ht="15" hidden="false" customHeight="false" outlineLevel="0" collapsed="false">
      <c r="A1510" s="4" t="s">
        <v>2026</v>
      </c>
      <c r="B1510" s="5" t="n">
        <v>0.281</v>
      </c>
      <c r="C1510" s="5" t="n">
        <v>0.281</v>
      </c>
      <c r="D1510" s="5" t="n">
        <f aca="false">IF(AND(ISNUMBER(B1510),ISNUMBER(C1510)),C1510-B1510,"")</f>
        <v>0</v>
      </c>
      <c r="E1510" s="4" t="s">
        <v>531</v>
      </c>
    </row>
    <row r="1511" customFormat="false" ht="15" hidden="false" customHeight="false" outlineLevel="0" collapsed="false">
      <c r="A1511" s="4" t="s">
        <v>2027</v>
      </c>
      <c r="B1511" s="5" t="s">
        <v>1814</v>
      </c>
      <c r="C1511" s="5" t="s">
        <v>1814</v>
      </c>
      <c r="D1511" s="5" t="str">
        <f aca="false">IF(AND(ISNUMBER(B1511),ISNUMBER(C1511)),C1511-B1511,"")</f>
        <v/>
      </c>
      <c r="E1511" s="4" t="s">
        <v>1815</v>
      </c>
    </row>
    <row r="1512" customFormat="false" ht="15" hidden="false" customHeight="false" outlineLevel="0" collapsed="false">
      <c r="A1512" s="4" t="s">
        <v>2028</v>
      </c>
      <c r="B1512" s="5" t="n">
        <v>51</v>
      </c>
      <c r="C1512" s="5" t="n">
        <v>51</v>
      </c>
      <c r="D1512" s="5" t="n">
        <f aca="false">IF(AND(ISNUMBER(B1512),ISNUMBER(C1512)),C1512-B1512,"")</f>
        <v>0</v>
      </c>
      <c r="E1512" s="4" t="s">
        <v>531</v>
      </c>
    </row>
    <row r="1513" customFormat="false" ht="15" hidden="false" customHeight="false" outlineLevel="0" collapsed="false">
      <c r="A1513" s="4" t="s">
        <v>2029</v>
      </c>
      <c r="B1513" s="5" t="n">
        <v>1.667</v>
      </c>
      <c r="C1513" s="5" t="n">
        <v>1.667</v>
      </c>
      <c r="D1513" s="5" t="n">
        <f aca="false">IF(AND(ISNUMBER(B1513),ISNUMBER(C1513)),C1513-B1513,"")</f>
        <v>0</v>
      </c>
      <c r="E1513" s="4" t="s">
        <v>531</v>
      </c>
    </row>
    <row r="1514" customFormat="false" ht="15" hidden="false" customHeight="false" outlineLevel="0" collapsed="false">
      <c r="A1514" s="4" t="s">
        <v>2030</v>
      </c>
      <c r="B1514" s="5" t="n">
        <v>1.26</v>
      </c>
      <c r="C1514" s="5" t="n">
        <v>1.26</v>
      </c>
      <c r="D1514" s="5" t="n">
        <f aca="false">IF(AND(ISNUMBER(B1514),ISNUMBER(C1514)),C1514-B1514,"")</f>
        <v>0</v>
      </c>
      <c r="E1514" s="4" t="s">
        <v>531</v>
      </c>
    </row>
    <row r="1515" customFormat="false" ht="15" hidden="false" customHeight="false" outlineLevel="0" collapsed="false">
      <c r="A1515" s="4" t="s">
        <v>2031</v>
      </c>
      <c r="B1515" s="5" t="n">
        <v>0.407</v>
      </c>
      <c r="C1515" s="5" t="n">
        <v>0.407</v>
      </c>
      <c r="D1515" s="5" t="n">
        <f aca="false">IF(AND(ISNUMBER(B1515),ISNUMBER(C1515)),C1515-B1515,"")</f>
        <v>0</v>
      </c>
      <c r="E1515" s="4" t="s">
        <v>531</v>
      </c>
    </row>
    <row r="1516" customFormat="false" ht="15" hidden="false" customHeight="false" outlineLevel="0" collapsed="false">
      <c r="A1516" s="4" t="s">
        <v>2032</v>
      </c>
      <c r="B1516" s="5" t="n">
        <v>0.359</v>
      </c>
      <c r="C1516" s="5" t="n">
        <v>0.359</v>
      </c>
      <c r="D1516" s="5" t="n">
        <f aca="false">IF(AND(ISNUMBER(B1516),ISNUMBER(C1516)),C1516-B1516,"")</f>
        <v>0</v>
      </c>
      <c r="E1516" s="4" t="s">
        <v>531</v>
      </c>
    </row>
    <row r="1517" customFormat="false" ht="15" hidden="false" customHeight="false" outlineLevel="0" collapsed="false">
      <c r="A1517" s="4" t="s">
        <v>2033</v>
      </c>
      <c r="B1517" s="5" t="s">
        <v>1856</v>
      </c>
      <c r="C1517" s="5" t="s">
        <v>1856</v>
      </c>
      <c r="D1517" s="5" t="str">
        <f aca="false">IF(AND(ISNUMBER(B1517),ISNUMBER(C1517)),C1517-B1517,"")</f>
        <v/>
      </c>
      <c r="E1517" s="4" t="s">
        <v>1815</v>
      </c>
    </row>
    <row r="1518" customFormat="false" ht="15" hidden="false" customHeight="false" outlineLevel="0" collapsed="false">
      <c r="A1518" s="4" t="s">
        <v>2034</v>
      </c>
      <c r="B1518" s="5" t="n">
        <v>51</v>
      </c>
      <c r="C1518" s="5" t="n">
        <v>51</v>
      </c>
      <c r="D1518" s="5" t="n">
        <f aca="false">IF(AND(ISNUMBER(B1518),ISNUMBER(C1518)),C1518-B1518,"")</f>
        <v>0</v>
      </c>
      <c r="E1518" s="4" t="s">
        <v>531</v>
      </c>
    </row>
    <row r="1519" customFormat="false" ht="15" hidden="false" customHeight="false" outlineLevel="0" collapsed="false">
      <c r="A1519" s="4" t="s">
        <v>2035</v>
      </c>
      <c r="B1519" s="5" t="s">
        <v>27</v>
      </c>
      <c r="C1519" s="5" t="s">
        <v>27</v>
      </c>
      <c r="D1519" s="5" t="str">
        <f aca="false">IF(AND(ISNUMBER(B1519),ISNUMBER(C1519)),C1519-B1519,"")</f>
        <v/>
      </c>
      <c r="E1519" s="4" t="s">
        <v>531</v>
      </c>
    </row>
    <row r="1520" customFormat="false" ht="15" hidden="false" customHeight="false" outlineLevel="0" collapsed="false">
      <c r="A1520" s="4" t="s">
        <v>2036</v>
      </c>
      <c r="B1520" s="5" t="s">
        <v>27</v>
      </c>
      <c r="C1520" s="5" t="s">
        <v>27</v>
      </c>
      <c r="D1520" s="5" t="str">
        <f aca="false">IF(AND(ISNUMBER(B1520),ISNUMBER(C1520)),C1520-B1520,"")</f>
        <v/>
      </c>
      <c r="E1520" s="4" t="s">
        <v>531</v>
      </c>
    </row>
    <row r="1521" customFormat="false" ht="15" hidden="false" customHeight="false" outlineLevel="0" collapsed="false">
      <c r="A1521" s="4" t="s">
        <v>2037</v>
      </c>
      <c r="B1521" s="5" t="s">
        <v>27</v>
      </c>
      <c r="C1521" s="5" t="s">
        <v>27</v>
      </c>
      <c r="D1521" s="5" t="str">
        <f aca="false">IF(AND(ISNUMBER(B1521),ISNUMBER(C1521)),C1521-B1521,"")</f>
        <v/>
      </c>
      <c r="E1521" s="4" t="s">
        <v>1811</v>
      </c>
    </row>
    <row r="1522" customFormat="false" ht="15" hidden="false" customHeight="false" outlineLevel="0" collapsed="false">
      <c r="A1522" s="4" t="s">
        <v>2038</v>
      </c>
      <c r="B1522" s="5" t="s">
        <v>27</v>
      </c>
      <c r="C1522" s="5" t="s">
        <v>27</v>
      </c>
      <c r="D1522" s="5" t="str">
        <f aca="false">IF(AND(ISNUMBER(B1522),ISNUMBER(C1522)),C1522-B1522,"")</f>
        <v/>
      </c>
      <c r="E1522" s="4" t="s">
        <v>531</v>
      </c>
    </row>
    <row r="1523" customFormat="false" ht="15" hidden="false" customHeight="false" outlineLevel="0" collapsed="false">
      <c r="A1523" s="4" t="s">
        <v>2039</v>
      </c>
      <c r="B1523" s="5" t="s">
        <v>27</v>
      </c>
      <c r="C1523" s="5" t="s">
        <v>27</v>
      </c>
      <c r="D1523" s="5" t="str">
        <f aca="false">IF(AND(ISNUMBER(B1523),ISNUMBER(C1523)),C1523-B1523,"")</f>
        <v/>
      </c>
      <c r="E1523" s="4" t="s">
        <v>1815</v>
      </c>
    </row>
    <row r="1524" customFormat="false" ht="15" hidden="false" customHeight="false" outlineLevel="0" collapsed="false">
      <c r="A1524" s="4" t="s">
        <v>2040</v>
      </c>
      <c r="B1524" s="5" t="n">
        <v>51</v>
      </c>
      <c r="C1524" s="5" t="n">
        <v>51</v>
      </c>
      <c r="D1524" s="5" t="n">
        <f aca="false">IF(AND(ISNUMBER(B1524),ISNUMBER(C1524)),C1524-B1524,"")</f>
        <v>0</v>
      </c>
      <c r="E1524" s="4" t="s">
        <v>531</v>
      </c>
    </row>
    <row r="1525" customFormat="false" ht="15" hidden="false" customHeight="false" outlineLevel="0" collapsed="false">
      <c r="A1525" s="4" t="s">
        <v>2041</v>
      </c>
      <c r="B1525" s="5" t="n">
        <v>2.059</v>
      </c>
      <c r="C1525" s="5" t="n">
        <v>2.059</v>
      </c>
      <c r="D1525" s="5" t="n">
        <f aca="false">IF(AND(ISNUMBER(B1525),ISNUMBER(C1525)),C1525-B1525,"")</f>
        <v>0</v>
      </c>
      <c r="E1525" s="4" t="s">
        <v>531</v>
      </c>
    </row>
    <row r="1526" customFormat="false" ht="15" hidden="false" customHeight="false" outlineLevel="0" collapsed="false">
      <c r="A1526" s="4" t="s">
        <v>2042</v>
      </c>
      <c r="B1526" s="5" t="n">
        <v>1.818</v>
      </c>
      <c r="C1526" s="5" t="n">
        <v>1.818</v>
      </c>
      <c r="D1526" s="5" t="n">
        <f aca="false">IF(AND(ISNUMBER(B1526),ISNUMBER(C1526)),C1526-B1526,"")</f>
        <v>0</v>
      </c>
      <c r="E1526" s="4" t="s">
        <v>531</v>
      </c>
    </row>
    <row r="1527" customFormat="false" ht="15" hidden="false" customHeight="false" outlineLevel="0" collapsed="false">
      <c r="A1527" s="4" t="s">
        <v>2043</v>
      </c>
      <c r="B1527" s="5" t="n">
        <v>0.241</v>
      </c>
      <c r="C1527" s="5" t="n">
        <v>0.241</v>
      </c>
      <c r="D1527" s="5" t="n">
        <f aca="false">IF(AND(ISNUMBER(B1527),ISNUMBER(C1527)),C1527-B1527,"")</f>
        <v>0</v>
      </c>
      <c r="E1527" s="4" t="s">
        <v>531</v>
      </c>
    </row>
    <row r="1528" customFormat="false" ht="15" hidden="false" customHeight="false" outlineLevel="0" collapsed="false">
      <c r="A1528" s="4" t="s">
        <v>2044</v>
      </c>
      <c r="B1528" s="5" t="n">
        <v>0.351</v>
      </c>
      <c r="C1528" s="5" t="n">
        <v>0.351</v>
      </c>
      <c r="D1528" s="5" t="n">
        <f aca="false">IF(AND(ISNUMBER(B1528),ISNUMBER(C1528)),C1528-B1528,"")</f>
        <v>0</v>
      </c>
      <c r="E1528" s="4" t="s">
        <v>531</v>
      </c>
    </row>
    <row r="1529" customFormat="false" ht="15" hidden="false" customHeight="false" outlineLevel="0" collapsed="false">
      <c r="A1529" s="4" t="s">
        <v>2045</v>
      </c>
      <c r="B1529" s="5" t="s">
        <v>1814</v>
      </c>
      <c r="C1529" s="5" t="s">
        <v>1814</v>
      </c>
      <c r="D1529" s="5" t="str">
        <f aca="false">IF(AND(ISNUMBER(B1529),ISNUMBER(C1529)),C1529-B1529,"")</f>
        <v/>
      </c>
      <c r="E1529" s="4" t="s">
        <v>1815</v>
      </c>
    </row>
    <row r="1530" customFormat="false" ht="15" hidden="false" customHeight="false" outlineLevel="0" collapsed="false">
      <c r="A1530" s="4" t="s">
        <v>2046</v>
      </c>
      <c r="B1530" s="5" t="n">
        <v>49</v>
      </c>
      <c r="C1530" s="5" t="n">
        <v>49</v>
      </c>
      <c r="D1530" s="5" t="n">
        <f aca="false">IF(AND(ISNUMBER(B1530),ISNUMBER(C1530)),C1530-B1530,"")</f>
        <v>0</v>
      </c>
      <c r="E1530" s="4" t="s">
        <v>531</v>
      </c>
    </row>
    <row r="1531" customFormat="false" ht="15" hidden="false" customHeight="false" outlineLevel="0" collapsed="false">
      <c r="A1531" s="4" t="s">
        <v>2047</v>
      </c>
      <c r="B1531" s="5" t="n">
        <v>0.531</v>
      </c>
      <c r="C1531" s="5" t="n">
        <v>0.531</v>
      </c>
      <c r="D1531" s="5" t="n">
        <f aca="false">IF(AND(ISNUMBER(B1531),ISNUMBER(C1531)),C1531-B1531,"")</f>
        <v>0</v>
      </c>
      <c r="E1531" s="4" t="s">
        <v>531</v>
      </c>
    </row>
    <row r="1532" customFormat="false" ht="15" hidden="false" customHeight="false" outlineLevel="0" collapsed="false">
      <c r="A1532" s="4" t="s">
        <v>2048</v>
      </c>
      <c r="B1532" s="5" t="n">
        <v>0.322</v>
      </c>
      <c r="C1532" s="5" t="n">
        <v>0.322</v>
      </c>
      <c r="D1532" s="5" t="n">
        <f aca="false">IF(AND(ISNUMBER(B1532),ISNUMBER(C1532)),C1532-B1532,"")</f>
        <v>0</v>
      </c>
      <c r="E1532" s="4" t="s">
        <v>531</v>
      </c>
    </row>
    <row r="1533" customFormat="false" ht="15" hidden="false" customHeight="false" outlineLevel="0" collapsed="false">
      <c r="A1533" s="4" t="s">
        <v>2049</v>
      </c>
      <c r="B1533" s="5" t="n">
        <v>0.209</v>
      </c>
      <c r="C1533" s="5" t="n">
        <v>0.209</v>
      </c>
      <c r="D1533" s="5" t="n">
        <f aca="false">IF(AND(ISNUMBER(B1533),ISNUMBER(C1533)),C1533-B1533,"")</f>
        <v>0</v>
      </c>
      <c r="E1533" s="4" t="s">
        <v>531</v>
      </c>
    </row>
    <row r="1534" customFormat="false" ht="15" hidden="false" customHeight="false" outlineLevel="0" collapsed="false">
      <c r="A1534" s="4" t="s">
        <v>2050</v>
      </c>
      <c r="B1534" s="5" t="n">
        <v>0.154</v>
      </c>
      <c r="C1534" s="5" t="n">
        <v>0.154</v>
      </c>
      <c r="D1534" s="5" t="n">
        <f aca="false">IF(AND(ISNUMBER(B1534),ISNUMBER(C1534)),C1534-B1534,"")</f>
        <v>0</v>
      </c>
      <c r="E1534" s="4" t="s">
        <v>531</v>
      </c>
    </row>
    <row r="1535" customFormat="false" ht="15" hidden="false" customHeight="false" outlineLevel="0" collapsed="false">
      <c r="A1535" s="4" t="s">
        <v>2051</v>
      </c>
      <c r="B1535" s="5" t="s">
        <v>1856</v>
      </c>
      <c r="C1535" s="5" t="s">
        <v>1856</v>
      </c>
      <c r="D1535" s="5" t="str">
        <f aca="false">IF(AND(ISNUMBER(B1535),ISNUMBER(C1535)),C1535-B1535,"")</f>
        <v/>
      </c>
      <c r="E1535" s="4" t="s">
        <v>1815</v>
      </c>
    </row>
    <row r="1536" customFormat="false" ht="15" hidden="false" customHeight="false" outlineLevel="0" collapsed="false">
      <c r="A1536" s="4" t="s">
        <v>2052</v>
      </c>
      <c r="B1536" s="5" t="n">
        <v>47</v>
      </c>
      <c r="C1536" s="5" t="n">
        <v>47</v>
      </c>
      <c r="D1536" s="5" t="n">
        <f aca="false">IF(AND(ISNUMBER(B1536),ISNUMBER(C1536)),C1536-B1536,"")</f>
        <v>0</v>
      </c>
      <c r="E1536" s="4" t="s">
        <v>531</v>
      </c>
    </row>
    <row r="1537" customFormat="false" ht="15" hidden="false" customHeight="false" outlineLevel="0" collapsed="false">
      <c r="A1537" s="4" t="s">
        <v>2053</v>
      </c>
      <c r="B1537" s="5" t="n">
        <v>0.489</v>
      </c>
      <c r="C1537" s="5" t="n">
        <v>0.489</v>
      </c>
      <c r="D1537" s="5" t="n">
        <f aca="false">IF(AND(ISNUMBER(B1537),ISNUMBER(C1537)),C1537-B1537,"")</f>
        <v>0</v>
      </c>
      <c r="E1537" s="4" t="s">
        <v>531</v>
      </c>
    </row>
    <row r="1538" customFormat="false" ht="15" hidden="false" customHeight="false" outlineLevel="0" collapsed="false">
      <c r="A1538" s="4" t="s">
        <v>2054</v>
      </c>
      <c r="B1538" s="5" t="n">
        <v>0.44</v>
      </c>
      <c r="C1538" s="5" t="n">
        <v>0.44</v>
      </c>
      <c r="D1538" s="5" t="n">
        <f aca="false">IF(AND(ISNUMBER(B1538),ISNUMBER(C1538)),C1538-B1538,"")</f>
        <v>0</v>
      </c>
      <c r="E1538" s="4" t="s">
        <v>531</v>
      </c>
    </row>
    <row r="1539" customFormat="false" ht="15" hidden="false" customHeight="false" outlineLevel="0" collapsed="false">
      <c r="A1539" s="4" t="s">
        <v>2055</v>
      </c>
      <c r="B1539" s="5" t="n">
        <v>0.049</v>
      </c>
      <c r="C1539" s="5" t="n">
        <v>0.049</v>
      </c>
      <c r="D1539" s="5" t="n">
        <f aca="false">IF(AND(ISNUMBER(B1539),ISNUMBER(C1539)),C1539-B1539,"")</f>
        <v>0</v>
      </c>
      <c r="E1539" s="4" t="s">
        <v>531</v>
      </c>
    </row>
    <row r="1540" customFormat="false" ht="15" hidden="false" customHeight="false" outlineLevel="0" collapsed="false">
      <c r="A1540" s="4" t="s">
        <v>2056</v>
      </c>
      <c r="B1540" s="5" t="n">
        <v>0.16</v>
      </c>
      <c r="C1540" s="5" t="n">
        <v>0.16</v>
      </c>
      <c r="D1540" s="5" t="n">
        <f aca="false">IF(AND(ISNUMBER(B1540),ISNUMBER(C1540)),C1540-B1540,"")</f>
        <v>0</v>
      </c>
      <c r="E1540" s="4" t="s">
        <v>531</v>
      </c>
    </row>
    <row r="1541" customFormat="false" ht="15" hidden="false" customHeight="false" outlineLevel="0" collapsed="false">
      <c r="A1541" s="4" t="s">
        <v>2057</v>
      </c>
      <c r="B1541" s="5" t="s">
        <v>1814</v>
      </c>
      <c r="C1541" s="5" t="s">
        <v>1814</v>
      </c>
      <c r="D1541" s="5" t="str">
        <f aca="false">IF(AND(ISNUMBER(B1541),ISNUMBER(C1541)),C1541-B1541,"")</f>
        <v/>
      </c>
      <c r="E1541" s="4" t="s">
        <v>1815</v>
      </c>
    </row>
    <row r="1542" customFormat="false" ht="15" hidden="false" customHeight="false" outlineLevel="0" collapsed="false">
      <c r="A1542" s="4" t="s">
        <v>2058</v>
      </c>
      <c r="B1542" s="5" t="n">
        <v>52</v>
      </c>
      <c r="C1542" s="5" t="n">
        <v>52</v>
      </c>
      <c r="D1542" s="5" t="n">
        <f aca="false">IF(AND(ISNUMBER(B1542),ISNUMBER(C1542)),C1542-B1542,"")</f>
        <v>0</v>
      </c>
      <c r="E1542" s="4" t="s">
        <v>531</v>
      </c>
    </row>
    <row r="1543" customFormat="false" ht="15" hidden="false" customHeight="false" outlineLevel="0" collapsed="false">
      <c r="A1543" s="4" t="s">
        <v>2059</v>
      </c>
      <c r="B1543" s="5" t="n">
        <v>0.635</v>
      </c>
      <c r="C1543" s="5" t="n">
        <v>0.635</v>
      </c>
      <c r="D1543" s="5" t="n">
        <f aca="false">IF(AND(ISNUMBER(B1543),ISNUMBER(C1543)),C1543-B1543,"")</f>
        <v>0</v>
      </c>
      <c r="E1543" s="4" t="s">
        <v>531</v>
      </c>
    </row>
    <row r="1544" customFormat="false" ht="15" hidden="false" customHeight="false" outlineLevel="0" collapsed="false">
      <c r="A1544" s="4" t="s">
        <v>2060</v>
      </c>
      <c r="B1544" s="5" t="n">
        <v>0.595</v>
      </c>
      <c r="C1544" s="5" t="n">
        <v>0.595</v>
      </c>
      <c r="D1544" s="5" t="n">
        <f aca="false">IF(AND(ISNUMBER(B1544),ISNUMBER(C1544)),C1544-B1544,"")</f>
        <v>0</v>
      </c>
      <c r="E1544" s="4" t="s">
        <v>531</v>
      </c>
    </row>
    <row r="1545" customFormat="false" ht="15" hidden="false" customHeight="false" outlineLevel="0" collapsed="false">
      <c r="A1545" s="4" t="s">
        <v>2061</v>
      </c>
      <c r="B1545" s="5" t="n">
        <v>0.04</v>
      </c>
      <c r="C1545" s="5" t="n">
        <v>0.039</v>
      </c>
      <c r="D1545" s="5" t="n">
        <f aca="false">IF(AND(ISNUMBER(B1545),ISNUMBER(C1545)),C1545-B1545,"")</f>
        <v>-0.001</v>
      </c>
      <c r="E1545" s="4" t="s">
        <v>1811</v>
      </c>
    </row>
    <row r="1546" customFormat="false" ht="15" hidden="false" customHeight="false" outlineLevel="0" collapsed="false">
      <c r="A1546" s="4" t="s">
        <v>2062</v>
      </c>
      <c r="B1546" s="5" t="n">
        <v>0.147</v>
      </c>
      <c r="C1546" s="5" t="n">
        <v>0.147</v>
      </c>
      <c r="D1546" s="5" t="n">
        <f aca="false">IF(AND(ISNUMBER(B1546),ISNUMBER(C1546)),C1546-B1546,"")</f>
        <v>0</v>
      </c>
      <c r="E1546" s="4" t="s">
        <v>531</v>
      </c>
    </row>
    <row r="1547" customFormat="false" ht="15" hidden="false" customHeight="false" outlineLevel="0" collapsed="false">
      <c r="A1547" s="4" t="s">
        <v>2063</v>
      </c>
      <c r="B1547" s="5" t="s">
        <v>1814</v>
      </c>
      <c r="C1547" s="5" t="s">
        <v>1814</v>
      </c>
      <c r="D1547" s="5" t="str">
        <f aca="false">IF(AND(ISNUMBER(B1547),ISNUMBER(C1547)),C1547-B1547,"")</f>
        <v/>
      </c>
      <c r="E1547" s="4" t="s">
        <v>1815</v>
      </c>
    </row>
    <row r="1548" customFormat="false" ht="15" hidden="false" customHeight="false" outlineLevel="0" collapsed="false">
      <c r="A1548" s="4" t="s">
        <v>2064</v>
      </c>
      <c r="B1548" s="5" t="n">
        <v>50</v>
      </c>
      <c r="C1548" s="5" t="n">
        <v>50</v>
      </c>
      <c r="D1548" s="5" t="n">
        <f aca="false">IF(AND(ISNUMBER(B1548),ISNUMBER(C1548)),C1548-B1548,"")</f>
        <v>0</v>
      </c>
      <c r="E1548" s="4" t="s">
        <v>531</v>
      </c>
    </row>
    <row r="1549" customFormat="false" ht="15" hidden="false" customHeight="false" outlineLevel="0" collapsed="false">
      <c r="A1549" s="4" t="s">
        <v>2065</v>
      </c>
      <c r="B1549" s="5" t="n">
        <v>3.388</v>
      </c>
      <c r="C1549" s="5" t="n">
        <v>3.388</v>
      </c>
      <c r="D1549" s="5" t="n">
        <f aca="false">IF(AND(ISNUMBER(B1549),ISNUMBER(C1549)),C1549-B1549,"")</f>
        <v>0</v>
      </c>
      <c r="E1549" s="4" t="s">
        <v>531</v>
      </c>
    </row>
    <row r="1550" customFormat="false" ht="15" hidden="false" customHeight="false" outlineLevel="0" collapsed="false">
      <c r="A1550" s="4" t="s">
        <v>2066</v>
      </c>
      <c r="B1550" s="5" t="n">
        <v>3.166</v>
      </c>
      <c r="C1550" s="5" t="n">
        <v>3.166</v>
      </c>
      <c r="D1550" s="5" t="n">
        <f aca="false">IF(AND(ISNUMBER(B1550),ISNUMBER(C1550)),C1550-B1550,"")</f>
        <v>0</v>
      </c>
      <c r="E1550" s="4" t="s">
        <v>531</v>
      </c>
    </row>
    <row r="1551" customFormat="false" ht="15" hidden="false" customHeight="false" outlineLevel="0" collapsed="false">
      <c r="A1551" s="4" t="s">
        <v>2067</v>
      </c>
      <c r="B1551" s="5" t="n">
        <v>0.222</v>
      </c>
      <c r="C1551" s="5" t="n">
        <v>0.222</v>
      </c>
      <c r="D1551" s="5" t="n">
        <f aca="false">IF(AND(ISNUMBER(B1551),ISNUMBER(C1551)),C1551-B1551,"")</f>
        <v>0</v>
      </c>
      <c r="E1551" s="4" t="s">
        <v>531</v>
      </c>
    </row>
    <row r="1552" customFormat="false" ht="15" hidden="false" customHeight="false" outlineLevel="0" collapsed="false">
      <c r="A1552" s="4" t="s">
        <v>2068</v>
      </c>
      <c r="B1552" s="5" t="n">
        <v>0.235</v>
      </c>
      <c r="C1552" s="5" t="n">
        <v>0.235</v>
      </c>
      <c r="D1552" s="5" t="n">
        <f aca="false">IF(AND(ISNUMBER(B1552),ISNUMBER(C1552)),C1552-B1552,"")</f>
        <v>0</v>
      </c>
      <c r="E1552" s="4" t="s">
        <v>531</v>
      </c>
    </row>
    <row r="1553" customFormat="false" ht="15" hidden="false" customHeight="false" outlineLevel="0" collapsed="false">
      <c r="A1553" s="4" t="s">
        <v>2069</v>
      </c>
      <c r="B1553" s="5" t="s">
        <v>1849</v>
      </c>
      <c r="C1553" s="5" t="s">
        <v>1849</v>
      </c>
      <c r="D1553" s="5" t="str">
        <f aca="false">IF(AND(ISNUMBER(B1553),ISNUMBER(C1553)),C1553-B1553,"")</f>
        <v/>
      </c>
      <c r="E1553" s="4" t="s">
        <v>1815</v>
      </c>
    </row>
    <row r="1554" customFormat="false" ht="15" hidden="false" customHeight="false" outlineLevel="0" collapsed="false">
      <c r="A1554" s="4" t="s">
        <v>2070</v>
      </c>
      <c r="B1554" s="5" t="n">
        <v>52</v>
      </c>
      <c r="C1554" s="5" t="n">
        <v>52</v>
      </c>
      <c r="D1554" s="5" t="n">
        <f aca="false">IF(AND(ISNUMBER(B1554),ISNUMBER(C1554)),C1554-B1554,"")</f>
        <v>0</v>
      </c>
      <c r="E1554" s="4" t="s">
        <v>531</v>
      </c>
    </row>
    <row r="1555" customFormat="false" ht="15" hidden="false" customHeight="false" outlineLevel="0" collapsed="false">
      <c r="A1555" s="4" t="s">
        <v>2071</v>
      </c>
      <c r="B1555" s="5" t="s">
        <v>178</v>
      </c>
      <c r="C1555" s="5" t="s">
        <v>178</v>
      </c>
      <c r="D1555" s="5" t="str">
        <f aca="false">IF(AND(ISNUMBER(B1555),ISNUMBER(C1555)),C1555-B1555,"")</f>
        <v/>
      </c>
      <c r="E1555" s="4" t="s">
        <v>1815</v>
      </c>
    </row>
    <row r="1556" customFormat="false" ht="15" hidden="false" customHeight="false" outlineLevel="0" collapsed="false">
      <c r="A1556" s="4" t="s">
        <v>2072</v>
      </c>
      <c r="B1556" s="5" t="s">
        <v>27</v>
      </c>
      <c r="C1556" s="5" t="s">
        <v>27</v>
      </c>
      <c r="D1556" s="5" t="str">
        <f aca="false">IF(AND(ISNUMBER(B1556),ISNUMBER(C1556)),C1556-B1556,"")</f>
        <v/>
      </c>
      <c r="E1556" s="4" t="s">
        <v>531</v>
      </c>
    </row>
    <row r="1557" customFormat="false" ht="15" hidden="false" customHeight="false" outlineLevel="0" collapsed="false">
      <c r="A1557" s="4" t="s">
        <v>2073</v>
      </c>
      <c r="B1557" s="5" t="n">
        <v>52</v>
      </c>
      <c r="C1557" s="5" t="n">
        <v>52</v>
      </c>
      <c r="D1557" s="5" t="n">
        <f aca="false">IF(AND(ISNUMBER(B1557),ISNUMBER(C1557)),C1557-B1557,"")</f>
        <v>0</v>
      </c>
      <c r="E1557" s="4" t="s">
        <v>531</v>
      </c>
    </row>
    <row r="1558" customFormat="false" ht="15" hidden="false" customHeight="false" outlineLevel="0" collapsed="false">
      <c r="A1558" s="4" t="s">
        <v>2074</v>
      </c>
      <c r="B1558" s="5" t="s">
        <v>27</v>
      </c>
      <c r="C1558" s="5" t="s">
        <v>27</v>
      </c>
      <c r="D1558" s="5" t="str">
        <f aca="false">IF(AND(ISNUMBER(B1558),ISNUMBER(C1558)),C1558-B1558,"")</f>
        <v/>
      </c>
      <c r="E1558" s="4" t="s">
        <v>531</v>
      </c>
    </row>
    <row r="1559" customFormat="false" ht="15" hidden="false" customHeight="false" outlineLevel="0" collapsed="false">
      <c r="A1559" s="4" t="s">
        <v>2075</v>
      </c>
      <c r="B1559" s="5" t="s">
        <v>27</v>
      </c>
      <c r="C1559" s="5" t="s">
        <v>27</v>
      </c>
      <c r="D1559" s="5" t="str">
        <f aca="false">IF(AND(ISNUMBER(B1559),ISNUMBER(C1559)),C1559-B1559,"")</f>
        <v/>
      </c>
      <c r="E1559" s="4" t="s">
        <v>531</v>
      </c>
    </row>
    <row r="1560" customFormat="false" ht="15" hidden="false" customHeight="false" outlineLevel="0" collapsed="false">
      <c r="A1560" s="4" t="s">
        <v>2076</v>
      </c>
      <c r="B1560" s="5" t="s">
        <v>27</v>
      </c>
      <c r="C1560" s="5" t="s">
        <v>27</v>
      </c>
      <c r="D1560" s="5" t="str">
        <f aca="false">IF(AND(ISNUMBER(B1560),ISNUMBER(C1560)),C1560-B1560,"")</f>
        <v/>
      </c>
      <c r="E1560" s="4" t="s">
        <v>1811</v>
      </c>
    </row>
    <row r="1561" customFormat="false" ht="15" hidden="false" customHeight="false" outlineLevel="0" collapsed="false">
      <c r="A1561" s="4" t="s">
        <v>2077</v>
      </c>
      <c r="B1561" s="5" t="s">
        <v>27</v>
      </c>
      <c r="C1561" s="5" t="s">
        <v>27</v>
      </c>
      <c r="D1561" s="5" t="str">
        <f aca="false">IF(AND(ISNUMBER(B1561),ISNUMBER(C1561)),C1561-B1561,"")</f>
        <v/>
      </c>
      <c r="E1561" s="4" t="s">
        <v>531</v>
      </c>
    </row>
    <row r="1562" customFormat="false" ht="15" hidden="false" customHeight="false" outlineLevel="0" collapsed="false">
      <c r="A1562" s="4" t="s">
        <v>2078</v>
      </c>
      <c r="B1562" s="5" t="s">
        <v>27</v>
      </c>
      <c r="C1562" s="5" t="s">
        <v>27</v>
      </c>
      <c r="D1562" s="5" t="str">
        <f aca="false">IF(AND(ISNUMBER(B1562),ISNUMBER(C1562)),C1562-B1562,"")</f>
        <v/>
      </c>
      <c r="E1562" s="4" t="s">
        <v>1815</v>
      </c>
    </row>
    <row r="1563" customFormat="false" ht="15" hidden="false" customHeight="false" outlineLevel="0" collapsed="false">
      <c r="A1563" s="4" t="s">
        <v>2079</v>
      </c>
      <c r="B1563" s="5" t="n">
        <v>52</v>
      </c>
      <c r="C1563" s="5" t="n">
        <v>52</v>
      </c>
      <c r="D1563" s="5" t="n">
        <f aca="false">IF(AND(ISNUMBER(B1563),ISNUMBER(C1563)),C1563-B1563,"")</f>
        <v>0</v>
      </c>
      <c r="E1563" s="4" t="s">
        <v>531</v>
      </c>
    </row>
    <row r="1564" customFormat="false" ht="15" hidden="false" customHeight="false" outlineLevel="0" collapsed="false">
      <c r="A1564" s="4" t="s">
        <v>2080</v>
      </c>
      <c r="B1564" s="5" t="n">
        <v>0.596</v>
      </c>
      <c r="C1564" s="5" t="n">
        <v>0.596</v>
      </c>
      <c r="D1564" s="5" t="n">
        <f aca="false">IF(AND(ISNUMBER(B1564),ISNUMBER(C1564)),C1564-B1564,"")</f>
        <v>0</v>
      </c>
      <c r="E1564" s="4" t="s">
        <v>531</v>
      </c>
    </row>
    <row r="1565" customFormat="false" ht="15" hidden="false" customHeight="false" outlineLevel="0" collapsed="false">
      <c r="A1565" s="4" t="s">
        <v>2081</v>
      </c>
      <c r="B1565" s="5" t="n">
        <v>0.54</v>
      </c>
      <c r="C1565" s="5" t="n">
        <v>0.54</v>
      </c>
      <c r="D1565" s="5" t="n">
        <f aca="false">IF(AND(ISNUMBER(B1565),ISNUMBER(C1565)),C1565-B1565,"")</f>
        <v>0</v>
      </c>
      <c r="E1565" s="4" t="s">
        <v>531</v>
      </c>
    </row>
    <row r="1566" customFormat="false" ht="15" hidden="false" customHeight="false" outlineLevel="0" collapsed="false">
      <c r="A1566" s="4" t="s">
        <v>2082</v>
      </c>
      <c r="B1566" s="5" t="n">
        <v>0.056</v>
      </c>
      <c r="C1566" s="5" t="n">
        <v>0.057</v>
      </c>
      <c r="D1566" s="5" t="n">
        <f aca="false">IF(AND(ISNUMBER(B1566),ISNUMBER(C1566)),C1566-B1566,"")</f>
        <v>0.001</v>
      </c>
      <c r="E1566" s="4" t="s">
        <v>1811</v>
      </c>
    </row>
    <row r="1567" customFormat="false" ht="15" hidden="false" customHeight="false" outlineLevel="0" collapsed="false">
      <c r="A1567" s="4" t="s">
        <v>2083</v>
      </c>
      <c r="B1567" s="5" t="n">
        <v>0.15</v>
      </c>
      <c r="C1567" s="5" t="n">
        <v>0.15</v>
      </c>
      <c r="D1567" s="5" t="n">
        <f aca="false">IF(AND(ISNUMBER(B1567),ISNUMBER(C1567)),C1567-B1567,"")</f>
        <v>0</v>
      </c>
      <c r="E1567" s="4" t="s">
        <v>531</v>
      </c>
    </row>
    <row r="1568" customFormat="false" ht="15" hidden="false" customHeight="false" outlineLevel="0" collapsed="false">
      <c r="A1568" s="4" t="s">
        <v>2084</v>
      </c>
      <c r="B1568" s="5" t="s">
        <v>1814</v>
      </c>
      <c r="C1568" s="5" t="s">
        <v>1814</v>
      </c>
      <c r="D1568" s="5" t="str">
        <f aca="false">IF(AND(ISNUMBER(B1568),ISNUMBER(C1568)),C1568-B1568,"")</f>
        <v/>
      </c>
      <c r="E1568" s="4" t="s">
        <v>1815</v>
      </c>
    </row>
    <row r="1569" customFormat="false" ht="15" hidden="false" customHeight="false" outlineLevel="0" collapsed="false">
      <c r="A1569" s="4" t="s">
        <v>2085</v>
      </c>
      <c r="B1569" s="5" t="n">
        <v>52</v>
      </c>
      <c r="C1569" s="5" t="n">
        <v>52</v>
      </c>
      <c r="D1569" s="5" t="n">
        <f aca="false">IF(AND(ISNUMBER(B1569),ISNUMBER(C1569)),C1569-B1569,"")</f>
        <v>0</v>
      </c>
      <c r="E1569" s="4" t="s">
        <v>531</v>
      </c>
    </row>
    <row r="1570" customFormat="false" ht="15" hidden="false" customHeight="false" outlineLevel="0" collapsed="false">
      <c r="A1570" s="4" t="s">
        <v>2086</v>
      </c>
      <c r="B1570" s="5" t="n">
        <v>0.635</v>
      </c>
      <c r="C1570" s="5" t="n">
        <v>0.635</v>
      </c>
      <c r="D1570" s="5" t="n">
        <f aca="false">IF(AND(ISNUMBER(B1570),ISNUMBER(C1570)),C1570-B1570,"")</f>
        <v>0</v>
      </c>
      <c r="E1570" s="4" t="s">
        <v>531</v>
      </c>
    </row>
    <row r="1571" customFormat="false" ht="15" hidden="false" customHeight="false" outlineLevel="0" collapsed="false">
      <c r="A1571" s="4" t="s">
        <v>2087</v>
      </c>
      <c r="B1571" s="5" t="n">
        <v>0.54</v>
      </c>
      <c r="C1571" s="5" t="n">
        <v>0.54</v>
      </c>
      <c r="D1571" s="5" t="n">
        <f aca="false">IF(AND(ISNUMBER(B1571),ISNUMBER(C1571)),C1571-B1571,"")</f>
        <v>0</v>
      </c>
      <c r="E1571" s="4" t="s">
        <v>531</v>
      </c>
    </row>
    <row r="1572" customFormat="false" ht="15" hidden="false" customHeight="false" outlineLevel="0" collapsed="false">
      <c r="A1572" s="4" t="s">
        <v>2088</v>
      </c>
      <c r="B1572" s="5" t="n">
        <v>0.095</v>
      </c>
      <c r="C1572" s="5" t="n">
        <v>0.095</v>
      </c>
      <c r="D1572" s="5" t="n">
        <f aca="false">IF(AND(ISNUMBER(B1572),ISNUMBER(C1572)),C1572-B1572,"")</f>
        <v>0</v>
      </c>
      <c r="E1572" s="4" t="s">
        <v>531</v>
      </c>
    </row>
    <row r="1573" customFormat="false" ht="15" hidden="false" customHeight="false" outlineLevel="0" collapsed="false">
      <c r="A1573" s="4" t="s">
        <v>2089</v>
      </c>
      <c r="B1573" s="5" t="n">
        <v>0.148</v>
      </c>
      <c r="C1573" s="5" t="n">
        <v>0.148</v>
      </c>
      <c r="D1573" s="5" t="n">
        <f aca="false">IF(AND(ISNUMBER(B1573),ISNUMBER(C1573)),C1573-B1573,"")</f>
        <v>0</v>
      </c>
      <c r="E1573" s="4" t="s">
        <v>531</v>
      </c>
    </row>
    <row r="1574" customFormat="false" ht="15" hidden="false" customHeight="false" outlineLevel="0" collapsed="false">
      <c r="A1574" s="4" t="s">
        <v>2090</v>
      </c>
      <c r="B1574" s="5" t="s">
        <v>1814</v>
      </c>
      <c r="C1574" s="5" t="s">
        <v>1814</v>
      </c>
      <c r="D1574" s="5" t="str">
        <f aca="false">IF(AND(ISNUMBER(B1574),ISNUMBER(C1574)),C1574-B1574,"")</f>
        <v/>
      </c>
      <c r="E1574" s="4" t="s">
        <v>1815</v>
      </c>
    </row>
    <row r="1575" customFormat="false" ht="15" hidden="false" customHeight="false" outlineLevel="0" collapsed="false">
      <c r="A1575" s="4" t="s">
        <v>2091</v>
      </c>
      <c r="B1575" s="5" t="n">
        <v>52</v>
      </c>
      <c r="C1575" s="5" t="n">
        <v>52</v>
      </c>
      <c r="D1575" s="5" t="n">
        <f aca="false">IF(AND(ISNUMBER(B1575),ISNUMBER(C1575)),C1575-B1575,"")</f>
        <v>0</v>
      </c>
      <c r="E1575" s="4" t="s">
        <v>531</v>
      </c>
    </row>
    <row r="1576" customFormat="false" ht="15" hidden="false" customHeight="false" outlineLevel="0" collapsed="false">
      <c r="A1576" s="4" t="s">
        <v>2092</v>
      </c>
      <c r="B1576" s="5" t="s">
        <v>156</v>
      </c>
      <c r="C1576" s="5" t="s">
        <v>156</v>
      </c>
      <c r="D1576" s="5" t="str">
        <f aca="false">IF(AND(ISNUMBER(B1576),ISNUMBER(C1576)),C1576-B1576,"")</f>
        <v/>
      </c>
      <c r="E1576" s="4" t="s">
        <v>1815</v>
      </c>
    </row>
    <row r="1577" customFormat="false" ht="15" hidden="false" customHeight="false" outlineLevel="0" collapsed="false">
      <c r="A1577" s="4" t="s">
        <v>2093</v>
      </c>
      <c r="B1577" s="5" t="s">
        <v>27</v>
      </c>
      <c r="C1577" s="5" t="s">
        <v>27</v>
      </c>
      <c r="D1577" s="5" t="str">
        <f aca="false">IF(AND(ISNUMBER(B1577),ISNUMBER(C1577)),C1577-B1577,"")</f>
        <v/>
      </c>
      <c r="E1577" s="4" t="s">
        <v>531</v>
      </c>
    </row>
    <row r="1578" customFormat="false" ht="15" hidden="false" customHeight="false" outlineLevel="0" collapsed="false">
      <c r="A1578" s="4" t="s">
        <v>2094</v>
      </c>
      <c r="B1578" s="5" t="n">
        <v>52</v>
      </c>
      <c r="C1578" s="5" t="n">
        <v>52</v>
      </c>
      <c r="D1578" s="5" t="n">
        <f aca="false">IF(AND(ISNUMBER(B1578),ISNUMBER(C1578)),C1578-B1578,"")</f>
        <v>0</v>
      </c>
      <c r="E1578" s="4" t="s">
        <v>531</v>
      </c>
    </row>
    <row r="1579" customFormat="false" ht="15" hidden="false" customHeight="false" outlineLevel="0" collapsed="false">
      <c r="A1579" s="4" t="s">
        <v>2095</v>
      </c>
      <c r="B1579" s="5" t="s">
        <v>156</v>
      </c>
      <c r="C1579" s="5" t="s">
        <v>156</v>
      </c>
      <c r="D1579" s="5" t="str">
        <f aca="false">IF(AND(ISNUMBER(B1579),ISNUMBER(C1579)),C1579-B1579,"")</f>
        <v/>
      </c>
      <c r="E1579" s="4" t="s">
        <v>1815</v>
      </c>
    </row>
    <row r="1580" customFormat="false" ht="15" hidden="false" customHeight="false" outlineLevel="0" collapsed="false">
      <c r="A1580" s="4" t="s">
        <v>2096</v>
      </c>
      <c r="B1580" s="5" t="s">
        <v>27</v>
      </c>
      <c r="C1580" s="5" t="s">
        <v>27</v>
      </c>
      <c r="D1580" s="5" t="str">
        <f aca="false">IF(AND(ISNUMBER(B1580),ISNUMBER(C1580)),C1580-B1580,"")</f>
        <v/>
      </c>
      <c r="E1580" s="4" t="s">
        <v>531</v>
      </c>
    </row>
    <row r="1581" customFormat="false" ht="15" hidden="false" customHeight="false" outlineLevel="0" collapsed="false">
      <c r="A1581" s="4" t="s">
        <v>2097</v>
      </c>
      <c r="B1581" s="5" t="n">
        <v>52</v>
      </c>
      <c r="C1581" s="5" t="n">
        <v>52</v>
      </c>
      <c r="D1581" s="5" t="n">
        <f aca="false">IF(AND(ISNUMBER(B1581),ISNUMBER(C1581)),C1581-B1581,"")</f>
        <v>0</v>
      </c>
      <c r="E1581" s="4" t="s">
        <v>531</v>
      </c>
    </row>
    <row r="1582" customFormat="false" ht="15" hidden="false" customHeight="false" outlineLevel="0" collapsed="false">
      <c r="A1582" s="4" t="s">
        <v>2098</v>
      </c>
      <c r="B1582" s="5" t="n">
        <v>0.635</v>
      </c>
      <c r="C1582" s="5" t="n">
        <v>0.635</v>
      </c>
      <c r="D1582" s="5" t="n">
        <f aca="false">IF(AND(ISNUMBER(B1582),ISNUMBER(C1582)),C1582-B1582,"")</f>
        <v>0</v>
      </c>
      <c r="E1582" s="4" t="s">
        <v>531</v>
      </c>
    </row>
    <row r="1583" customFormat="false" ht="15" hidden="false" customHeight="false" outlineLevel="0" collapsed="false">
      <c r="A1583" s="4" t="s">
        <v>2099</v>
      </c>
      <c r="B1583" s="5" t="n">
        <v>0.686</v>
      </c>
      <c r="C1583" s="5" t="n">
        <v>0.686</v>
      </c>
      <c r="D1583" s="5" t="n">
        <f aca="false">IF(AND(ISNUMBER(B1583),ISNUMBER(C1583)),C1583-B1583,"")</f>
        <v>0</v>
      </c>
      <c r="E1583" s="4" t="s">
        <v>531</v>
      </c>
    </row>
    <row r="1584" customFormat="false" ht="15" hidden="false" customHeight="false" outlineLevel="0" collapsed="false">
      <c r="A1584" s="4" t="s">
        <v>2100</v>
      </c>
      <c r="B1584" s="5" t="n">
        <v>-0.051</v>
      </c>
      <c r="C1584" s="5" t="n">
        <v>-0.052</v>
      </c>
      <c r="D1584" s="5" t="n">
        <f aca="false">IF(AND(ISNUMBER(B1584),ISNUMBER(C1584)),C1584-B1584,"")</f>
        <v>-0.001</v>
      </c>
      <c r="E1584" s="4" t="s">
        <v>1811</v>
      </c>
    </row>
    <row r="1585" customFormat="false" ht="15" hidden="false" customHeight="false" outlineLevel="0" collapsed="false">
      <c r="A1585" s="4" t="s">
        <v>2101</v>
      </c>
      <c r="B1585" s="5" t="n">
        <v>0.146</v>
      </c>
      <c r="C1585" s="5" t="n">
        <v>0.146</v>
      </c>
      <c r="D1585" s="5" t="n">
        <f aca="false">IF(AND(ISNUMBER(B1585),ISNUMBER(C1585)),C1585-B1585,"")</f>
        <v>0</v>
      </c>
      <c r="E1585" s="4" t="s">
        <v>531</v>
      </c>
    </row>
    <row r="1586" customFormat="false" ht="15" hidden="false" customHeight="false" outlineLevel="0" collapsed="false">
      <c r="A1586" s="4" t="s">
        <v>2102</v>
      </c>
      <c r="B1586" s="5" t="s">
        <v>1814</v>
      </c>
      <c r="C1586" s="5" t="s">
        <v>1814</v>
      </c>
      <c r="D1586" s="5" t="str">
        <f aca="false">IF(AND(ISNUMBER(B1586),ISNUMBER(C1586)),C1586-B1586,"")</f>
        <v/>
      </c>
      <c r="E1586" s="4" t="s">
        <v>1815</v>
      </c>
    </row>
    <row r="1587" customFormat="false" ht="15" hidden="false" customHeight="false" outlineLevel="0" collapsed="false">
      <c r="A1587" s="4" t="s">
        <v>2103</v>
      </c>
      <c r="B1587" s="5" t="n">
        <v>52</v>
      </c>
      <c r="C1587" s="5" t="n">
        <v>52</v>
      </c>
      <c r="D1587" s="5" t="n">
        <f aca="false">IF(AND(ISNUMBER(B1587),ISNUMBER(C1587)),C1587-B1587,"")</f>
        <v>0</v>
      </c>
      <c r="E1587" s="4" t="s">
        <v>531</v>
      </c>
    </row>
    <row r="1588" customFormat="false" ht="15" hidden="false" customHeight="false" outlineLevel="0" collapsed="false">
      <c r="A1588" s="4" t="s">
        <v>2104</v>
      </c>
      <c r="B1588" s="5" t="n">
        <v>0.654</v>
      </c>
      <c r="C1588" s="5" t="n">
        <v>0.654</v>
      </c>
      <c r="D1588" s="5" t="n">
        <f aca="false">IF(AND(ISNUMBER(B1588),ISNUMBER(C1588)),C1588-B1588,"")</f>
        <v>0</v>
      </c>
      <c r="E1588" s="4" t="s">
        <v>531</v>
      </c>
    </row>
    <row r="1589" customFormat="false" ht="15" hidden="false" customHeight="false" outlineLevel="0" collapsed="false">
      <c r="A1589" s="4" t="s">
        <v>2105</v>
      </c>
      <c r="B1589" s="5" t="n">
        <v>0.706</v>
      </c>
      <c r="C1589" s="5" t="n">
        <v>0.706</v>
      </c>
      <c r="D1589" s="5" t="n">
        <f aca="false">IF(AND(ISNUMBER(B1589),ISNUMBER(C1589)),C1589-B1589,"")</f>
        <v>0</v>
      </c>
      <c r="E1589" s="4" t="s">
        <v>531</v>
      </c>
    </row>
    <row r="1590" customFormat="false" ht="15" hidden="false" customHeight="false" outlineLevel="0" collapsed="false">
      <c r="A1590" s="4" t="s">
        <v>2106</v>
      </c>
      <c r="B1590" s="5" t="n">
        <v>-0.052</v>
      </c>
      <c r="C1590" s="5" t="n">
        <v>-0.052</v>
      </c>
      <c r="D1590" s="5" t="n">
        <f aca="false">IF(AND(ISNUMBER(B1590),ISNUMBER(C1590)),C1590-B1590,"")</f>
        <v>0</v>
      </c>
      <c r="E1590" s="4" t="s">
        <v>531</v>
      </c>
    </row>
    <row r="1591" customFormat="false" ht="15" hidden="false" customHeight="false" outlineLevel="0" collapsed="false">
      <c r="A1591" s="4" t="s">
        <v>2107</v>
      </c>
      <c r="B1591" s="5" t="n">
        <v>0.144</v>
      </c>
      <c r="C1591" s="5" t="n">
        <v>0.144</v>
      </c>
      <c r="D1591" s="5" t="n">
        <f aca="false">IF(AND(ISNUMBER(B1591),ISNUMBER(C1591)),C1591-B1591,"")</f>
        <v>0</v>
      </c>
      <c r="E1591" s="4" t="s">
        <v>531</v>
      </c>
    </row>
    <row r="1592" customFormat="false" ht="15" hidden="false" customHeight="false" outlineLevel="0" collapsed="false">
      <c r="A1592" s="4" t="s">
        <v>2108</v>
      </c>
      <c r="B1592" s="5" t="s">
        <v>1814</v>
      </c>
      <c r="C1592" s="5" t="s">
        <v>1814</v>
      </c>
      <c r="D1592" s="5" t="str">
        <f aca="false">IF(AND(ISNUMBER(B1592),ISNUMBER(C1592)),C1592-B1592,"")</f>
        <v/>
      </c>
      <c r="E1592" s="4" t="s">
        <v>1815</v>
      </c>
    </row>
    <row r="1593" customFormat="false" ht="15" hidden="false" customHeight="false" outlineLevel="0" collapsed="false">
      <c r="A1593" s="4" t="s">
        <v>2109</v>
      </c>
      <c r="B1593" s="5" t="n">
        <v>52</v>
      </c>
      <c r="C1593" s="5" t="n">
        <v>52</v>
      </c>
      <c r="D1593" s="5" t="n">
        <f aca="false">IF(AND(ISNUMBER(B1593),ISNUMBER(C1593)),C1593-B1593,"")</f>
        <v>0</v>
      </c>
      <c r="E1593" s="4" t="s">
        <v>531</v>
      </c>
    </row>
    <row r="1594" customFormat="false" ht="15" hidden="false" customHeight="false" outlineLevel="0" collapsed="false">
      <c r="A1594" s="4" t="s">
        <v>2110</v>
      </c>
      <c r="B1594" s="5" t="n">
        <v>0.212</v>
      </c>
      <c r="C1594" s="5" t="n">
        <v>0.212</v>
      </c>
      <c r="D1594" s="5" t="n">
        <f aca="false">IF(AND(ISNUMBER(B1594),ISNUMBER(C1594)),C1594-B1594,"")</f>
        <v>0</v>
      </c>
      <c r="E1594" s="4" t="s">
        <v>531</v>
      </c>
    </row>
    <row r="1595" customFormat="false" ht="15" hidden="false" customHeight="false" outlineLevel="0" collapsed="false">
      <c r="A1595" s="4" t="s">
        <v>2111</v>
      </c>
      <c r="B1595" s="5" t="n">
        <v>0.333</v>
      </c>
      <c r="C1595" s="5" t="n">
        <v>0.333</v>
      </c>
      <c r="D1595" s="5" t="n">
        <f aca="false">IF(AND(ISNUMBER(B1595),ISNUMBER(C1595)),C1595-B1595,"")</f>
        <v>0</v>
      </c>
      <c r="E1595" s="4" t="s">
        <v>531</v>
      </c>
    </row>
    <row r="1596" customFormat="false" ht="15" hidden="false" customHeight="false" outlineLevel="0" collapsed="false">
      <c r="A1596" s="4" t="s">
        <v>2112</v>
      </c>
      <c r="B1596" s="5" t="n">
        <v>-0.121</v>
      </c>
      <c r="C1596" s="5" t="n">
        <v>-0.122</v>
      </c>
      <c r="D1596" s="5" t="n">
        <f aca="false">IF(AND(ISNUMBER(B1596),ISNUMBER(C1596)),C1596-B1596,"")</f>
        <v>-0.001</v>
      </c>
      <c r="E1596" s="4" t="s">
        <v>1811</v>
      </c>
    </row>
    <row r="1597" customFormat="false" ht="15" hidden="false" customHeight="false" outlineLevel="0" collapsed="false">
      <c r="A1597" s="4" t="s">
        <v>2113</v>
      </c>
      <c r="B1597" s="5" t="n">
        <v>0.128</v>
      </c>
      <c r="C1597" s="5" t="n">
        <v>0.128</v>
      </c>
      <c r="D1597" s="5" t="n">
        <f aca="false">IF(AND(ISNUMBER(B1597),ISNUMBER(C1597)),C1597-B1597,"")</f>
        <v>0</v>
      </c>
      <c r="E1597" s="4" t="s">
        <v>531</v>
      </c>
    </row>
    <row r="1598" customFormat="false" ht="15" hidden="false" customHeight="false" outlineLevel="0" collapsed="false">
      <c r="A1598" s="4" t="s">
        <v>2114</v>
      </c>
      <c r="B1598" s="5" t="s">
        <v>1849</v>
      </c>
      <c r="C1598" s="5" t="s">
        <v>1849</v>
      </c>
      <c r="D1598" s="5" t="str">
        <f aca="false">IF(AND(ISNUMBER(B1598),ISNUMBER(C1598)),C1598-B1598,"")</f>
        <v/>
      </c>
      <c r="E1598" s="4" t="s">
        <v>1815</v>
      </c>
    </row>
    <row r="1599" customFormat="false" ht="15" hidden="false" customHeight="false" outlineLevel="0" collapsed="false">
      <c r="A1599" s="4" t="s">
        <v>2115</v>
      </c>
      <c r="B1599" s="5" t="n">
        <v>52</v>
      </c>
      <c r="C1599" s="5" t="n">
        <v>52</v>
      </c>
      <c r="D1599" s="5" t="n">
        <f aca="false">IF(AND(ISNUMBER(B1599),ISNUMBER(C1599)),C1599-B1599,"")</f>
        <v>0</v>
      </c>
      <c r="E1599" s="4" t="s">
        <v>531</v>
      </c>
    </row>
    <row r="1600" customFormat="false" ht="15" hidden="false" customHeight="false" outlineLevel="0" collapsed="false">
      <c r="A1600" s="4" t="s">
        <v>2116</v>
      </c>
      <c r="B1600" s="5" t="n">
        <v>0.519</v>
      </c>
      <c r="C1600" s="5" t="n">
        <v>0.519</v>
      </c>
      <c r="D1600" s="5" t="n">
        <f aca="false">IF(AND(ISNUMBER(B1600),ISNUMBER(C1600)),C1600-B1600,"")</f>
        <v>0</v>
      </c>
      <c r="E1600" s="4" t="s">
        <v>531</v>
      </c>
    </row>
    <row r="1601" customFormat="false" ht="15" hidden="false" customHeight="false" outlineLevel="0" collapsed="false">
      <c r="A1601" s="4" t="s">
        <v>2117</v>
      </c>
      <c r="B1601" s="5" t="n">
        <v>0.662</v>
      </c>
      <c r="C1601" s="5" t="n">
        <v>0.662</v>
      </c>
      <c r="D1601" s="5" t="n">
        <f aca="false">IF(AND(ISNUMBER(B1601),ISNUMBER(C1601)),C1601-B1601,"")</f>
        <v>0</v>
      </c>
      <c r="E1601" s="4" t="s">
        <v>531</v>
      </c>
    </row>
    <row r="1602" customFormat="false" ht="15" hidden="false" customHeight="false" outlineLevel="0" collapsed="false">
      <c r="A1602" s="4" t="s">
        <v>2118</v>
      </c>
      <c r="B1602" s="5" t="n">
        <v>-0.143</v>
      </c>
      <c r="C1602" s="5" t="n">
        <v>-0.143</v>
      </c>
      <c r="D1602" s="5" t="n">
        <f aca="false">IF(AND(ISNUMBER(B1602),ISNUMBER(C1602)),C1602-B1602,"")</f>
        <v>0</v>
      </c>
      <c r="E1602" s="4" t="s">
        <v>531</v>
      </c>
    </row>
    <row r="1603" customFormat="false" ht="15" hidden="false" customHeight="false" outlineLevel="0" collapsed="false">
      <c r="A1603" s="4" t="s">
        <v>2119</v>
      </c>
      <c r="B1603" s="5" t="n">
        <v>0.151</v>
      </c>
      <c r="C1603" s="5" t="n">
        <v>0.151</v>
      </c>
      <c r="D1603" s="5" t="n">
        <f aca="false">IF(AND(ISNUMBER(B1603),ISNUMBER(C1603)),C1603-B1603,"")</f>
        <v>0</v>
      </c>
      <c r="E1603" s="4" t="s">
        <v>531</v>
      </c>
    </row>
    <row r="1604" customFormat="false" ht="15" hidden="false" customHeight="false" outlineLevel="0" collapsed="false">
      <c r="A1604" s="4" t="s">
        <v>2120</v>
      </c>
      <c r="B1604" s="5" t="s">
        <v>1849</v>
      </c>
      <c r="C1604" s="5" t="s">
        <v>1849</v>
      </c>
      <c r="D1604" s="5" t="str">
        <f aca="false">IF(AND(ISNUMBER(B1604),ISNUMBER(C1604)),C1604-B1604,"")</f>
        <v/>
      </c>
      <c r="E1604" s="4" t="s">
        <v>1815</v>
      </c>
    </row>
    <row r="1605" customFormat="false" ht="15" hidden="false" customHeight="false" outlineLevel="0" collapsed="false">
      <c r="A1605" s="4" t="s">
        <v>2121</v>
      </c>
      <c r="B1605" s="5" t="n">
        <v>52</v>
      </c>
      <c r="C1605" s="5" t="n">
        <v>52</v>
      </c>
      <c r="D1605" s="5" t="n">
        <f aca="false">IF(AND(ISNUMBER(B1605),ISNUMBER(C1605)),C1605-B1605,"")</f>
        <v>0</v>
      </c>
      <c r="E1605" s="4" t="s">
        <v>531</v>
      </c>
    </row>
    <row r="1606" customFormat="false" ht="15" hidden="false" customHeight="false" outlineLevel="0" collapsed="false">
      <c r="A1606" s="4" t="s">
        <v>2122</v>
      </c>
      <c r="B1606" s="5" t="n">
        <v>0.423</v>
      </c>
      <c r="C1606" s="5" t="n">
        <v>0.423</v>
      </c>
      <c r="D1606" s="5" t="n">
        <f aca="false">IF(AND(ISNUMBER(B1606),ISNUMBER(C1606)),C1606-B1606,"")</f>
        <v>0</v>
      </c>
      <c r="E1606" s="4" t="s">
        <v>531</v>
      </c>
    </row>
    <row r="1607" customFormat="false" ht="15" hidden="false" customHeight="false" outlineLevel="0" collapsed="false">
      <c r="A1607" s="4" t="s">
        <v>2123</v>
      </c>
      <c r="B1607" s="5" t="n">
        <v>0.574</v>
      </c>
      <c r="C1607" s="5" t="n">
        <v>0.574</v>
      </c>
      <c r="D1607" s="5" t="n">
        <f aca="false">IF(AND(ISNUMBER(B1607),ISNUMBER(C1607)),C1607-B1607,"")</f>
        <v>0</v>
      </c>
      <c r="E1607" s="4" t="s">
        <v>531</v>
      </c>
    </row>
    <row r="1608" customFormat="false" ht="15" hidden="false" customHeight="false" outlineLevel="0" collapsed="false">
      <c r="A1608" s="4" t="s">
        <v>2124</v>
      </c>
      <c r="B1608" s="5" t="n">
        <v>-0.151</v>
      </c>
      <c r="C1608" s="5" t="n">
        <v>-0.151</v>
      </c>
      <c r="D1608" s="5" t="n">
        <f aca="false">IF(AND(ISNUMBER(B1608),ISNUMBER(C1608)),C1608-B1608,"")</f>
        <v>0</v>
      </c>
      <c r="E1608" s="4" t="s">
        <v>531</v>
      </c>
    </row>
    <row r="1609" customFormat="false" ht="15" hidden="false" customHeight="false" outlineLevel="0" collapsed="false">
      <c r="A1609" s="4" t="s">
        <v>2125</v>
      </c>
      <c r="B1609" s="5" t="n">
        <v>0.151</v>
      </c>
      <c r="C1609" s="5" t="n">
        <v>0.151</v>
      </c>
      <c r="D1609" s="5" t="n">
        <f aca="false">IF(AND(ISNUMBER(B1609),ISNUMBER(C1609)),C1609-B1609,"")</f>
        <v>0</v>
      </c>
      <c r="E1609" s="4" t="s">
        <v>531</v>
      </c>
    </row>
    <row r="1610" customFormat="false" ht="15" hidden="false" customHeight="false" outlineLevel="0" collapsed="false">
      <c r="A1610" s="4" t="s">
        <v>2126</v>
      </c>
      <c r="B1610" s="5" t="s">
        <v>1849</v>
      </c>
      <c r="C1610" s="5" t="s">
        <v>1849</v>
      </c>
      <c r="D1610" s="5" t="str">
        <f aca="false">IF(AND(ISNUMBER(B1610),ISNUMBER(C1610)),C1610-B1610,"")</f>
        <v/>
      </c>
      <c r="E1610" s="4" t="s">
        <v>1815</v>
      </c>
    </row>
    <row r="1611" customFormat="false" ht="15" hidden="false" customHeight="false" outlineLevel="0" collapsed="false">
      <c r="A1611" s="4" t="s">
        <v>2127</v>
      </c>
      <c r="B1611" s="5" t="n">
        <v>52</v>
      </c>
      <c r="C1611" s="5" t="n">
        <v>52</v>
      </c>
      <c r="D1611" s="5" t="n">
        <f aca="false">IF(AND(ISNUMBER(B1611),ISNUMBER(C1611)),C1611-B1611,"")</f>
        <v>0</v>
      </c>
      <c r="E1611" s="4" t="s">
        <v>531</v>
      </c>
    </row>
    <row r="1612" customFormat="false" ht="15" hidden="false" customHeight="false" outlineLevel="0" collapsed="false">
      <c r="A1612" s="4" t="s">
        <v>2128</v>
      </c>
      <c r="B1612" s="5" t="n">
        <v>0.212</v>
      </c>
      <c r="C1612" s="5" t="n">
        <v>0.212</v>
      </c>
      <c r="D1612" s="5" t="n">
        <f aca="false">IF(AND(ISNUMBER(B1612),ISNUMBER(C1612)),C1612-B1612,"")</f>
        <v>0</v>
      </c>
      <c r="E1612" s="4" t="s">
        <v>531</v>
      </c>
    </row>
    <row r="1613" customFormat="false" ht="15" hidden="false" customHeight="false" outlineLevel="0" collapsed="false">
      <c r="A1613" s="4" t="s">
        <v>2129</v>
      </c>
      <c r="B1613" s="5" t="n">
        <v>0.312</v>
      </c>
      <c r="C1613" s="5" t="n">
        <v>0.312</v>
      </c>
      <c r="D1613" s="5" t="n">
        <f aca="false">IF(AND(ISNUMBER(B1613),ISNUMBER(C1613)),C1613-B1613,"")</f>
        <v>0</v>
      </c>
      <c r="E1613" s="4" t="s">
        <v>531</v>
      </c>
    </row>
    <row r="1614" customFormat="false" ht="15" hidden="false" customHeight="false" outlineLevel="0" collapsed="false">
      <c r="A1614" s="4" t="s">
        <v>2130</v>
      </c>
      <c r="B1614" s="5" t="n">
        <v>-0.1</v>
      </c>
      <c r="C1614" s="5" t="n">
        <v>-0.1</v>
      </c>
      <c r="D1614" s="5" t="n">
        <f aca="false">IF(AND(ISNUMBER(B1614),ISNUMBER(C1614)),C1614-B1614,"")</f>
        <v>0</v>
      </c>
      <c r="E1614" s="4" t="s">
        <v>531</v>
      </c>
    </row>
    <row r="1615" customFormat="false" ht="15" hidden="false" customHeight="false" outlineLevel="0" collapsed="false">
      <c r="A1615" s="4" t="s">
        <v>2131</v>
      </c>
      <c r="B1615" s="5" t="n">
        <v>0.128</v>
      </c>
      <c r="C1615" s="5" t="n">
        <v>0.128</v>
      </c>
      <c r="D1615" s="5" t="n">
        <f aca="false">IF(AND(ISNUMBER(B1615),ISNUMBER(C1615)),C1615-B1615,"")</f>
        <v>0</v>
      </c>
      <c r="E1615" s="4" t="s">
        <v>531</v>
      </c>
    </row>
    <row r="1616" customFormat="false" ht="15" hidden="false" customHeight="false" outlineLevel="0" collapsed="false">
      <c r="A1616" s="4" t="s">
        <v>2132</v>
      </c>
      <c r="B1616" s="5" t="s">
        <v>1814</v>
      </c>
      <c r="C1616" s="5" t="s">
        <v>1814</v>
      </c>
      <c r="D1616" s="5" t="str">
        <f aca="false">IF(AND(ISNUMBER(B1616),ISNUMBER(C1616)),C1616-B1616,"")</f>
        <v/>
      </c>
      <c r="E1616" s="4" t="s">
        <v>1815</v>
      </c>
    </row>
    <row r="1617" customFormat="false" ht="15" hidden="false" customHeight="false" outlineLevel="0" collapsed="false">
      <c r="A1617" s="4" t="s">
        <v>2133</v>
      </c>
      <c r="B1617" s="5" t="n">
        <v>52</v>
      </c>
      <c r="C1617" s="5" t="n">
        <v>52</v>
      </c>
      <c r="D1617" s="5" t="n">
        <f aca="false">IF(AND(ISNUMBER(B1617),ISNUMBER(C1617)),C1617-B1617,"")</f>
        <v>0</v>
      </c>
      <c r="E1617" s="4" t="s">
        <v>531</v>
      </c>
    </row>
    <row r="1618" customFormat="false" ht="15" hidden="false" customHeight="false" outlineLevel="0" collapsed="false">
      <c r="A1618" s="4" t="s">
        <v>2134</v>
      </c>
      <c r="B1618" s="5" t="n">
        <v>0.25</v>
      </c>
      <c r="C1618" s="5" t="n">
        <v>0.25</v>
      </c>
      <c r="D1618" s="5" t="n">
        <f aca="false">IF(AND(ISNUMBER(B1618),ISNUMBER(C1618)),C1618-B1618,"")</f>
        <v>0</v>
      </c>
      <c r="E1618" s="4" t="s">
        <v>531</v>
      </c>
    </row>
    <row r="1619" customFormat="false" ht="15" hidden="false" customHeight="false" outlineLevel="0" collapsed="false">
      <c r="A1619" s="4" t="s">
        <v>2135</v>
      </c>
      <c r="B1619" s="5" t="n">
        <v>0.202</v>
      </c>
      <c r="C1619" s="5" t="n">
        <v>0.202</v>
      </c>
      <c r="D1619" s="5" t="n">
        <f aca="false">IF(AND(ISNUMBER(B1619),ISNUMBER(C1619)),C1619-B1619,"")</f>
        <v>0</v>
      </c>
      <c r="E1619" s="4" t="s">
        <v>531</v>
      </c>
    </row>
    <row r="1620" customFormat="false" ht="15" hidden="false" customHeight="false" outlineLevel="0" collapsed="false">
      <c r="A1620" s="4" t="s">
        <v>2136</v>
      </c>
      <c r="B1620" s="5" t="n">
        <v>0.048</v>
      </c>
      <c r="C1620" s="5" t="n">
        <v>0.048</v>
      </c>
      <c r="D1620" s="5" t="n">
        <f aca="false">IF(AND(ISNUMBER(B1620),ISNUMBER(C1620)),C1620-B1620,"")</f>
        <v>0</v>
      </c>
      <c r="E1620" s="4" t="s">
        <v>531</v>
      </c>
    </row>
    <row r="1621" customFormat="false" ht="15" hidden="false" customHeight="false" outlineLevel="0" collapsed="false">
      <c r="A1621" s="4" t="s">
        <v>2137</v>
      </c>
      <c r="B1621" s="5" t="n">
        <v>0.13</v>
      </c>
      <c r="C1621" s="5" t="n">
        <v>0.13</v>
      </c>
      <c r="D1621" s="5" t="n">
        <f aca="false">IF(AND(ISNUMBER(B1621),ISNUMBER(C1621)),C1621-B1621,"")</f>
        <v>0</v>
      </c>
      <c r="E1621" s="4" t="s">
        <v>531</v>
      </c>
    </row>
    <row r="1622" customFormat="false" ht="15" hidden="false" customHeight="false" outlineLevel="0" collapsed="false">
      <c r="A1622" s="4" t="s">
        <v>2138</v>
      </c>
      <c r="B1622" s="5" t="s">
        <v>1814</v>
      </c>
      <c r="C1622" s="5" t="s">
        <v>1814</v>
      </c>
      <c r="D1622" s="5" t="str">
        <f aca="false">IF(AND(ISNUMBER(B1622),ISNUMBER(C1622)),C1622-B1622,"")</f>
        <v/>
      </c>
      <c r="E1622" s="4" t="s">
        <v>1815</v>
      </c>
    </row>
    <row r="1623" customFormat="false" ht="15" hidden="false" customHeight="false" outlineLevel="0" collapsed="false">
      <c r="A1623" s="4" t="s">
        <v>2139</v>
      </c>
      <c r="B1623" s="5" t="n">
        <v>52</v>
      </c>
      <c r="C1623" s="5" t="n">
        <v>52</v>
      </c>
      <c r="D1623" s="5" t="n">
        <f aca="false">IF(AND(ISNUMBER(B1623),ISNUMBER(C1623)),C1623-B1623,"")</f>
        <v>0</v>
      </c>
      <c r="E1623" s="4" t="s">
        <v>531</v>
      </c>
    </row>
    <row r="1624" customFormat="false" ht="15" hidden="false" customHeight="false" outlineLevel="0" collapsed="false">
      <c r="A1624" s="4" t="s">
        <v>2140</v>
      </c>
      <c r="B1624" s="5" t="n">
        <v>1.231</v>
      </c>
      <c r="C1624" s="5" t="n">
        <v>1.231</v>
      </c>
      <c r="D1624" s="5" t="n">
        <f aca="false">IF(AND(ISNUMBER(B1624),ISNUMBER(C1624)),C1624-B1624,"")</f>
        <v>0</v>
      </c>
      <c r="E1624" s="4" t="s">
        <v>531</v>
      </c>
    </row>
    <row r="1625" customFormat="false" ht="15" hidden="false" customHeight="false" outlineLevel="0" collapsed="false">
      <c r="A1625" s="4" t="s">
        <v>2141</v>
      </c>
      <c r="B1625" s="5" t="n">
        <v>1.079</v>
      </c>
      <c r="C1625" s="5" t="n">
        <v>1.079</v>
      </c>
      <c r="D1625" s="5" t="n">
        <f aca="false">IF(AND(ISNUMBER(B1625),ISNUMBER(C1625)),C1625-B1625,"")</f>
        <v>0</v>
      </c>
      <c r="E1625" s="4" t="s">
        <v>531</v>
      </c>
    </row>
    <row r="1626" customFormat="false" ht="15" hidden="false" customHeight="false" outlineLevel="0" collapsed="false">
      <c r="A1626" s="4" t="s">
        <v>2142</v>
      </c>
      <c r="B1626" s="5" t="n">
        <v>0.152</v>
      </c>
      <c r="C1626" s="5" t="n">
        <v>0.152</v>
      </c>
      <c r="D1626" s="5" t="n">
        <f aca="false">IF(AND(ISNUMBER(B1626),ISNUMBER(C1626)),C1626-B1626,"")</f>
        <v>0</v>
      </c>
      <c r="E1626" s="4" t="s">
        <v>531</v>
      </c>
    </row>
    <row r="1627" customFormat="false" ht="15" hidden="false" customHeight="false" outlineLevel="0" collapsed="false">
      <c r="A1627" s="4" t="s">
        <v>2143</v>
      </c>
      <c r="B1627" s="5" t="n">
        <v>0.286</v>
      </c>
      <c r="C1627" s="5" t="n">
        <v>0.286</v>
      </c>
      <c r="D1627" s="5" t="n">
        <f aca="false">IF(AND(ISNUMBER(B1627),ISNUMBER(C1627)),C1627-B1627,"")</f>
        <v>0</v>
      </c>
      <c r="E1627" s="4" t="s">
        <v>531</v>
      </c>
    </row>
    <row r="1628" customFormat="false" ht="15" hidden="false" customHeight="false" outlineLevel="0" collapsed="false">
      <c r="A1628" s="4" t="s">
        <v>2144</v>
      </c>
      <c r="B1628" s="5" t="s">
        <v>1814</v>
      </c>
      <c r="C1628" s="5" t="s">
        <v>1814</v>
      </c>
      <c r="D1628" s="5" t="str">
        <f aca="false">IF(AND(ISNUMBER(B1628),ISNUMBER(C1628)),C1628-B1628,"")</f>
        <v/>
      </c>
      <c r="E1628" s="4" t="s">
        <v>1815</v>
      </c>
    </row>
    <row r="1629" customFormat="false" ht="15" hidden="false" customHeight="false" outlineLevel="0" collapsed="false">
      <c r="A1629" s="4" t="s">
        <v>2145</v>
      </c>
      <c r="B1629" s="5" t="n">
        <v>52</v>
      </c>
      <c r="C1629" s="5" t="n">
        <v>52</v>
      </c>
      <c r="D1629" s="5" t="n">
        <f aca="false">IF(AND(ISNUMBER(B1629),ISNUMBER(C1629)),C1629-B1629,"")</f>
        <v>0</v>
      </c>
      <c r="E1629" s="4" t="s">
        <v>531</v>
      </c>
    </row>
    <row r="1630" customFormat="false" ht="15" hidden="false" customHeight="false" outlineLevel="0" collapsed="false">
      <c r="A1630" s="4" t="s">
        <v>2146</v>
      </c>
      <c r="B1630" s="5" t="n">
        <v>1.808</v>
      </c>
      <c r="C1630" s="5" t="n">
        <v>1.808</v>
      </c>
      <c r="D1630" s="5" t="n">
        <f aca="false">IF(AND(ISNUMBER(B1630),ISNUMBER(C1630)),C1630-B1630,"")</f>
        <v>0</v>
      </c>
      <c r="E1630" s="4" t="s">
        <v>531</v>
      </c>
    </row>
    <row r="1631" customFormat="false" ht="15" hidden="false" customHeight="false" outlineLevel="0" collapsed="false">
      <c r="A1631" s="4" t="s">
        <v>2147</v>
      </c>
      <c r="B1631" s="5" t="n">
        <v>2.054</v>
      </c>
      <c r="C1631" s="5" t="n">
        <v>2.054</v>
      </c>
      <c r="D1631" s="5" t="n">
        <f aca="false">IF(AND(ISNUMBER(B1631),ISNUMBER(C1631)),C1631-B1631,"")</f>
        <v>0</v>
      </c>
      <c r="E1631" s="4" t="s">
        <v>531</v>
      </c>
    </row>
    <row r="1632" customFormat="false" ht="15" hidden="false" customHeight="false" outlineLevel="0" collapsed="false">
      <c r="A1632" s="4" t="s">
        <v>2148</v>
      </c>
      <c r="B1632" s="5" t="n">
        <v>-0.246</v>
      </c>
      <c r="C1632" s="5" t="n">
        <v>-0.246</v>
      </c>
      <c r="D1632" s="5" t="n">
        <f aca="false">IF(AND(ISNUMBER(B1632),ISNUMBER(C1632)),C1632-B1632,"")</f>
        <v>0</v>
      </c>
      <c r="E1632" s="4" t="s">
        <v>531</v>
      </c>
    </row>
    <row r="1633" customFormat="false" ht="15" hidden="false" customHeight="false" outlineLevel="0" collapsed="false">
      <c r="A1633" s="4" t="s">
        <v>2149</v>
      </c>
      <c r="B1633" s="5" t="n">
        <v>0.29</v>
      </c>
      <c r="C1633" s="5" t="n">
        <v>0.29</v>
      </c>
      <c r="D1633" s="5" t="n">
        <f aca="false">IF(AND(ISNUMBER(B1633),ISNUMBER(C1633)),C1633-B1633,"")</f>
        <v>0</v>
      </c>
      <c r="E1633" s="4" t="s">
        <v>531</v>
      </c>
    </row>
    <row r="1634" customFormat="false" ht="15" hidden="false" customHeight="false" outlineLevel="0" collapsed="false">
      <c r="A1634" s="4" t="s">
        <v>2150</v>
      </c>
      <c r="B1634" s="5" t="s">
        <v>1814</v>
      </c>
      <c r="C1634" s="5" t="s">
        <v>1814</v>
      </c>
      <c r="D1634" s="5" t="str">
        <f aca="false">IF(AND(ISNUMBER(B1634),ISNUMBER(C1634)),C1634-B1634,"")</f>
        <v/>
      </c>
      <c r="E1634" s="4" t="s">
        <v>1815</v>
      </c>
    </row>
    <row r="1635" customFormat="false" ht="15" hidden="false" customHeight="false" outlineLevel="0" collapsed="false">
      <c r="A1635" s="4" t="s">
        <v>2151</v>
      </c>
      <c r="B1635" s="5" t="n">
        <v>52</v>
      </c>
      <c r="C1635" s="5" t="n">
        <v>52</v>
      </c>
      <c r="D1635" s="5" t="n">
        <f aca="false">IF(AND(ISNUMBER(B1635),ISNUMBER(C1635)),C1635-B1635,"")</f>
        <v>0</v>
      </c>
      <c r="E1635" s="4" t="s">
        <v>531</v>
      </c>
    </row>
    <row r="1636" customFormat="false" ht="15" hidden="false" customHeight="false" outlineLevel="0" collapsed="false">
      <c r="A1636" s="4" t="s">
        <v>2152</v>
      </c>
      <c r="B1636" s="5" t="s">
        <v>27</v>
      </c>
      <c r="C1636" s="5" t="s">
        <v>27</v>
      </c>
      <c r="D1636" s="5" t="str">
        <f aca="false">IF(AND(ISNUMBER(B1636),ISNUMBER(C1636)),C1636-B1636,"")</f>
        <v/>
      </c>
      <c r="E1636" s="4" t="s">
        <v>531</v>
      </c>
    </row>
    <row r="1637" customFormat="false" ht="15" hidden="false" customHeight="false" outlineLevel="0" collapsed="false">
      <c r="A1637" s="4" t="s">
        <v>2153</v>
      </c>
      <c r="B1637" s="5" t="s">
        <v>27</v>
      </c>
      <c r="C1637" s="5" t="s">
        <v>27</v>
      </c>
      <c r="D1637" s="5" t="str">
        <f aca="false">IF(AND(ISNUMBER(B1637),ISNUMBER(C1637)),C1637-B1637,"")</f>
        <v/>
      </c>
      <c r="E1637" s="4" t="s">
        <v>531</v>
      </c>
    </row>
    <row r="1638" customFormat="false" ht="15" hidden="false" customHeight="false" outlineLevel="0" collapsed="false">
      <c r="A1638" s="4" t="s">
        <v>2154</v>
      </c>
      <c r="B1638" s="5" t="s">
        <v>27</v>
      </c>
      <c r="C1638" s="5" t="s">
        <v>27</v>
      </c>
      <c r="D1638" s="5" t="str">
        <f aca="false">IF(AND(ISNUMBER(B1638),ISNUMBER(C1638)),C1638-B1638,"")</f>
        <v/>
      </c>
      <c r="E1638" s="4" t="s">
        <v>531</v>
      </c>
    </row>
    <row r="1639" customFormat="false" ht="15" hidden="false" customHeight="false" outlineLevel="0" collapsed="false">
      <c r="A1639" s="4" t="s">
        <v>2155</v>
      </c>
      <c r="B1639" s="5" t="s">
        <v>27</v>
      </c>
      <c r="C1639" s="5" t="s">
        <v>27</v>
      </c>
      <c r="D1639" s="5" t="str">
        <f aca="false">IF(AND(ISNUMBER(B1639),ISNUMBER(C1639)),C1639-B1639,"")</f>
        <v/>
      </c>
      <c r="E1639" s="4" t="s">
        <v>531</v>
      </c>
    </row>
    <row r="1640" customFormat="false" ht="15" hidden="false" customHeight="false" outlineLevel="0" collapsed="false">
      <c r="A1640" s="4" t="s">
        <v>2156</v>
      </c>
      <c r="B1640" s="5" t="s">
        <v>27</v>
      </c>
      <c r="C1640" s="5" t="s">
        <v>27</v>
      </c>
      <c r="D1640" s="5" t="str">
        <f aca="false">IF(AND(ISNUMBER(B1640),ISNUMBER(C1640)),C1640-B1640,"")</f>
        <v/>
      </c>
      <c r="E1640" s="4" t="s">
        <v>1815</v>
      </c>
    </row>
    <row r="1641" customFormat="false" ht="15" hidden="false" customHeight="false" outlineLevel="0" collapsed="false">
      <c r="A1641" s="4" t="s">
        <v>2157</v>
      </c>
      <c r="B1641" s="5" t="n">
        <v>52</v>
      </c>
      <c r="C1641" s="5" t="n">
        <v>52</v>
      </c>
      <c r="D1641" s="5" t="n">
        <f aca="false">IF(AND(ISNUMBER(B1641),ISNUMBER(C1641)),C1641-B1641,"")</f>
        <v>0</v>
      </c>
      <c r="E1641" s="4" t="s">
        <v>531</v>
      </c>
    </row>
    <row r="1642" customFormat="false" ht="15" hidden="false" customHeight="false" outlineLevel="0" collapsed="false">
      <c r="A1642" s="4" t="s">
        <v>2158</v>
      </c>
      <c r="B1642" s="5" t="n">
        <v>1.827</v>
      </c>
      <c r="C1642" s="5" t="n">
        <v>1.827</v>
      </c>
      <c r="D1642" s="5" t="n">
        <f aca="false">IF(AND(ISNUMBER(B1642),ISNUMBER(C1642)),C1642-B1642,"")</f>
        <v>0</v>
      </c>
      <c r="E1642" s="4" t="s">
        <v>531</v>
      </c>
    </row>
    <row r="1643" customFormat="false" ht="15" hidden="false" customHeight="false" outlineLevel="0" collapsed="false">
      <c r="A1643" s="4" t="s">
        <v>2159</v>
      </c>
      <c r="B1643" s="5" t="n">
        <v>1.723</v>
      </c>
      <c r="C1643" s="5" t="n">
        <v>1.723</v>
      </c>
      <c r="D1643" s="5" t="n">
        <f aca="false">IF(AND(ISNUMBER(B1643),ISNUMBER(C1643)),C1643-B1643,"")</f>
        <v>0</v>
      </c>
      <c r="E1643" s="4" t="s">
        <v>531</v>
      </c>
    </row>
    <row r="1644" customFormat="false" ht="15" hidden="false" customHeight="false" outlineLevel="0" collapsed="false">
      <c r="A1644" s="4" t="s">
        <v>2160</v>
      </c>
      <c r="B1644" s="5" t="n">
        <v>0.104</v>
      </c>
      <c r="C1644" s="5" t="n">
        <v>0.104</v>
      </c>
      <c r="D1644" s="5" t="n">
        <f aca="false">IF(AND(ISNUMBER(B1644),ISNUMBER(C1644)),C1644-B1644,"")</f>
        <v>0</v>
      </c>
      <c r="E1644" s="4" t="s">
        <v>531</v>
      </c>
    </row>
    <row r="1645" customFormat="false" ht="15" hidden="false" customHeight="false" outlineLevel="0" collapsed="false">
      <c r="A1645" s="4" t="s">
        <v>2161</v>
      </c>
      <c r="B1645" s="5" t="n">
        <v>0.251</v>
      </c>
      <c r="C1645" s="5" t="n">
        <v>0.251</v>
      </c>
      <c r="D1645" s="5" t="n">
        <f aca="false">IF(AND(ISNUMBER(B1645),ISNUMBER(C1645)),C1645-B1645,"")</f>
        <v>0</v>
      </c>
      <c r="E1645" s="4" t="s">
        <v>531</v>
      </c>
    </row>
    <row r="1646" customFormat="false" ht="15" hidden="false" customHeight="false" outlineLevel="0" collapsed="false">
      <c r="A1646" s="4" t="s">
        <v>2162</v>
      </c>
      <c r="B1646" s="5" t="s">
        <v>1814</v>
      </c>
      <c r="C1646" s="5" t="s">
        <v>1814</v>
      </c>
      <c r="D1646" s="5" t="str">
        <f aca="false">IF(AND(ISNUMBER(B1646),ISNUMBER(C1646)),C1646-B1646,"")</f>
        <v/>
      </c>
      <c r="E1646" s="4" t="s">
        <v>1815</v>
      </c>
    </row>
    <row r="1647" customFormat="false" ht="15" hidden="false" customHeight="false" outlineLevel="0" collapsed="false">
      <c r="A1647" s="4" t="s">
        <v>2163</v>
      </c>
      <c r="B1647" s="5" t="n">
        <v>24</v>
      </c>
      <c r="C1647" s="5" t="n">
        <v>24</v>
      </c>
      <c r="D1647" s="5" t="n">
        <f aca="false">IF(AND(ISNUMBER(B1647),ISNUMBER(C1647)),C1647-B1647,"")</f>
        <v>0</v>
      </c>
      <c r="E1647" s="4" t="s">
        <v>531</v>
      </c>
    </row>
    <row r="1648" customFormat="false" ht="15" hidden="false" customHeight="false" outlineLevel="0" collapsed="false">
      <c r="A1648" s="4" t="s">
        <v>2164</v>
      </c>
      <c r="B1648" s="5" t="s">
        <v>178</v>
      </c>
      <c r="C1648" s="5" t="s">
        <v>178</v>
      </c>
      <c r="D1648" s="5" t="str">
        <f aca="false">IF(AND(ISNUMBER(B1648),ISNUMBER(C1648)),C1648-B1648,"")</f>
        <v/>
      </c>
      <c r="E1648" s="4" t="s">
        <v>1815</v>
      </c>
    </row>
    <row r="1649" customFormat="false" ht="15" hidden="false" customHeight="false" outlineLevel="0" collapsed="false">
      <c r="A1649" s="4" t="s">
        <v>2165</v>
      </c>
      <c r="B1649" s="5" t="s">
        <v>27</v>
      </c>
      <c r="C1649" s="5" t="s">
        <v>27</v>
      </c>
      <c r="D1649" s="5" t="str">
        <f aca="false">IF(AND(ISNUMBER(B1649),ISNUMBER(C1649)),C1649-B1649,"")</f>
        <v/>
      </c>
      <c r="E1649" s="4" t="s">
        <v>531</v>
      </c>
    </row>
    <row r="1650" customFormat="false" ht="15" hidden="false" customHeight="false" outlineLevel="0" collapsed="false">
      <c r="A1650" s="4" t="s">
        <v>2166</v>
      </c>
      <c r="B1650" s="5" t="n">
        <v>20</v>
      </c>
      <c r="C1650" s="5" t="n">
        <v>20</v>
      </c>
      <c r="D1650" s="5" t="n">
        <f aca="false">IF(AND(ISNUMBER(B1650),ISNUMBER(C1650)),C1650-B1650,"")</f>
        <v>0</v>
      </c>
      <c r="E1650" s="4" t="s">
        <v>531</v>
      </c>
    </row>
    <row r="1651" customFormat="false" ht="15" hidden="false" customHeight="false" outlineLevel="0" collapsed="false">
      <c r="A1651" s="4" t="s">
        <v>2167</v>
      </c>
      <c r="B1651" s="5" t="s">
        <v>178</v>
      </c>
      <c r="C1651" s="5" t="s">
        <v>178</v>
      </c>
      <c r="D1651" s="5" t="str">
        <f aca="false">IF(AND(ISNUMBER(B1651),ISNUMBER(C1651)),C1651-B1651,"")</f>
        <v/>
      </c>
      <c r="E1651" s="4" t="s">
        <v>1815</v>
      </c>
    </row>
    <row r="1652" customFormat="false" ht="15" hidden="false" customHeight="false" outlineLevel="0" collapsed="false">
      <c r="A1652" s="4" t="s">
        <v>2168</v>
      </c>
      <c r="B1652" s="5" t="s">
        <v>27</v>
      </c>
      <c r="C1652" s="5" t="s">
        <v>27</v>
      </c>
      <c r="D1652" s="5" t="str">
        <f aca="false">IF(AND(ISNUMBER(B1652),ISNUMBER(C1652)),C1652-B1652,"")</f>
        <v/>
      </c>
      <c r="E1652" s="4" t="s">
        <v>531</v>
      </c>
    </row>
    <row r="1653" customFormat="false" ht="15" hidden="false" customHeight="false" outlineLevel="0" collapsed="false">
      <c r="A1653" s="4" t="s">
        <v>2169</v>
      </c>
      <c r="B1653" s="5" t="n">
        <v>24</v>
      </c>
      <c r="C1653" s="5" t="n">
        <v>24</v>
      </c>
      <c r="D1653" s="5" t="n">
        <f aca="false">IF(AND(ISNUMBER(B1653),ISNUMBER(C1653)),C1653-B1653,"")</f>
        <v>0</v>
      </c>
      <c r="E1653" s="4" t="s">
        <v>531</v>
      </c>
    </row>
    <row r="1654" customFormat="false" ht="15" hidden="false" customHeight="false" outlineLevel="0" collapsed="false">
      <c r="A1654" s="4" t="s">
        <v>2170</v>
      </c>
      <c r="B1654" s="5" t="s">
        <v>178</v>
      </c>
      <c r="C1654" s="5" t="s">
        <v>178</v>
      </c>
      <c r="D1654" s="5" t="str">
        <f aca="false">IF(AND(ISNUMBER(B1654),ISNUMBER(C1654)),C1654-B1654,"")</f>
        <v/>
      </c>
      <c r="E1654" s="4" t="s">
        <v>1815</v>
      </c>
    </row>
    <row r="1655" customFormat="false" ht="15" hidden="false" customHeight="false" outlineLevel="0" collapsed="false">
      <c r="A1655" s="4" t="s">
        <v>2171</v>
      </c>
      <c r="B1655" s="5" t="s">
        <v>27</v>
      </c>
      <c r="C1655" s="5" t="s">
        <v>27</v>
      </c>
      <c r="D1655" s="5" t="str">
        <f aca="false">IF(AND(ISNUMBER(B1655),ISNUMBER(C1655)),C1655-B1655,"")</f>
        <v/>
      </c>
      <c r="E1655" s="4" t="s">
        <v>531</v>
      </c>
    </row>
    <row r="1656" customFormat="false" ht="15" hidden="false" customHeight="false" outlineLevel="0" collapsed="false">
      <c r="A1656" s="4" t="s">
        <v>2172</v>
      </c>
      <c r="B1656" s="5" t="n">
        <v>20</v>
      </c>
      <c r="C1656" s="5" t="n">
        <v>20</v>
      </c>
      <c r="D1656" s="5" t="n">
        <f aca="false">IF(AND(ISNUMBER(B1656),ISNUMBER(C1656)),C1656-B1656,"")</f>
        <v>0</v>
      </c>
      <c r="E1656" s="4" t="s">
        <v>531</v>
      </c>
    </row>
    <row r="1657" customFormat="false" ht="15" hidden="false" customHeight="false" outlineLevel="0" collapsed="false">
      <c r="A1657" s="4" t="s">
        <v>2173</v>
      </c>
      <c r="B1657" s="5" t="n">
        <v>4.032</v>
      </c>
      <c r="C1657" s="5" t="n">
        <v>4.032</v>
      </c>
      <c r="D1657" s="5" t="n">
        <f aca="false">IF(AND(ISNUMBER(B1657),ISNUMBER(C1657)),C1657-B1657,"")</f>
        <v>0</v>
      </c>
      <c r="E1657" s="4" t="s">
        <v>531</v>
      </c>
    </row>
    <row r="1658" customFormat="false" ht="15" hidden="false" customHeight="false" outlineLevel="0" collapsed="false">
      <c r="A1658" s="4" t="s">
        <v>2174</v>
      </c>
      <c r="B1658" s="5" t="n">
        <v>3.955</v>
      </c>
      <c r="C1658" s="5" t="n">
        <v>3.955</v>
      </c>
      <c r="D1658" s="5" t="n">
        <f aca="false">IF(AND(ISNUMBER(B1658),ISNUMBER(C1658)),C1658-B1658,"")</f>
        <v>0</v>
      </c>
      <c r="E1658" s="4" t="s">
        <v>531</v>
      </c>
    </row>
    <row r="1659" customFormat="false" ht="15" hidden="false" customHeight="false" outlineLevel="0" collapsed="false">
      <c r="A1659" s="4" t="s">
        <v>2175</v>
      </c>
      <c r="B1659" s="5" t="n">
        <v>0.077</v>
      </c>
      <c r="C1659" s="5" t="n">
        <v>0.077</v>
      </c>
      <c r="D1659" s="5" t="n">
        <f aca="false">IF(AND(ISNUMBER(B1659),ISNUMBER(C1659)),C1659-B1659,"")</f>
        <v>0</v>
      </c>
      <c r="E1659" s="4" t="s">
        <v>531</v>
      </c>
    </row>
    <row r="1660" customFormat="false" ht="15" hidden="false" customHeight="false" outlineLevel="0" collapsed="false">
      <c r="A1660" s="4" t="s">
        <v>2176</v>
      </c>
      <c r="B1660" s="5" t="n">
        <v>0.317</v>
      </c>
      <c r="C1660" s="5" t="n">
        <v>0.317</v>
      </c>
      <c r="D1660" s="5" t="n">
        <f aca="false">IF(AND(ISNUMBER(B1660),ISNUMBER(C1660)),C1660-B1660,"")</f>
        <v>0</v>
      </c>
      <c r="E1660" s="4" t="s">
        <v>531</v>
      </c>
    </row>
    <row r="1661" customFormat="false" ht="15" hidden="false" customHeight="false" outlineLevel="0" collapsed="false">
      <c r="A1661" s="4" t="s">
        <v>2177</v>
      </c>
      <c r="B1661" s="5" t="s">
        <v>1814</v>
      </c>
      <c r="C1661" s="5" t="s">
        <v>1814</v>
      </c>
      <c r="D1661" s="5" t="str">
        <f aca="false">IF(AND(ISNUMBER(B1661),ISNUMBER(C1661)),C1661-B1661,"")</f>
        <v/>
      </c>
      <c r="E1661" s="4" t="s">
        <v>1815</v>
      </c>
    </row>
    <row r="1662" customFormat="false" ht="15" hidden="false" customHeight="false" outlineLevel="0" collapsed="false">
      <c r="A1662" s="4" t="s">
        <v>2178</v>
      </c>
      <c r="B1662" s="5" t="n">
        <v>24</v>
      </c>
      <c r="C1662" s="5" t="n">
        <v>24</v>
      </c>
      <c r="D1662" s="5" t="n">
        <f aca="false">IF(AND(ISNUMBER(B1662),ISNUMBER(C1662)),C1662-B1662,"")</f>
        <v>0</v>
      </c>
      <c r="E1662" s="4" t="s">
        <v>531</v>
      </c>
    </row>
    <row r="1663" customFormat="false" ht="15" hidden="false" customHeight="false" outlineLevel="0" collapsed="false">
      <c r="A1663" s="4" t="s">
        <v>2179</v>
      </c>
      <c r="B1663" s="5" t="s">
        <v>178</v>
      </c>
      <c r="C1663" s="5" t="s">
        <v>178</v>
      </c>
      <c r="D1663" s="5" t="str">
        <f aca="false">IF(AND(ISNUMBER(B1663),ISNUMBER(C1663)),C1663-B1663,"")</f>
        <v/>
      </c>
      <c r="E1663" s="4" t="s">
        <v>1815</v>
      </c>
    </row>
    <row r="1664" customFormat="false" ht="15" hidden="false" customHeight="false" outlineLevel="0" collapsed="false">
      <c r="A1664" s="4" t="s">
        <v>2180</v>
      </c>
      <c r="B1664" s="5" t="s">
        <v>27</v>
      </c>
      <c r="C1664" s="5" t="s">
        <v>27</v>
      </c>
      <c r="D1664" s="5" t="str">
        <f aca="false">IF(AND(ISNUMBER(B1664),ISNUMBER(C1664)),C1664-B1664,"")</f>
        <v/>
      </c>
      <c r="E1664" s="4" t="s">
        <v>531</v>
      </c>
    </row>
    <row r="1665" customFormat="false" ht="15" hidden="false" customHeight="false" outlineLevel="0" collapsed="false">
      <c r="A1665" s="4" t="s">
        <v>2181</v>
      </c>
      <c r="B1665" s="5" t="n">
        <v>20</v>
      </c>
      <c r="C1665" s="5" t="n">
        <v>20</v>
      </c>
      <c r="D1665" s="5" t="n">
        <f aca="false">IF(AND(ISNUMBER(B1665),ISNUMBER(C1665)),C1665-B1665,"")</f>
        <v>0</v>
      </c>
      <c r="E1665" s="4" t="s">
        <v>531</v>
      </c>
    </row>
    <row r="1666" customFormat="false" ht="15" hidden="false" customHeight="false" outlineLevel="0" collapsed="false">
      <c r="A1666" s="4" t="s">
        <v>2182</v>
      </c>
      <c r="B1666" s="5" t="s">
        <v>27</v>
      </c>
      <c r="C1666" s="5" t="s">
        <v>27</v>
      </c>
      <c r="D1666" s="5" t="str">
        <f aca="false">IF(AND(ISNUMBER(B1666),ISNUMBER(C1666)),C1666-B1666,"")</f>
        <v/>
      </c>
      <c r="E1666" s="4" t="s">
        <v>531</v>
      </c>
    </row>
    <row r="1667" customFormat="false" ht="15" hidden="false" customHeight="false" outlineLevel="0" collapsed="false">
      <c r="A1667" s="4" t="s">
        <v>2183</v>
      </c>
      <c r="B1667" s="5" t="s">
        <v>27</v>
      </c>
      <c r="C1667" s="5" t="s">
        <v>27</v>
      </c>
      <c r="D1667" s="5" t="str">
        <f aca="false">IF(AND(ISNUMBER(B1667),ISNUMBER(C1667)),C1667-B1667,"")</f>
        <v/>
      </c>
      <c r="E1667" s="4" t="s">
        <v>531</v>
      </c>
    </row>
    <row r="1668" customFormat="false" ht="15" hidden="false" customHeight="false" outlineLevel="0" collapsed="false">
      <c r="A1668" s="4" t="s">
        <v>2184</v>
      </c>
      <c r="B1668" s="5" t="s">
        <v>27</v>
      </c>
      <c r="C1668" s="5" t="s">
        <v>27</v>
      </c>
      <c r="D1668" s="5" t="str">
        <f aca="false">IF(AND(ISNUMBER(B1668),ISNUMBER(C1668)),C1668-B1668,"")</f>
        <v/>
      </c>
      <c r="E1668" s="4" t="s">
        <v>531</v>
      </c>
    </row>
    <row r="1669" customFormat="false" ht="15" hidden="false" customHeight="false" outlineLevel="0" collapsed="false">
      <c r="A1669" s="4" t="s">
        <v>2185</v>
      </c>
      <c r="B1669" s="5" t="s">
        <v>27</v>
      </c>
      <c r="C1669" s="5" t="s">
        <v>27</v>
      </c>
      <c r="D1669" s="5" t="str">
        <f aca="false">IF(AND(ISNUMBER(B1669),ISNUMBER(C1669)),C1669-B1669,"")</f>
        <v/>
      </c>
      <c r="E1669" s="4" t="s">
        <v>531</v>
      </c>
    </row>
    <row r="1670" customFormat="false" ht="15" hidden="false" customHeight="false" outlineLevel="0" collapsed="false">
      <c r="A1670" s="4" t="s">
        <v>2186</v>
      </c>
      <c r="B1670" s="5" t="s">
        <v>27</v>
      </c>
      <c r="C1670" s="5" t="s">
        <v>27</v>
      </c>
      <c r="D1670" s="5" t="str">
        <f aca="false">IF(AND(ISNUMBER(B1670),ISNUMBER(C1670)),C1670-B1670,"")</f>
        <v/>
      </c>
      <c r="E1670" s="4" t="s">
        <v>1815</v>
      </c>
    </row>
    <row r="1671" customFormat="false" ht="15" hidden="false" customHeight="false" outlineLevel="0" collapsed="false">
      <c r="A1671" s="4" t="s">
        <v>2187</v>
      </c>
      <c r="B1671" s="5" t="n">
        <v>23</v>
      </c>
      <c r="C1671" s="5" t="n">
        <v>23</v>
      </c>
      <c r="D1671" s="5" t="n">
        <f aca="false">IF(AND(ISNUMBER(B1671),ISNUMBER(C1671)),C1671-B1671,"")</f>
        <v>0</v>
      </c>
      <c r="E1671" s="4" t="s">
        <v>531</v>
      </c>
    </row>
    <row r="1672" customFormat="false" ht="15" hidden="false" customHeight="false" outlineLevel="0" collapsed="false">
      <c r="A1672" s="4" t="s">
        <v>2188</v>
      </c>
      <c r="B1672" s="5" t="s">
        <v>178</v>
      </c>
      <c r="C1672" s="5" t="s">
        <v>178</v>
      </c>
      <c r="D1672" s="5" t="str">
        <f aca="false">IF(AND(ISNUMBER(B1672),ISNUMBER(C1672)),C1672-B1672,"")</f>
        <v/>
      </c>
      <c r="E1672" s="4" t="s">
        <v>1815</v>
      </c>
    </row>
    <row r="1673" customFormat="false" ht="15" hidden="false" customHeight="false" outlineLevel="0" collapsed="false">
      <c r="A1673" s="4" t="s">
        <v>2189</v>
      </c>
      <c r="B1673" s="5" t="s">
        <v>27</v>
      </c>
      <c r="C1673" s="5" t="s">
        <v>27</v>
      </c>
      <c r="D1673" s="5" t="str">
        <f aca="false">IF(AND(ISNUMBER(B1673),ISNUMBER(C1673)),C1673-B1673,"")</f>
        <v/>
      </c>
      <c r="E1673" s="4" t="s">
        <v>531</v>
      </c>
    </row>
    <row r="1674" customFormat="false" ht="15" hidden="false" customHeight="false" outlineLevel="0" collapsed="false">
      <c r="A1674" s="4" t="s">
        <v>2190</v>
      </c>
      <c r="B1674" s="5" t="n">
        <v>23</v>
      </c>
      <c r="C1674" s="5" t="n">
        <v>23</v>
      </c>
      <c r="D1674" s="5" t="n">
        <f aca="false">IF(AND(ISNUMBER(B1674),ISNUMBER(C1674)),C1674-B1674,"")</f>
        <v>0</v>
      </c>
      <c r="E1674" s="4" t="s">
        <v>531</v>
      </c>
    </row>
    <row r="1675" customFormat="false" ht="15" hidden="false" customHeight="false" outlineLevel="0" collapsed="false">
      <c r="A1675" s="4" t="s">
        <v>2191</v>
      </c>
      <c r="B1675" s="5" t="s">
        <v>178</v>
      </c>
      <c r="C1675" s="5" t="s">
        <v>178</v>
      </c>
      <c r="D1675" s="5" t="str">
        <f aca="false">IF(AND(ISNUMBER(B1675),ISNUMBER(C1675)),C1675-B1675,"")</f>
        <v/>
      </c>
      <c r="E1675" s="4" t="s">
        <v>1815</v>
      </c>
    </row>
    <row r="1676" customFormat="false" ht="15" hidden="false" customHeight="false" outlineLevel="0" collapsed="false">
      <c r="A1676" s="4" t="s">
        <v>2192</v>
      </c>
      <c r="B1676" s="5" t="s">
        <v>27</v>
      </c>
      <c r="C1676" s="5" t="s">
        <v>27</v>
      </c>
      <c r="D1676" s="5" t="str">
        <f aca="false">IF(AND(ISNUMBER(B1676),ISNUMBER(C1676)),C1676-B1676,"")</f>
        <v/>
      </c>
      <c r="E1676" s="4" t="s">
        <v>531</v>
      </c>
    </row>
    <row r="1677" customFormat="false" ht="15" hidden="false" customHeight="false" outlineLevel="0" collapsed="false">
      <c r="A1677" s="4" t="s">
        <v>2193</v>
      </c>
      <c r="B1677" s="5" t="n">
        <v>20</v>
      </c>
      <c r="C1677" s="5" t="n">
        <v>20</v>
      </c>
      <c r="D1677" s="5" t="n">
        <f aca="false">IF(AND(ISNUMBER(B1677),ISNUMBER(C1677)),C1677-B1677,"")</f>
        <v>0</v>
      </c>
      <c r="E1677" s="4" t="s">
        <v>531</v>
      </c>
    </row>
    <row r="1678" customFormat="false" ht="15" hidden="false" customHeight="false" outlineLevel="0" collapsed="false">
      <c r="A1678" s="4" t="s">
        <v>2194</v>
      </c>
      <c r="B1678" s="5" t="s">
        <v>156</v>
      </c>
      <c r="C1678" s="5" t="s">
        <v>156</v>
      </c>
      <c r="D1678" s="5" t="str">
        <f aca="false">IF(AND(ISNUMBER(B1678),ISNUMBER(C1678)),C1678-B1678,"")</f>
        <v/>
      </c>
      <c r="E1678" s="4" t="s">
        <v>1815</v>
      </c>
    </row>
    <row r="1679" customFormat="false" ht="15" hidden="false" customHeight="false" outlineLevel="0" collapsed="false">
      <c r="A1679" s="4" t="s">
        <v>2195</v>
      </c>
      <c r="B1679" s="5" t="s">
        <v>27</v>
      </c>
      <c r="C1679" s="5" t="s">
        <v>27</v>
      </c>
      <c r="D1679" s="5" t="str">
        <f aca="false">IF(AND(ISNUMBER(B1679),ISNUMBER(C1679)),C1679-B1679,"")</f>
        <v/>
      </c>
      <c r="E1679" s="4" t="s">
        <v>531</v>
      </c>
    </row>
    <row r="1680" customFormat="false" ht="15" hidden="false" customHeight="false" outlineLevel="0" collapsed="false">
      <c r="A1680" s="4" t="s">
        <v>2196</v>
      </c>
      <c r="B1680" s="5" t="n">
        <v>21</v>
      </c>
      <c r="C1680" s="5" t="n">
        <v>21</v>
      </c>
      <c r="D1680" s="5" t="n">
        <f aca="false">IF(AND(ISNUMBER(B1680),ISNUMBER(C1680)),C1680-B1680,"")</f>
        <v>0</v>
      </c>
      <c r="E1680" s="4" t="s">
        <v>531</v>
      </c>
    </row>
    <row r="1681" customFormat="false" ht="15" hidden="false" customHeight="false" outlineLevel="0" collapsed="false">
      <c r="A1681" s="4" t="s">
        <v>2197</v>
      </c>
      <c r="B1681" s="5" t="s">
        <v>156</v>
      </c>
      <c r="C1681" s="5" t="s">
        <v>156</v>
      </c>
      <c r="D1681" s="5" t="str">
        <f aca="false">IF(AND(ISNUMBER(B1681),ISNUMBER(C1681)),C1681-B1681,"")</f>
        <v/>
      </c>
      <c r="E1681" s="4" t="s">
        <v>1815</v>
      </c>
    </row>
    <row r="1682" customFormat="false" ht="15" hidden="false" customHeight="false" outlineLevel="0" collapsed="false">
      <c r="A1682" s="4" t="s">
        <v>2198</v>
      </c>
      <c r="B1682" s="5" t="s">
        <v>27</v>
      </c>
      <c r="C1682" s="5" t="s">
        <v>27</v>
      </c>
      <c r="D1682" s="5" t="str">
        <f aca="false">IF(AND(ISNUMBER(B1682),ISNUMBER(C1682)),C1682-B1682,"")</f>
        <v/>
      </c>
      <c r="E1682" s="4" t="s">
        <v>531</v>
      </c>
    </row>
    <row r="1683" customFormat="false" ht="15" hidden="false" customHeight="false" outlineLevel="0" collapsed="false">
      <c r="A1683" s="4" t="s">
        <v>2199</v>
      </c>
      <c r="B1683" s="5" t="n">
        <v>21</v>
      </c>
      <c r="C1683" s="5" t="n">
        <v>21</v>
      </c>
      <c r="D1683" s="5" t="n">
        <f aca="false">IF(AND(ISNUMBER(B1683),ISNUMBER(C1683)),C1683-B1683,"")</f>
        <v>0</v>
      </c>
      <c r="E1683" s="4" t="s">
        <v>531</v>
      </c>
    </row>
    <row r="1684" customFormat="false" ht="15" hidden="false" customHeight="false" outlineLevel="0" collapsed="false">
      <c r="A1684" s="4" t="s">
        <v>2200</v>
      </c>
      <c r="B1684" s="5" t="s">
        <v>178</v>
      </c>
      <c r="C1684" s="5" t="s">
        <v>178</v>
      </c>
      <c r="D1684" s="5" t="str">
        <f aca="false">IF(AND(ISNUMBER(B1684),ISNUMBER(C1684)),C1684-B1684,"")</f>
        <v/>
      </c>
      <c r="E1684" s="4" t="s">
        <v>1815</v>
      </c>
    </row>
    <row r="1685" customFormat="false" ht="15" hidden="false" customHeight="false" outlineLevel="0" collapsed="false">
      <c r="A1685" s="4" t="s">
        <v>2201</v>
      </c>
      <c r="B1685" s="5" t="s">
        <v>27</v>
      </c>
      <c r="C1685" s="5" t="s">
        <v>27</v>
      </c>
      <c r="D1685" s="5" t="str">
        <f aca="false">IF(AND(ISNUMBER(B1685),ISNUMBER(C1685)),C1685-B1685,"")</f>
        <v/>
      </c>
      <c r="E1685" s="4" t="s">
        <v>531</v>
      </c>
    </row>
    <row r="1686" customFormat="false" ht="15" hidden="false" customHeight="false" outlineLevel="0" collapsed="false">
      <c r="A1686" s="4" t="s">
        <v>2202</v>
      </c>
      <c r="B1686" s="5" t="n">
        <v>20</v>
      </c>
      <c r="C1686" s="5" t="n">
        <v>20</v>
      </c>
      <c r="D1686" s="5" t="n">
        <f aca="false">IF(AND(ISNUMBER(B1686),ISNUMBER(C1686)),C1686-B1686,"")</f>
        <v>0</v>
      </c>
      <c r="E1686" s="4" t="s">
        <v>531</v>
      </c>
    </row>
    <row r="1687" customFormat="false" ht="15" hidden="false" customHeight="false" outlineLevel="0" collapsed="false">
      <c r="A1687" s="4" t="s">
        <v>2203</v>
      </c>
      <c r="B1687" s="5" t="s">
        <v>178</v>
      </c>
      <c r="C1687" s="5" t="s">
        <v>178</v>
      </c>
      <c r="D1687" s="5" t="str">
        <f aca="false">IF(AND(ISNUMBER(B1687),ISNUMBER(C1687)),C1687-B1687,"")</f>
        <v/>
      </c>
      <c r="E1687" s="4" t="s">
        <v>1815</v>
      </c>
    </row>
    <row r="1688" customFormat="false" ht="15" hidden="false" customHeight="false" outlineLevel="0" collapsed="false">
      <c r="A1688" s="4" t="s">
        <v>2204</v>
      </c>
      <c r="B1688" s="5" t="s">
        <v>27</v>
      </c>
      <c r="C1688" s="5" t="s">
        <v>27</v>
      </c>
      <c r="D1688" s="5" t="str">
        <f aca="false">IF(AND(ISNUMBER(B1688),ISNUMBER(C1688)),C1688-B1688,"")</f>
        <v/>
      </c>
      <c r="E1688" s="4" t="s">
        <v>531</v>
      </c>
    </row>
    <row r="1689" customFormat="false" ht="15" hidden="false" customHeight="false" outlineLevel="0" collapsed="false">
      <c r="A1689" s="4" t="s">
        <v>2205</v>
      </c>
      <c r="B1689" s="5" t="n">
        <v>22</v>
      </c>
      <c r="C1689" s="5" t="n">
        <v>22</v>
      </c>
      <c r="D1689" s="5" t="n">
        <f aca="false">IF(AND(ISNUMBER(B1689),ISNUMBER(C1689)),C1689-B1689,"")</f>
        <v>0</v>
      </c>
      <c r="E1689" s="4" t="s">
        <v>531</v>
      </c>
    </row>
    <row r="1690" customFormat="false" ht="15" hidden="false" customHeight="false" outlineLevel="0" collapsed="false">
      <c r="A1690" s="4" t="s">
        <v>2206</v>
      </c>
      <c r="B1690" s="5" t="n">
        <v>0.455</v>
      </c>
      <c r="C1690" s="5" t="n">
        <v>0.455</v>
      </c>
      <c r="D1690" s="5" t="n">
        <f aca="false">IF(AND(ISNUMBER(B1690),ISNUMBER(C1690)),C1690-B1690,"")</f>
        <v>0</v>
      </c>
      <c r="E1690" s="4" t="s">
        <v>531</v>
      </c>
    </row>
    <row r="1691" customFormat="false" ht="15" hidden="false" customHeight="false" outlineLevel="0" collapsed="false">
      <c r="A1691" s="4" t="s">
        <v>2207</v>
      </c>
      <c r="B1691" s="5" t="n">
        <v>0.287</v>
      </c>
      <c r="C1691" s="5" t="n">
        <v>0.287</v>
      </c>
      <c r="D1691" s="5" t="n">
        <f aca="false">IF(AND(ISNUMBER(B1691),ISNUMBER(C1691)),C1691-B1691,"")</f>
        <v>0</v>
      </c>
      <c r="E1691" s="4" t="s">
        <v>531</v>
      </c>
    </row>
    <row r="1692" customFormat="false" ht="15" hidden="false" customHeight="false" outlineLevel="0" collapsed="false">
      <c r="A1692" s="4" t="s">
        <v>2208</v>
      </c>
      <c r="B1692" s="5" t="n">
        <v>0.168</v>
      </c>
      <c r="C1692" s="5" t="n">
        <v>0.168</v>
      </c>
      <c r="D1692" s="5" t="n">
        <f aca="false">IF(AND(ISNUMBER(B1692),ISNUMBER(C1692)),C1692-B1692,"")</f>
        <v>0</v>
      </c>
      <c r="E1692" s="4" t="s">
        <v>531</v>
      </c>
    </row>
    <row r="1693" customFormat="false" ht="15" hidden="false" customHeight="false" outlineLevel="0" collapsed="false">
      <c r="A1693" s="4" t="s">
        <v>2209</v>
      </c>
      <c r="B1693" s="5" t="n">
        <v>0.225</v>
      </c>
      <c r="C1693" s="5" t="n">
        <v>0.225</v>
      </c>
      <c r="D1693" s="5" t="n">
        <f aca="false">IF(AND(ISNUMBER(B1693),ISNUMBER(C1693)),C1693-B1693,"")</f>
        <v>0</v>
      </c>
      <c r="E1693" s="4" t="s">
        <v>531</v>
      </c>
    </row>
    <row r="1694" customFormat="false" ht="15" hidden="false" customHeight="false" outlineLevel="0" collapsed="false">
      <c r="A1694" s="4" t="s">
        <v>2210</v>
      </c>
      <c r="B1694" s="5" t="s">
        <v>1814</v>
      </c>
      <c r="C1694" s="5" t="s">
        <v>1814</v>
      </c>
      <c r="D1694" s="5" t="str">
        <f aca="false">IF(AND(ISNUMBER(B1694),ISNUMBER(C1694)),C1694-B1694,"")</f>
        <v/>
      </c>
      <c r="E1694" s="4" t="s">
        <v>1815</v>
      </c>
    </row>
    <row r="1695" customFormat="false" ht="15" hidden="false" customHeight="false" outlineLevel="0" collapsed="false">
      <c r="A1695" s="4" t="s">
        <v>2211</v>
      </c>
      <c r="B1695" s="5" t="n">
        <v>21</v>
      </c>
      <c r="C1695" s="5" t="n">
        <v>21</v>
      </c>
      <c r="D1695" s="5" t="n">
        <f aca="false">IF(AND(ISNUMBER(B1695),ISNUMBER(C1695)),C1695-B1695,"")</f>
        <v>0</v>
      </c>
      <c r="E1695" s="4" t="s">
        <v>531</v>
      </c>
    </row>
    <row r="1696" customFormat="false" ht="15" hidden="false" customHeight="false" outlineLevel="0" collapsed="false">
      <c r="A1696" s="4" t="s">
        <v>2212</v>
      </c>
      <c r="B1696" s="5" t="s">
        <v>178</v>
      </c>
      <c r="C1696" s="5" t="s">
        <v>178</v>
      </c>
      <c r="D1696" s="5" t="str">
        <f aca="false">IF(AND(ISNUMBER(B1696),ISNUMBER(C1696)),C1696-B1696,"")</f>
        <v/>
      </c>
      <c r="E1696" s="4" t="s">
        <v>1815</v>
      </c>
    </row>
    <row r="1697" customFormat="false" ht="15" hidden="false" customHeight="false" outlineLevel="0" collapsed="false">
      <c r="A1697" s="4" t="s">
        <v>2213</v>
      </c>
      <c r="B1697" s="5" t="s">
        <v>27</v>
      </c>
      <c r="C1697" s="5" t="s">
        <v>27</v>
      </c>
      <c r="D1697" s="5" t="str">
        <f aca="false">IF(AND(ISNUMBER(B1697),ISNUMBER(C1697)),C1697-B1697,"")</f>
        <v/>
      </c>
      <c r="E1697" s="4" t="s">
        <v>531</v>
      </c>
    </row>
    <row r="1698" customFormat="false" ht="15" hidden="false" customHeight="false" outlineLevel="0" collapsed="false">
      <c r="A1698" s="4" t="s">
        <v>2214</v>
      </c>
      <c r="B1698" s="5" t="n">
        <v>21</v>
      </c>
      <c r="C1698" s="5" t="n">
        <v>21</v>
      </c>
      <c r="D1698" s="5" t="n">
        <f aca="false">IF(AND(ISNUMBER(B1698),ISNUMBER(C1698)),C1698-B1698,"")</f>
        <v>0</v>
      </c>
      <c r="E1698" s="4" t="s">
        <v>531</v>
      </c>
    </row>
    <row r="1699" customFormat="false" ht="15" hidden="false" customHeight="false" outlineLevel="0" collapsed="false">
      <c r="A1699" s="4" t="s">
        <v>2215</v>
      </c>
      <c r="B1699" s="5" t="s">
        <v>156</v>
      </c>
      <c r="C1699" s="5" t="s">
        <v>156</v>
      </c>
      <c r="D1699" s="5" t="str">
        <f aca="false">IF(AND(ISNUMBER(B1699),ISNUMBER(C1699)),C1699-B1699,"")</f>
        <v/>
      </c>
      <c r="E1699" s="4" t="s">
        <v>1815</v>
      </c>
    </row>
    <row r="1700" customFormat="false" ht="15" hidden="false" customHeight="false" outlineLevel="0" collapsed="false">
      <c r="A1700" s="4" t="s">
        <v>2216</v>
      </c>
      <c r="B1700" s="5" t="s">
        <v>27</v>
      </c>
      <c r="C1700" s="5" t="s">
        <v>27</v>
      </c>
      <c r="D1700" s="5" t="str">
        <f aca="false">IF(AND(ISNUMBER(B1700),ISNUMBER(C1700)),C1700-B1700,"")</f>
        <v/>
      </c>
      <c r="E1700" s="4" t="s">
        <v>531</v>
      </c>
    </row>
    <row r="1701" customFormat="false" ht="15" hidden="false" customHeight="false" outlineLevel="0" collapsed="false">
      <c r="A1701" s="4" t="s">
        <v>2217</v>
      </c>
      <c r="B1701" s="5" t="n">
        <v>20</v>
      </c>
      <c r="C1701" s="5" t="n">
        <v>20</v>
      </c>
      <c r="D1701" s="5" t="n">
        <f aca="false">IF(AND(ISNUMBER(B1701),ISNUMBER(C1701)),C1701-B1701,"")</f>
        <v>0</v>
      </c>
      <c r="E1701" s="4" t="s">
        <v>531</v>
      </c>
    </row>
    <row r="1702" customFormat="false" ht="15" hidden="false" customHeight="false" outlineLevel="0" collapsed="false">
      <c r="A1702" s="4" t="s">
        <v>2218</v>
      </c>
      <c r="B1702" s="5" t="s">
        <v>156</v>
      </c>
      <c r="C1702" s="5" t="s">
        <v>156</v>
      </c>
      <c r="D1702" s="5" t="str">
        <f aca="false">IF(AND(ISNUMBER(B1702),ISNUMBER(C1702)),C1702-B1702,"")</f>
        <v/>
      </c>
      <c r="E1702" s="4" t="s">
        <v>1815</v>
      </c>
    </row>
    <row r="1703" customFormat="false" ht="15" hidden="false" customHeight="false" outlineLevel="0" collapsed="false">
      <c r="A1703" s="4" t="s">
        <v>2219</v>
      </c>
      <c r="B1703" s="5" t="s">
        <v>27</v>
      </c>
      <c r="C1703" s="5" t="s">
        <v>27</v>
      </c>
      <c r="D1703" s="5" t="str">
        <f aca="false">IF(AND(ISNUMBER(B1703),ISNUMBER(C1703)),C1703-B1703,"")</f>
        <v/>
      </c>
      <c r="E1703" s="4" t="s">
        <v>531</v>
      </c>
    </row>
    <row r="1704" customFormat="false" ht="15" hidden="false" customHeight="false" outlineLevel="0" collapsed="false">
      <c r="A1704" s="4" t="s">
        <v>2220</v>
      </c>
      <c r="B1704" s="5" t="n">
        <v>22</v>
      </c>
      <c r="C1704" s="5" t="n">
        <v>22</v>
      </c>
      <c r="D1704" s="5" t="n">
        <f aca="false">IF(AND(ISNUMBER(B1704),ISNUMBER(C1704)),C1704-B1704,"")</f>
        <v>0</v>
      </c>
      <c r="E1704" s="4" t="s">
        <v>531</v>
      </c>
    </row>
    <row r="1705" customFormat="false" ht="15" hidden="false" customHeight="false" outlineLevel="0" collapsed="false">
      <c r="A1705" s="4" t="s">
        <v>2221</v>
      </c>
      <c r="B1705" s="5" t="s">
        <v>156</v>
      </c>
      <c r="C1705" s="5" t="s">
        <v>156</v>
      </c>
      <c r="D1705" s="5" t="str">
        <f aca="false">IF(AND(ISNUMBER(B1705),ISNUMBER(C1705)),C1705-B1705,"")</f>
        <v/>
      </c>
      <c r="E1705" s="4" t="s">
        <v>1815</v>
      </c>
    </row>
    <row r="1706" customFormat="false" ht="15" hidden="false" customHeight="false" outlineLevel="0" collapsed="false">
      <c r="A1706" s="4" t="s">
        <v>2222</v>
      </c>
      <c r="B1706" s="5" t="s">
        <v>27</v>
      </c>
      <c r="C1706" s="5" t="s">
        <v>27</v>
      </c>
      <c r="D1706" s="5" t="str">
        <f aca="false">IF(AND(ISNUMBER(B1706),ISNUMBER(C1706)),C1706-B1706,"")</f>
        <v/>
      </c>
      <c r="E1706" s="4" t="s">
        <v>531</v>
      </c>
    </row>
    <row r="1707" customFormat="false" ht="15" hidden="false" customHeight="false" outlineLevel="0" collapsed="false">
      <c r="A1707" s="4" t="s">
        <v>2223</v>
      </c>
      <c r="B1707" s="5" t="n">
        <v>23</v>
      </c>
      <c r="C1707" s="5" t="n">
        <v>23</v>
      </c>
      <c r="D1707" s="5" t="n">
        <f aca="false">IF(AND(ISNUMBER(B1707),ISNUMBER(C1707)),C1707-B1707,"")</f>
        <v>0</v>
      </c>
      <c r="E1707" s="4" t="s">
        <v>531</v>
      </c>
    </row>
    <row r="1708" customFormat="false" ht="15" hidden="false" customHeight="false" outlineLevel="0" collapsed="false">
      <c r="A1708" s="4" t="s">
        <v>2224</v>
      </c>
      <c r="B1708" s="5" t="s">
        <v>27</v>
      </c>
      <c r="C1708" s="5" t="s">
        <v>27</v>
      </c>
      <c r="D1708" s="5" t="str">
        <f aca="false">IF(AND(ISNUMBER(B1708),ISNUMBER(C1708)),C1708-B1708,"")</f>
        <v/>
      </c>
      <c r="E1708" s="4" t="s">
        <v>531</v>
      </c>
    </row>
    <row r="1709" customFormat="false" ht="15" hidden="false" customHeight="false" outlineLevel="0" collapsed="false">
      <c r="A1709" s="4" t="s">
        <v>2225</v>
      </c>
      <c r="B1709" s="5" t="s">
        <v>27</v>
      </c>
      <c r="C1709" s="5" t="s">
        <v>27</v>
      </c>
      <c r="D1709" s="5" t="str">
        <f aca="false">IF(AND(ISNUMBER(B1709),ISNUMBER(C1709)),C1709-B1709,"")</f>
        <v/>
      </c>
      <c r="E1709" s="4" t="s">
        <v>531</v>
      </c>
    </row>
    <row r="1710" customFormat="false" ht="15" hidden="false" customHeight="false" outlineLevel="0" collapsed="false">
      <c r="A1710" s="4" t="s">
        <v>2226</v>
      </c>
      <c r="B1710" s="5" t="s">
        <v>27</v>
      </c>
      <c r="C1710" s="5" t="s">
        <v>27</v>
      </c>
      <c r="D1710" s="5" t="str">
        <f aca="false">IF(AND(ISNUMBER(B1710),ISNUMBER(C1710)),C1710-B1710,"")</f>
        <v/>
      </c>
      <c r="E1710" s="4" t="s">
        <v>531</v>
      </c>
    </row>
    <row r="1711" customFormat="false" ht="15" hidden="false" customHeight="false" outlineLevel="0" collapsed="false">
      <c r="A1711" s="4" t="s">
        <v>2227</v>
      </c>
      <c r="B1711" s="5" t="s">
        <v>27</v>
      </c>
      <c r="C1711" s="5" t="s">
        <v>27</v>
      </c>
      <c r="D1711" s="5" t="str">
        <f aca="false">IF(AND(ISNUMBER(B1711),ISNUMBER(C1711)),C1711-B1711,"")</f>
        <v/>
      </c>
      <c r="E1711" s="4" t="s">
        <v>531</v>
      </c>
    </row>
    <row r="1712" customFormat="false" ht="15" hidden="false" customHeight="false" outlineLevel="0" collapsed="false">
      <c r="A1712" s="4" t="s">
        <v>2228</v>
      </c>
      <c r="B1712" s="5" t="s">
        <v>27</v>
      </c>
      <c r="C1712" s="5" t="s">
        <v>27</v>
      </c>
      <c r="D1712" s="5" t="str">
        <f aca="false">IF(AND(ISNUMBER(B1712),ISNUMBER(C1712)),C1712-B1712,"")</f>
        <v/>
      </c>
      <c r="E1712" s="4" t="s">
        <v>1815</v>
      </c>
    </row>
    <row r="1713" customFormat="false" ht="15" hidden="false" customHeight="false" outlineLevel="0" collapsed="false">
      <c r="A1713" s="4" t="s">
        <v>2229</v>
      </c>
      <c r="B1713" s="5" t="n">
        <v>20</v>
      </c>
      <c r="C1713" s="5" t="n">
        <v>20</v>
      </c>
      <c r="D1713" s="5" t="n">
        <f aca="false">IF(AND(ISNUMBER(B1713),ISNUMBER(C1713)),C1713-B1713,"")</f>
        <v>0</v>
      </c>
      <c r="E1713" s="4" t="s">
        <v>531</v>
      </c>
    </row>
    <row r="1714" customFormat="false" ht="15" hidden="false" customHeight="false" outlineLevel="0" collapsed="false">
      <c r="A1714" s="4" t="s">
        <v>2230</v>
      </c>
      <c r="B1714" s="5" t="s">
        <v>27</v>
      </c>
      <c r="C1714" s="5" t="s">
        <v>27</v>
      </c>
      <c r="D1714" s="5" t="str">
        <f aca="false">IF(AND(ISNUMBER(B1714),ISNUMBER(C1714)),C1714-B1714,"")</f>
        <v/>
      </c>
      <c r="E1714" s="4" t="s">
        <v>531</v>
      </c>
    </row>
    <row r="1715" customFormat="false" ht="15" hidden="false" customHeight="false" outlineLevel="0" collapsed="false">
      <c r="A1715" s="4" t="s">
        <v>2231</v>
      </c>
      <c r="B1715" s="5" t="s">
        <v>27</v>
      </c>
      <c r="C1715" s="5" t="s">
        <v>27</v>
      </c>
      <c r="D1715" s="5" t="str">
        <f aca="false">IF(AND(ISNUMBER(B1715),ISNUMBER(C1715)),C1715-B1715,"")</f>
        <v/>
      </c>
      <c r="E1715" s="4" t="s">
        <v>531</v>
      </c>
    </row>
    <row r="1716" customFormat="false" ht="15" hidden="false" customHeight="false" outlineLevel="0" collapsed="false">
      <c r="A1716" s="4" t="s">
        <v>2232</v>
      </c>
      <c r="B1716" s="5" t="s">
        <v>27</v>
      </c>
      <c r="C1716" s="5" t="s">
        <v>27</v>
      </c>
      <c r="D1716" s="5" t="str">
        <f aca="false">IF(AND(ISNUMBER(B1716),ISNUMBER(C1716)),C1716-B1716,"")</f>
        <v/>
      </c>
      <c r="E1716" s="4" t="s">
        <v>531</v>
      </c>
    </row>
    <row r="1717" customFormat="false" ht="15" hidden="false" customHeight="false" outlineLevel="0" collapsed="false">
      <c r="A1717" s="4" t="s">
        <v>2233</v>
      </c>
      <c r="B1717" s="5" t="s">
        <v>27</v>
      </c>
      <c r="C1717" s="5" t="s">
        <v>27</v>
      </c>
      <c r="D1717" s="5" t="str">
        <f aca="false">IF(AND(ISNUMBER(B1717),ISNUMBER(C1717)),C1717-B1717,"")</f>
        <v/>
      </c>
      <c r="E1717" s="4" t="s">
        <v>531</v>
      </c>
    </row>
    <row r="1718" customFormat="false" ht="15" hidden="false" customHeight="false" outlineLevel="0" collapsed="false">
      <c r="A1718" s="4" t="s">
        <v>2234</v>
      </c>
      <c r="B1718" s="5" t="s">
        <v>27</v>
      </c>
      <c r="C1718" s="5" t="s">
        <v>27</v>
      </c>
      <c r="D1718" s="5" t="str">
        <f aca="false">IF(AND(ISNUMBER(B1718),ISNUMBER(C1718)),C1718-B1718,"")</f>
        <v/>
      </c>
      <c r="E1718" s="4" t="s">
        <v>1815</v>
      </c>
    </row>
    <row r="1719" customFormat="false" ht="15" hidden="false" customHeight="false" outlineLevel="0" collapsed="false">
      <c r="A1719" s="4" t="s">
        <v>2235</v>
      </c>
      <c r="B1719" s="5" t="n">
        <v>20</v>
      </c>
      <c r="C1719" s="5" t="n">
        <v>20</v>
      </c>
      <c r="D1719" s="5" t="n">
        <f aca="false">IF(AND(ISNUMBER(B1719),ISNUMBER(C1719)),C1719-B1719,"")</f>
        <v>0</v>
      </c>
      <c r="E1719" s="4" t="s">
        <v>531</v>
      </c>
    </row>
    <row r="1720" customFormat="false" ht="15" hidden="false" customHeight="false" outlineLevel="0" collapsed="false">
      <c r="A1720" s="4" t="s">
        <v>2236</v>
      </c>
      <c r="B1720" s="5" t="s">
        <v>27</v>
      </c>
      <c r="C1720" s="5" t="s">
        <v>27</v>
      </c>
      <c r="D1720" s="5" t="str">
        <f aca="false">IF(AND(ISNUMBER(B1720),ISNUMBER(C1720)),C1720-B1720,"")</f>
        <v/>
      </c>
      <c r="E1720" s="4" t="s">
        <v>531</v>
      </c>
    </row>
    <row r="1721" customFormat="false" ht="15" hidden="false" customHeight="false" outlineLevel="0" collapsed="false">
      <c r="A1721" s="4" t="s">
        <v>2237</v>
      </c>
      <c r="B1721" s="5" t="s">
        <v>27</v>
      </c>
      <c r="C1721" s="5" t="s">
        <v>27</v>
      </c>
      <c r="D1721" s="5" t="str">
        <f aca="false">IF(AND(ISNUMBER(B1721),ISNUMBER(C1721)),C1721-B1721,"")</f>
        <v/>
      </c>
      <c r="E1721" s="4" t="s">
        <v>531</v>
      </c>
    </row>
    <row r="1722" customFormat="false" ht="15" hidden="false" customHeight="false" outlineLevel="0" collapsed="false">
      <c r="A1722" s="4" t="s">
        <v>2238</v>
      </c>
      <c r="B1722" s="5" t="s">
        <v>27</v>
      </c>
      <c r="C1722" s="5" t="s">
        <v>27</v>
      </c>
      <c r="D1722" s="5" t="str">
        <f aca="false">IF(AND(ISNUMBER(B1722),ISNUMBER(C1722)),C1722-B1722,"")</f>
        <v/>
      </c>
      <c r="E1722" s="4" t="s">
        <v>531</v>
      </c>
    </row>
    <row r="1723" customFormat="false" ht="15" hidden="false" customHeight="false" outlineLevel="0" collapsed="false">
      <c r="A1723" s="4" t="s">
        <v>2239</v>
      </c>
      <c r="B1723" s="5" t="s">
        <v>27</v>
      </c>
      <c r="C1723" s="5" t="s">
        <v>27</v>
      </c>
      <c r="D1723" s="5" t="str">
        <f aca="false">IF(AND(ISNUMBER(B1723),ISNUMBER(C1723)),C1723-B1723,"")</f>
        <v/>
      </c>
      <c r="E1723" s="4" t="s">
        <v>531</v>
      </c>
    </row>
    <row r="1724" customFormat="false" ht="15" hidden="false" customHeight="false" outlineLevel="0" collapsed="false">
      <c r="A1724" s="4" t="s">
        <v>2240</v>
      </c>
      <c r="B1724" s="5" t="s">
        <v>27</v>
      </c>
      <c r="C1724" s="5" t="s">
        <v>27</v>
      </c>
      <c r="D1724" s="5" t="str">
        <f aca="false">IF(AND(ISNUMBER(B1724),ISNUMBER(C1724)),C1724-B1724,"")</f>
        <v/>
      </c>
      <c r="E1724" s="4" t="s">
        <v>1815</v>
      </c>
    </row>
    <row r="1725" customFormat="false" ht="15" hidden="false" customHeight="false" outlineLevel="0" collapsed="false">
      <c r="A1725" s="4" t="s">
        <v>2241</v>
      </c>
      <c r="B1725" s="5" t="n">
        <v>20</v>
      </c>
      <c r="C1725" s="5" t="n">
        <v>20</v>
      </c>
      <c r="D1725" s="5" t="n">
        <f aca="false">IF(AND(ISNUMBER(B1725),ISNUMBER(C1725)),C1725-B1725,"")</f>
        <v>0</v>
      </c>
      <c r="E1725" s="4" t="s">
        <v>531</v>
      </c>
    </row>
    <row r="1726" customFormat="false" ht="15" hidden="false" customHeight="false" outlineLevel="0" collapsed="false">
      <c r="A1726" s="4" t="s">
        <v>2242</v>
      </c>
      <c r="B1726" s="5" t="n">
        <v>2.3</v>
      </c>
      <c r="C1726" s="5" t="n">
        <v>2.3</v>
      </c>
      <c r="D1726" s="5" t="n">
        <f aca="false">IF(AND(ISNUMBER(B1726),ISNUMBER(C1726)),C1726-B1726,"")</f>
        <v>0</v>
      </c>
      <c r="E1726" s="4" t="s">
        <v>531</v>
      </c>
    </row>
    <row r="1727" customFormat="false" ht="15" hidden="false" customHeight="false" outlineLevel="0" collapsed="false">
      <c r="A1727" s="4" t="s">
        <v>2243</v>
      </c>
      <c r="B1727" s="5" t="n">
        <v>1.843</v>
      </c>
      <c r="C1727" s="5" t="n">
        <v>1.843</v>
      </c>
      <c r="D1727" s="5" t="n">
        <f aca="false">IF(AND(ISNUMBER(B1727),ISNUMBER(C1727)),C1727-B1727,"")</f>
        <v>0</v>
      </c>
      <c r="E1727" s="4" t="s">
        <v>531</v>
      </c>
    </row>
    <row r="1728" customFormat="false" ht="15" hidden="false" customHeight="false" outlineLevel="0" collapsed="false">
      <c r="A1728" s="4" t="s">
        <v>2244</v>
      </c>
      <c r="B1728" s="5" t="n">
        <v>0.457</v>
      </c>
      <c r="C1728" s="5" t="n">
        <v>0.457</v>
      </c>
      <c r="D1728" s="5" t="n">
        <f aca="false">IF(AND(ISNUMBER(B1728),ISNUMBER(C1728)),C1728-B1728,"")</f>
        <v>0</v>
      </c>
      <c r="E1728" s="4" t="s">
        <v>531</v>
      </c>
    </row>
    <row r="1729" customFormat="false" ht="15" hidden="false" customHeight="false" outlineLevel="0" collapsed="false">
      <c r="A1729" s="4" t="s">
        <v>2245</v>
      </c>
      <c r="B1729" s="5" t="n">
        <v>0.286</v>
      </c>
      <c r="C1729" s="5" t="n">
        <v>0.286</v>
      </c>
      <c r="D1729" s="5" t="n">
        <f aca="false">IF(AND(ISNUMBER(B1729),ISNUMBER(C1729)),C1729-B1729,"")</f>
        <v>0</v>
      </c>
      <c r="E1729" s="4" t="s">
        <v>531</v>
      </c>
    </row>
    <row r="1730" customFormat="false" ht="15" hidden="false" customHeight="false" outlineLevel="0" collapsed="false">
      <c r="A1730" s="4" t="s">
        <v>2246</v>
      </c>
      <c r="B1730" s="5" t="s">
        <v>1856</v>
      </c>
      <c r="C1730" s="5" t="s">
        <v>1856</v>
      </c>
      <c r="D1730" s="5" t="str">
        <f aca="false">IF(AND(ISNUMBER(B1730),ISNUMBER(C1730)),C1730-B1730,"")</f>
        <v/>
      </c>
      <c r="E1730" s="4" t="s">
        <v>1815</v>
      </c>
    </row>
    <row r="1731" customFormat="false" ht="15" hidden="false" customHeight="false" outlineLevel="0" collapsed="false">
      <c r="A1731" s="4" t="s">
        <v>2247</v>
      </c>
      <c r="B1731" s="5" t="n">
        <v>0.096</v>
      </c>
      <c r="C1731" s="5" t="n">
        <v>0.096</v>
      </c>
      <c r="D1731" s="5" t="n">
        <f aca="false">IF(AND(ISNUMBER(B1731),ISNUMBER(C1731)),C1731-B1731,"")</f>
        <v>0</v>
      </c>
      <c r="E1731" s="4" t="s">
        <v>531</v>
      </c>
    </row>
    <row r="1732" customFormat="false" ht="15" hidden="false" customHeight="false" outlineLevel="0" collapsed="false">
      <c r="A1732" s="4" t="s">
        <v>2248</v>
      </c>
      <c r="B1732" s="5" t="n">
        <v>0.078</v>
      </c>
      <c r="C1732" s="5" t="n">
        <v>0.078</v>
      </c>
      <c r="D1732" s="5" t="n">
        <f aca="false">IF(AND(ISNUMBER(B1732),ISNUMBER(C1732)),C1732-B1732,"")</f>
        <v>0</v>
      </c>
      <c r="E1732" s="4" t="s">
        <v>531</v>
      </c>
    </row>
    <row r="1733" customFormat="false" ht="15" hidden="false" customHeight="false" outlineLevel="0" collapsed="false">
      <c r="A1733" s="4" t="s">
        <v>2249</v>
      </c>
      <c r="B1733" s="5" t="n">
        <v>0.076</v>
      </c>
      <c r="C1733" s="5" t="n">
        <v>0.076</v>
      </c>
      <c r="D1733" s="5" t="n">
        <f aca="false">IF(AND(ISNUMBER(B1733),ISNUMBER(C1733)),C1733-B1733,"")</f>
        <v>0</v>
      </c>
      <c r="E1733" s="4" t="s">
        <v>531</v>
      </c>
    </row>
    <row r="1734" customFormat="false" ht="15" hidden="false" customHeight="false" outlineLevel="0" collapsed="false">
      <c r="A1734" s="4" t="s">
        <v>2250</v>
      </c>
      <c r="B1734" s="5" t="n">
        <v>0.216</v>
      </c>
      <c r="C1734" s="5" t="n">
        <v>0.216</v>
      </c>
      <c r="D1734" s="5" t="n">
        <f aca="false">IF(AND(ISNUMBER(B1734),ISNUMBER(C1734)),C1734-B1734,"")</f>
        <v>0</v>
      </c>
      <c r="E1734" s="4" t="s">
        <v>531</v>
      </c>
    </row>
    <row r="1735" customFormat="false" ht="15" hidden="false" customHeight="false" outlineLevel="0" collapsed="false">
      <c r="A1735" s="4" t="s">
        <v>2251</v>
      </c>
      <c r="B1735" s="5" t="n">
        <v>0.719</v>
      </c>
      <c r="C1735" s="5" t="n">
        <v>0.702</v>
      </c>
      <c r="D1735" s="5" t="n">
        <f aca="false">IF(AND(ISNUMBER(B1735),ISNUMBER(C1735)),C1735-B1735,"")</f>
        <v>-0.017</v>
      </c>
      <c r="E1735" s="4" t="s">
        <v>2252</v>
      </c>
    </row>
    <row r="1736" customFormat="false" ht="15" hidden="false" customHeight="false" outlineLevel="0" collapsed="false">
      <c r="A1736" s="4" t="s">
        <v>2253</v>
      </c>
      <c r="B1736" s="5" t="n">
        <v>205</v>
      </c>
      <c r="C1736" s="5" t="n">
        <v>205</v>
      </c>
      <c r="D1736" s="5" t="n">
        <f aca="false">IF(AND(ISNUMBER(B1736),ISNUMBER(C1736)),C1736-B1736,"")</f>
        <v>0</v>
      </c>
      <c r="E1736" s="4" t="s">
        <v>531</v>
      </c>
    </row>
    <row r="1737" customFormat="false" ht="15" hidden="false" customHeight="false" outlineLevel="0" collapsed="false">
      <c r="A1737" s="4" t="s">
        <v>2254</v>
      </c>
      <c r="B1737" s="5" t="n">
        <v>-0.035</v>
      </c>
      <c r="C1737" s="5" t="n">
        <v>-0.035</v>
      </c>
      <c r="D1737" s="5" t="n">
        <f aca="false">IF(AND(ISNUMBER(B1737),ISNUMBER(C1737)),C1737-B1737,"")</f>
        <v>0</v>
      </c>
      <c r="E1737" s="4" t="s">
        <v>531</v>
      </c>
    </row>
    <row r="1738" customFormat="false" ht="15" hidden="false" customHeight="false" outlineLevel="0" collapsed="false">
      <c r="A1738" s="4" t="s">
        <v>2255</v>
      </c>
      <c r="B1738" s="5" t="n">
        <v>0.085</v>
      </c>
      <c r="C1738" s="5" t="n">
        <v>0.085</v>
      </c>
      <c r="D1738" s="5" t="n">
        <f aca="false">IF(AND(ISNUMBER(B1738),ISNUMBER(C1738)),C1738-B1738,"")</f>
        <v>0</v>
      </c>
      <c r="E1738" s="4" t="s">
        <v>531</v>
      </c>
    </row>
    <row r="1739" customFormat="false" ht="15" hidden="false" customHeight="false" outlineLevel="0" collapsed="false">
      <c r="A1739" s="4" t="s">
        <v>2256</v>
      </c>
      <c r="B1739" s="5" t="n">
        <v>0.085</v>
      </c>
      <c r="C1739" s="5" t="n">
        <v>0.085</v>
      </c>
      <c r="D1739" s="5" t="n">
        <f aca="false">IF(AND(ISNUMBER(B1739),ISNUMBER(C1739)),C1739-B1739,"")</f>
        <v>0</v>
      </c>
      <c r="E1739" s="4" t="s">
        <v>531</v>
      </c>
    </row>
    <row r="1740" customFormat="false" ht="15" hidden="false" customHeight="false" outlineLevel="0" collapsed="false">
      <c r="A1740" s="4" t="s">
        <v>2257</v>
      </c>
      <c r="B1740" s="5" t="n">
        <v>0.681</v>
      </c>
      <c r="C1740" s="5" t="n">
        <v>0.681</v>
      </c>
      <c r="D1740" s="5" t="n">
        <f aca="false">IF(AND(ISNUMBER(B1740),ISNUMBER(C1740)),C1740-B1740,"")</f>
        <v>0</v>
      </c>
      <c r="E1740" s="4" t="s">
        <v>531</v>
      </c>
    </row>
    <row r="1741" customFormat="false" ht="15" hidden="false" customHeight="false" outlineLevel="0" collapsed="false">
      <c r="A1741" s="4" t="s">
        <v>2258</v>
      </c>
      <c r="B1741" s="5" t="n">
        <v>0.942</v>
      </c>
      <c r="C1741" s="5" t="n">
        <v>0.94</v>
      </c>
      <c r="D1741" s="5" t="n">
        <f aca="false">IF(AND(ISNUMBER(B1741),ISNUMBER(C1741)),C1741-B1741,"")</f>
        <v>-0.002</v>
      </c>
      <c r="E1741" s="4" t="s">
        <v>2252</v>
      </c>
    </row>
    <row r="1742" customFormat="false" ht="15" hidden="false" customHeight="false" outlineLevel="0" collapsed="false">
      <c r="A1742" s="4" t="s">
        <v>2259</v>
      </c>
      <c r="B1742" s="5" t="n">
        <v>187</v>
      </c>
      <c r="C1742" s="5" t="n">
        <v>187</v>
      </c>
      <c r="D1742" s="5" t="n">
        <f aca="false">IF(AND(ISNUMBER(B1742),ISNUMBER(C1742)),C1742-B1742,"")</f>
        <v>0</v>
      </c>
      <c r="E1742" s="4" t="s">
        <v>531</v>
      </c>
    </row>
    <row r="1743" customFormat="false" ht="15" hidden="false" customHeight="false" outlineLevel="0" collapsed="false">
      <c r="A1743" s="4" t="s">
        <v>2260</v>
      </c>
      <c r="B1743" s="5" t="n">
        <v>0.127</v>
      </c>
      <c r="C1743" s="5" t="n">
        <v>0.127</v>
      </c>
      <c r="D1743" s="5" t="n">
        <f aca="false">IF(AND(ISNUMBER(B1743),ISNUMBER(C1743)),C1743-B1743,"")</f>
        <v>0</v>
      </c>
      <c r="E1743" s="4" t="s">
        <v>531</v>
      </c>
    </row>
    <row r="1744" customFormat="false" ht="15" hidden="false" customHeight="false" outlineLevel="0" collapsed="false">
      <c r="A1744" s="4" t="s">
        <v>2261</v>
      </c>
      <c r="B1744" s="5" t="n">
        <v>0.069</v>
      </c>
      <c r="C1744" s="5" t="n">
        <v>0.069</v>
      </c>
      <c r="D1744" s="5" t="n">
        <f aca="false">IF(AND(ISNUMBER(B1744),ISNUMBER(C1744)),C1744-B1744,"")</f>
        <v>0</v>
      </c>
      <c r="E1744" s="4" t="s">
        <v>531</v>
      </c>
    </row>
    <row r="1745" customFormat="false" ht="15" hidden="false" customHeight="false" outlineLevel="0" collapsed="false">
      <c r="A1745" s="4" t="s">
        <v>2262</v>
      </c>
      <c r="B1745" s="5" t="n">
        <v>0.069</v>
      </c>
      <c r="C1745" s="5" t="n">
        <v>0.069</v>
      </c>
      <c r="D1745" s="5" t="n">
        <f aca="false">IF(AND(ISNUMBER(B1745),ISNUMBER(C1745)),C1745-B1745,"")</f>
        <v>0</v>
      </c>
      <c r="E1745" s="4" t="s">
        <v>531</v>
      </c>
    </row>
    <row r="1746" customFormat="false" ht="15" hidden="false" customHeight="false" outlineLevel="0" collapsed="false">
      <c r="A1746" s="4" t="s">
        <v>2263</v>
      </c>
      <c r="B1746" s="5" t="n">
        <v>0.064</v>
      </c>
      <c r="C1746" s="5" t="n">
        <v>0.064</v>
      </c>
      <c r="D1746" s="5" t="n">
        <f aca="false">IF(AND(ISNUMBER(B1746),ISNUMBER(C1746)),C1746-B1746,"")</f>
        <v>0</v>
      </c>
      <c r="E1746" s="4" t="s">
        <v>531</v>
      </c>
    </row>
    <row r="1747" customFormat="false" ht="15" hidden="false" customHeight="false" outlineLevel="0" collapsed="false">
      <c r="A1747" s="4" t="s">
        <v>2264</v>
      </c>
      <c r="B1747" s="5" t="n">
        <v>0.476</v>
      </c>
      <c r="C1747" s="5" t="n">
        <v>0.509</v>
      </c>
      <c r="D1747" s="5" t="n">
        <f aca="false">IF(AND(ISNUMBER(B1747),ISNUMBER(C1747)),C1747-B1747,"")</f>
        <v>0.033</v>
      </c>
      <c r="E1747" s="4" t="s">
        <v>2252</v>
      </c>
    </row>
    <row r="1748" customFormat="false" ht="15" hidden="false" customHeight="false" outlineLevel="0" collapsed="false">
      <c r="A1748" s="4" t="s">
        <v>2265</v>
      </c>
      <c r="B1748" s="5" t="n">
        <v>211</v>
      </c>
      <c r="C1748" s="5" t="n">
        <v>211</v>
      </c>
      <c r="D1748" s="5" t="n">
        <f aca="false">IF(AND(ISNUMBER(B1748),ISNUMBER(C1748)),C1748-B1748,"")</f>
        <v>0</v>
      </c>
      <c r="E1748" s="4" t="s">
        <v>531</v>
      </c>
    </row>
    <row r="1749" customFormat="false" ht="15" hidden="false" customHeight="false" outlineLevel="0" collapsed="false">
      <c r="A1749" s="4" t="s">
        <v>2266</v>
      </c>
      <c r="B1749" s="5" t="n">
        <v>-0.049</v>
      </c>
      <c r="C1749" s="5" t="n">
        <v>-0.049</v>
      </c>
      <c r="D1749" s="5" t="n">
        <f aca="false">IF(AND(ISNUMBER(B1749),ISNUMBER(C1749)),C1749-B1749,"")</f>
        <v>0</v>
      </c>
      <c r="E1749" s="4" t="s">
        <v>531</v>
      </c>
    </row>
    <row r="1750" customFormat="false" ht="15" hidden="false" customHeight="false" outlineLevel="0" collapsed="false">
      <c r="A1750" s="4" t="s">
        <v>2267</v>
      </c>
      <c r="B1750" s="5" t="n">
        <v>0.108</v>
      </c>
      <c r="C1750" s="5" t="n">
        <v>0.108</v>
      </c>
      <c r="D1750" s="5" t="n">
        <f aca="false">IF(AND(ISNUMBER(B1750),ISNUMBER(C1750)),C1750-B1750,"")</f>
        <v>0</v>
      </c>
      <c r="E1750" s="4" t="s">
        <v>531</v>
      </c>
    </row>
    <row r="1751" customFormat="false" ht="15" hidden="false" customHeight="false" outlineLevel="0" collapsed="false">
      <c r="A1751" s="4" t="s">
        <v>2268</v>
      </c>
      <c r="B1751" s="5" t="n">
        <v>0.107</v>
      </c>
      <c r="C1751" s="5" t="n">
        <v>0.107</v>
      </c>
      <c r="D1751" s="5" t="n">
        <f aca="false">IF(AND(ISNUMBER(B1751),ISNUMBER(C1751)),C1751-B1751,"")</f>
        <v>0</v>
      </c>
      <c r="E1751" s="4" t="s">
        <v>531</v>
      </c>
    </row>
    <row r="1752" customFormat="false" ht="15" hidden="false" customHeight="false" outlineLevel="0" collapsed="false">
      <c r="A1752" s="4" t="s">
        <v>2269</v>
      </c>
      <c r="B1752" s="5" t="n">
        <v>0.651</v>
      </c>
      <c r="C1752" s="5" t="n">
        <v>0.651</v>
      </c>
      <c r="D1752" s="5" t="n">
        <f aca="false">IF(AND(ISNUMBER(B1752),ISNUMBER(C1752)),C1752-B1752,"")</f>
        <v>0</v>
      </c>
      <c r="E1752" s="4" t="s">
        <v>531</v>
      </c>
    </row>
    <row r="1753" customFormat="false" ht="15" hidden="false" customHeight="false" outlineLevel="0" collapsed="false">
      <c r="A1753" s="4" t="s">
        <v>2270</v>
      </c>
      <c r="B1753" s="5" t="n">
        <v>0.942</v>
      </c>
      <c r="C1753" s="5" t="n">
        <v>0.94</v>
      </c>
      <c r="D1753" s="5" t="n">
        <f aca="false">IF(AND(ISNUMBER(B1753),ISNUMBER(C1753)),C1753-B1753,"")</f>
        <v>-0.002</v>
      </c>
      <c r="E1753" s="4" t="s">
        <v>2252</v>
      </c>
    </row>
    <row r="1754" customFormat="false" ht="15" hidden="false" customHeight="false" outlineLevel="0" collapsed="false">
      <c r="A1754" s="4" t="s">
        <v>2271</v>
      </c>
      <c r="B1754" s="5" t="n">
        <v>193</v>
      </c>
      <c r="C1754" s="5" t="n">
        <v>193</v>
      </c>
      <c r="D1754" s="5" t="n">
        <f aca="false">IF(AND(ISNUMBER(B1754),ISNUMBER(C1754)),C1754-B1754,"")</f>
        <v>0</v>
      </c>
      <c r="E1754" s="4" t="s">
        <v>531</v>
      </c>
    </row>
    <row r="1755" customFormat="false" ht="15" hidden="false" customHeight="false" outlineLevel="0" collapsed="false">
      <c r="A1755" s="4" t="s">
        <v>2272</v>
      </c>
      <c r="B1755" s="5" t="n">
        <v>0.085</v>
      </c>
      <c r="C1755" s="5" t="n">
        <v>0.085</v>
      </c>
      <c r="D1755" s="5" t="n">
        <f aca="false">IF(AND(ISNUMBER(B1755),ISNUMBER(C1755)),C1755-B1755,"")</f>
        <v>0</v>
      </c>
      <c r="E1755" s="4" t="s">
        <v>531</v>
      </c>
    </row>
    <row r="1756" customFormat="false" ht="15" hidden="false" customHeight="false" outlineLevel="0" collapsed="false">
      <c r="A1756" s="4" t="s">
        <v>2273</v>
      </c>
      <c r="B1756" s="5" t="n">
        <v>0.047</v>
      </c>
      <c r="C1756" s="5" t="n">
        <v>0.047</v>
      </c>
      <c r="D1756" s="5" t="n">
        <f aca="false">IF(AND(ISNUMBER(B1756),ISNUMBER(C1756)),C1756-B1756,"")</f>
        <v>0</v>
      </c>
      <c r="E1756" s="4" t="s">
        <v>531</v>
      </c>
    </row>
    <row r="1757" customFormat="false" ht="15" hidden="false" customHeight="false" outlineLevel="0" collapsed="false">
      <c r="A1757" s="4" t="s">
        <v>2274</v>
      </c>
      <c r="B1757" s="5" t="n">
        <v>0.048</v>
      </c>
      <c r="C1757" s="5" t="n">
        <v>0.048</v>
      </c>
      <c r="D1757" s="5" t="n">
        <f aca="false">IF(AND(ISNUMBER(B1757),ISNUMBER(C1757)),C1757-B1757,"")</f>
        <v>0</v>
      </c>
      <c r="E1757" s="4" t="s">
        <v>531</v>
      </c>
    </row>
    <row r="1758" customFormat="false" ht="15" hidden="false" customHeight="false" outlineLevel="0" collapsed="false">
      <c r="A1758" s="4" t="s">
        <v>2275</v>
      </c>
      <c r="B1758" s="5" t="n">
        <v>0.074</v>
      </c>
      <c r="C1758" s="5" t="n">
        <v>0.074</v>
      </c>
      <c r="D1758" s="5" t="n">
        <f aca="false">IF(AND(ISNUMBER(B1758),ISNUMBER(C1758)),C1758-B1758,"")</f>
        <v>0</v>
      </c>
      <c r="E1758" s="4" t="s">
        <v>531</v>
      </c>
    </row>
    <row r="1759" customFormat="false" ht="15" hidden="false" customHeight="false" outlineLevel="0" collapsed="false">
      <c r="A1759" s="4" t="s">
        <v>2276</v>
      </c>
      <c r="B1759" s="5" t="n">
        <v>0.49</v>
      </c>
      <c r="C1759" s="5" t="n">
        <v>0.509</v>
      </c>
      <c r="D1759" s="5" t="n">
        <f aca="false">IF(AND(ISNUMBER(B1759),ISNUMBER(C1759)),C1759-B1759,"")</f>
        <v>0.019</v>
      </c>
      <c r="E1759" s="4" t="s">
        <v>2252</v>
      </c>
    </row>
    <row r="1760" customFormat="false" ht="15" hidden="false" customHeight="false" outlineLevel="0" collapsed="false">
      <c r="A1760" s="4" t="s">
        <v>2277</v>
      </c>
      <c r="B1760" s="5" t="n">
        <v>211</v>
      </c>
      <c r="C1760" s="5" t="n">
        <v>211</v>
      </c>
      <c r="D1760" s="5" t="n">
        <f aca="false">IF(AND(ISNUMBER(B1760),ISNUMBER(C1760)),C1760-B1760,"")</f>
        <v>0</v>
      </c>
      <c r="E1760" s="4" t="s">
        <v>531</v>
      </c>
    </row>
    <row r="1761" customFormat="false" ht="15" hidden="false" customHeight="false" outlineLevel="0" collapsed="false">
      <c r="A1761" s="4" t="s">
        <v>2278</v>
      </c>
      <c r="B1761" s="5" t="n">
        <v>1.255</v>
      </c>
      <c r="C1761" s="5" t="n">
        <v>1.255</v>
      </c>
      <c r="D1761" s="5" t="n">
        <f aca="false">IF(AND(ISNUMBER(B1761),ISNUMBER(C1761)),C1761-B1761,"")</f>
        <v>0</v>
      </c>
      <c r="E1761" s="4" t="s">
        <v>531</v>
      </c>
    </row>
    <row r="1762" customFormat="false" ht="15" hidden="false" customHeight="false" outlineLevel="0" collapsed="false">
      <c r="A1762" s="4" t="s">
        <v>2279</v>
      </c>
      <c r="B1762" s="5" t="n">
        <v>0.395</v>
      </c>
      <c r="C1762" s="5" t="n">
        <v>0.395</v>
      </c>
      <c r="D1762" s="5" t="n">
        <f aca="false">IF(AND(ISNUMBER(B1762),ISNUMBER(C1762)),C1762-B1762,"")</f>
        <v>0</v>
      </c>
      <c r="E1762" s="4" t="s">
        <v>531</v>
      </c>
    </row>
    <row r="1763" customFormat="false" ht="15" hidden="false" customHeight="false" outlineLevel="0" collapsed="false">
      <c r="A1763" s="4" t="s">
        <v>2280</v>
      </c>
      <c r="B1763" s="5" t="n">
        <v>0.399</v>
      </c>
      <c r="C1763" s="5" t="n">
        <v>0.399</v>
      </c>
      <c r="D1763" s="5" t="n">
        <f aca="false">IF(AND(ISNUMBER(B1763),ISNUMBER(C1763)),C1763-B1763,"")</f>
        <v>0</v>
      </c>
      <c r="E1763" s="4" t="s">
        <v>531</v>
      </c>
    </row>
    <row r="1764" customFormat="false" ht="15" hidden="false" customHeight="false" outlineLevel="0" collapsed="false">
      <c r="A1764" s="4" t="s">
        <v>2281</v>
      </c>
      <c r="B1764" s="5" t="n">
        <v>0.001</v>
      </c>
      <c r="C1764" s="5" t="n">
        <v>0.001</v>
      </c>
      <c r="D1764" s="5" t="n">
        <f aca="false">IF(AND(ISNUMBER(B1764),ISNUMBER(C1764)),C1764-B1764,"")</f>
        <v>0</v>
      </c>
      <c r="E1764" s="4" t="s">
        <v>531</v>
      </c>
    </row>
    <row r="1765" customFormat="false" ht="15" hidden="false" customHeight="false" outlineLevel="0" collapsed="false">
      <c r="A1765" s="4" t="s">
        <v>2282</v>
      </c>
      <c r="B1765" s="5" t="n">
        <v>0.036</v>
      </c>
      <c r="C1765" s="5" t="n">
        <v>0.04</v>
      </c>
      <c r="D1765" s="5" t="n">
        <f aca="false">IF(AND(ISNUMBER(B1765),ISNUMBER(C1765)),C1765-B1765,"")</f>
        <v>0.004</v>
      </c>
      <c r="E1765" s="4" t="s">
        <v>2252</v>
      </c>
    </row>
    <row r="1766" customFormat="false" ht="15" hidden="false" customHeight="false" outlineLevel="0" collapsed="false">
      <c r="A1766" s="4" t="s">
        <v>2283</v>
      </c>
      <c r="B1766" s="5" t="n">
        <v>210</v>
      </c>
      <c r="C1766" s="5" t="n">
        <v>210</v>
      </c>
      <c r="D1766" s="5" t="n">
        <f aca="false">IF(AND(ISNUMBER(B1766),ISNUMBER(C1766)),C1766-B1766,"")</f>
        <v>0</v>
      </c>
      <c r="E1766" s="4" t="s">
        <v>531</v>
      </c>
    </row>
    <row r="1767" customFormat="false" ht="15" hidden="false" customHeight="false" outlineLevel="0" collapsed="false">
      <c r="A1767" s="4" t="s">
        <v>2284</v>
      </c>
      <c r="B1767" s="5" t="n">
        <v>0.123</v>
      </c>
      <c r="C1767" s="5" t="n">
        <v>0.123</v>
      </c>
      <c r="D1767" s="5" t="n">
        <f aca="false">IF(AND(ISNUMBER(B1767),ISNUMBER(C1767)),C1767-B1767,"")</f>
        <v>0</v>
      </c>
      <c r="E1767" s="4" t="s">
        <v>531</v>
      </c>
    </row>
    <row r="1768" customFormat="false" ht="15" hidden="false" customHeight="false" outlineLevel="0" collapsed="false">
      <c r="A1768" s="4" t="s">
        <v>2285</v>
      </c>
      <c r="B1768" s="5" t="n">
        <v>0.07</v>
      </c>
      <c r="C1768" s="5" t="n">
        <v>0.07</v>
      </c>
      <c r="D1768" s="5" t="n">
        <f aca="false">IF(AND(ISNUMBER(B1768),ISNUMBER(C1768)),C1768-B1768,"")</f>
        <v>0</v>
      </c>
      <c r="E1768" s="4" t="s">
        <v>531</v>
      </c>
    </row>
    <row r="1769" customFormat="false" ht="15" hidden="false" customHeight="false" outlineLevel="0" collapsed="false">
      <c r="A1769" s="4" t="s">
        <v>2286</v>
      </c>
      <c r="B1769" s="5" t="n">
        <v>0.069</v>
      </c>
      <c r="C1769" s="5" t="n">
        <v>0.069</v>
      </c>
      <c r="D1769" s="5" t="n">
        <f aca="false">IF(AND(ISNUMBER(B1769),ISNUMBER(C1769)),C1769-B1769,"")</f>
        <v>0</v>
      </c>
      <c r="E1769" s="4" t="s">
        <v>531</v>
      </c>
    </row>
    <row r="1770" customFormat="false" ht="15" hidden="false" customHeight="false" outlineLevel="0" collapsed="false">
      <c r="A1770" s="4" t="s">
        <v>2287</v>
      </c>
      <c r="B1770" s="5" t="n">
        <v>0.078</v>
      </c>
      <c r="C1770" s="5" t="n">
        <v>0.078</v>
      </c>
      <c r="D1770" s="5" t="n">
        <f aca="false">IF(AND(ISNUMBER(B1770),ISNUMBER(C1770)),C1770-B1770,"")</f>
        <v>0</v>
      </c>
      <c r="E1770" s="4" t="s">
        <v>531</v>
      </c>
    </row>
    <row r="1771" customFormat="false" ht="15" hidden="false" customHeight="false" outlineLevel="0" collapsed="false">
      <c r="A1771" s="4" t="s">
        <v>2288</v>
      </c>
      <c r="B1771" s="5" t="n">
        <v>0.487</v>
      </c>
      <c r="C1771" s="5" t="n">
        <v>0.509</v>
      </c>
      <c r="D1771" s="5" t="n">
        <f aca="false">IF(AND(ISNUMBER(B1771),ISNUMBER(C1771)),C1771-B1771,"")</f>
        <v>0.022</v>
      </c>
      <c r="E1771" s="4" t="s">
        <v>2252</v>
      </c>
    </row>
    <row r="1772" customFormat="false" ht="15" hidden="false" customHeight="false" outlineLevel="0" collapsed="false">
      <c r="A1772" s="4" t="s">
        <v>2289</v>
      </c>
      <c r="B1772" s="5" t="n">
        <v>210</v>
      </c>
      <c r="C1772" s="5" t="n">
        <v>210</v>
      </c>
      <c r="D1772" s="5" t="n">
        <f aca="false">IF(AND(ISNUMBER(B1772),ISNUMBER(C1772)),C1772-B1772,"")</f>
        <v>0</v>
      </c>
      <c r="E1772" s="4" t="s">
        <v>531</v>
      </c>
    </row>
    <row r="1773" customFormat="false" ht="15" hidden="false" customHeight="false" outlineLevel="0" collapsed="false">
      <c r="A1773" s="4" t="s">
        <v>2290</v>
      </c>
      <c r="B1773" s="5" t="n">
        <v>0.104</v>
      </c>
      <c r="C1773" s="5" t="n">
        <v>0.104</v>
      </c>
      <c r="D1773" s="5" t="n">
        <f aca="false">IF(AND(ISNUMBER(B1773),ISNUMBER(C1773)),C1773-B1773,"")</f>
        <v>0</v>
      </c>
      <c r="E1773" s="4" t="s">
        <v>531</v>
      </c>
    </row>
    <row r="1774" customFormat="false" ht="15" hidden="false" customHeight="false" outlineLevel="0" collapsed="false">
      <c r="A1774" s="4" t="s">
        <v>2291</v>
      </c>
      <c r="B1774" s="5" t="n">
        <v>0.068</v>
      </c>
      <c r="C1774" s="5" t="n">
        <v>0.068</v>
      </c>
      <c r="D1774" s="5" t="n">
        <f aca="false">IF(AND(ISNUMBER(B1774),ISNUMBER(C1774)),C1774-B1774,"")</f>
        <v>0</v>
      </c>
      <c r="E1774" s="4" t="s">
        <v>531</v>
      </c>
    </row>
    <row r="1775" customFormat="false" ht="15" hidden="false" customHeight="false" outlineLevel="0" collapsed="false">
      <c r="A1775" s="4" t="s">
        <v>2292</v>
      </c>
      <c r="B1775" s="5" t="n">
        <v>0.069</v>
      </c>
      <c r="C1775" s="5" t="n">
        <v>0.069</v>
      </c>
      <c r="D1775" s="5" t="n">
        <f aca="false">IF(AND(ISNUMBER(B1775),ISNUMBER(C1775)),C1775-B1775,"")</f>
        <v>0</v>
      </c>
      <c r="E1775" s="4" t="s">
        <v>531</v>
      </c>
    </row>
    <row r="1776" customFormat="false" ht="15" hidden="false" customHeight="false" outlineLevel="0" collapsed="false">
      <c r="A1776" s="4" t="s">
        <v>2293</v>
      </c>
      <c r="B1776" s="5" t="n">
        <v>0.125</v>
      </c>
      <c r="C1776" s="5" t="n">
        <v>0.125</v>
      </c>
      <c r="D1776" s="5" t="n">
        <f aca="false">IF(AND(ISNUMBER(B1776),ISNUMBER(C1776)),C1776-B1776,"")</f>
        <v>0</v>
      </c>
      <c r="E1776" s="4" t="s">
        <v>531</v>
      </c>
    </row>
    <row r="1777" customFormat="false" ht="15" hidden="false" customHeight="false" outlineLevel="0" collapsed="false">
      <c r="A1777" s="4" t="s">
        <v>2294</v>
      </c>
      <c r="B1777" s="5" t="n">
        <v>0.609</v>
      </c>
      <c r="C1777" s="5" t="n">
        <v>0.598</v>
      </c>
      <c r="D1777" s="5" t="n">
        <f aca="false">IF(AND(ISNUMBER(B1777),ISNUMBER(C1777)),C1777-B1777,"")</f>
        <v>-0.011</v>
      </c>
      <c r="E1777" s="4" t="s">
        <v>2252</v>
      </c>
    </row>
    <row r="1778" customFormat="false" ht="15" hidden="false" customHeight="false" outlineLevel="0" collapsed="false">
      <c r="A1778" s="4" t="s">
        <v>2295</v>
      </c>
      <c r="B1778" s="5" t="n">
        <v>210</v>
      </c>
      <c r="C1778" s="5" t="n">
        <v>210</v>
      </c>
      <c r="D1778" s="5" t="n">
        <f aca="false">IF(AND(ISNUMBER(B1778),ISNUMBER(C1778)),C1778-B1778,"")</f>
        <v>0</v>
      </c>
      <c r="E1778" s="4" t="s">
        <v>531</v>
      </c>
    </row>
    <row r="1779" customFormat="false" ht="15" hidden="false" customHeight="false" outlineLevel="0" collapsed="false">
      <c r="A1779" s="4" t="s">
        <v>2296</v>
      </c>
      <c r="B1779" s="5" t="n">
        <v>0.124</v>
      </c>
      <c r="C1779" s="5" t="n">
        <v>0.124</v>
      </c>
      <c r="D1779" s="5" t="n">
        <f aca="false">IF(AND(ISNUMBER(B1779),ISNUMBER(C1779)),C1779-B1779,"")</f>
        <v>0</v>
      </c>
      <c r="E1779" s="4" t="s">
        <v>531</v>
      </c>
    </row>
    <row r="1780" customFormat="false" ht="15" hidden="false" customHeight="false" outlineLevel="0" collapsed="false">
      <c r="A1780" s="4" t="s">
        <v>2297</v>
      </c>
      <c r="B1780" s="5" t="n">
        <v>0.068</v>
      </c>
      <c r="C1780" s="5" t="n">
        <v>0.068</v>
      </c>
      <c r="D1780" s="5" t="n">
        <f aca="false">IF(AND(ISNUMBER(B1780),ISNUMBER(C1780)),C1780-B1780,"")</f>
        <v>0</v>
      </c>
      <c r="E1780" s="4" t="s">
        <v>531</v>
      </c>
    </row>
    <row r="1781" customFormat="false" ht="15" hidden="false" customHeight="false" outlineLevel="0" collapsed="false">
      <c r="A1781" s="4" t="s">
        <v>2298</v>
      </c>
      <c r="B1781" s="5" t="n">
        <v>0.068</v>
      </c>
      <c r="C1781" s="5" t="n">
        <v>0.068</v>
      </c>
      <c r="D1781" s="5" t="n">
        <f aca="false">IF(AND(ISNUMBER(B1781),ISNUMBER(C1781)),C1781-B1781,"")</f>
        <v>0</v>
      </c>
      <c r="E1781" s="4" t="s">
        <v>531</v>
      </c>
    </row>
    <row r="1782" customFormat="false" ht="15" hidden="false" customHeight="false" outlineLevel="0" collapsed="false">
      <c r="A1782" s="4" t="s">
        <v>2299</v>
      </c>
      <c r="B1782" s="5" t="n">
        <v>0.066</v>
      </c>
      <c r="C1782" s="5" t="n">
        <v>0.066</v>
      </c>
      <c r="D1782" s="5" t="n">
        <f aca="false">IF(AND(ISNUMBER(B1782),ISNUMBER(C1782)),C1782-B1782,"")</f>
        <v>0</v>
      </c>
      <c r="E1782" s="4" t="s">
        <v>531</v>
      </c>
    </row>
    <row r="1783" customFormat="false" ht="15" hidden="false" customHeight="false" outlineLevel="0" collapsed="false">
      <c r="A1783" s="4" t="s">
        <v>2300</v>
      </c>
      <c r="B1783" s="5" t="n">
        <v>0.476</v>
      </c>
      <c r="C1783" s="5" t="n">
        <v>0.509</v>
      </c>
      <c r="D1783" s="5" t="n">
        <f aca="false">IF(AND(ISNUMBER(B1783),ISNUMBER(C1783)),C1783-B1783,"")</f>
        <v>0.033</v>
      </c>
      <c r="E1783" s="4" t="s">
        <v>2252</v>
      </c>
    </row>
    <row r="1784" customFormat="false" ht="15" hidden="false" customHeight="false" outlineLevel="0" collapsed="false">
      <c r="A1784" s="4" t="s">
        <v>2301</v>
      </c>
      <c r="B1784" s="5" t="n">
        <v>210</v>
      </c>
      <c r="C1784" s="5" t="n">
        <v>210</v>
      </c>
      <c r="D1784" s="5" t="n">
        <f aca="false">IF(AND(ISNUMBER(B1784),ISNUMBER(C1784)),C1784-B1784,"")</f>
        <v>0</v>
      </c>
      <c r="E1784" s="4" t="s">
        <v>531</v>
      </c>
    </row>
    <row r="1785" customFormat="false" ht="15" hidden="false" customHeight="false" outlineLevel="0" collapsed="false">
      <c r="A1785" s="4" t="s">
        <v>2302</v>
      </c>
      <c r="B1785" s="5" t="n">
        <v>0.105</v>
      </c>
      <c r="C1785" s="5" t="n">
        <v>0.105</v>
      </c>
      <c r="D1785" s="5" t="n">
        <f aca="false">IF(AND(ISNUMBER(B1785),ISNUMBER(C1785)),C1785-B1785,"")</f>
        <v>0</v>
      </c>
      <c r="E1785" s="4" t="s">
        <v>531</v>
      </c>
    </row>
    <row r="1786" customFormat="false" ht="15" hidden="false" customHeight="false" outlineLevel="0" collapsed="false">
      <c r="A1786" s="4" t="s">
        <v>2303</v>
      </c>
      <c r="B1786" s="5" t="n">
        <v>0.071</v>
      </c>
      <c r="C1786" s="5" t="n">
        <v>0.071</v>
      </c>
      <c r="D1786" s="5" t="n">
        <f aca="false">IF(AND(ISNUMBER(B1786),ISNUMBER(C1786)),C1786-B1786,"")</f>
        <v>0</v>
      </c>
      <c r="E1786" s="4" t="s">
        <v>531</v>
      </c>
    </row>
    <row r="1787" customFormat="false" ht="15" hidden="false" customHeight="false" outlineLevel="0" collapsed="false">
      <c r="A1787" s="4" t="s">
        <v>2304</v>
      </c>
      <c r="B1787" s="5" t="n">
        <v>0.07</v>
      </c>
      <c r="C1787" s="5" t="n">
        <v>0.07</v>
      </c>
      <c r="D1787" s="5" t="n">
        <f aca="false">IF(AND(ISNUMBER(B1787),ISNUMBER(C1787)),C1787-B1787,"")</f>
        <v>0</v>
      </c>
      <c r="E1787" s="4" t="s">
        <v>531</v>
      </c>
    </row>
    <row r="1788" customFormat="false" ht="15" hidden="false" customHeight="false" outlineLevel="0" collapsed="false">
      <c r="A1788" s="4" t="s">
        <v>2305</v>
      </c>
      <c r="B1788" s="5" t="n">
        <v>0.136</v>
      </c>
      <c r="C1788" s="5" t="n">
        <v>0.136</v>
      </c>
      <c r="D1788" s="5" t="n">
        <f aca="false">IF(AND(ISNUMBER(B1788),ISNUMBER(C1788)),C1788-B1788,"")</f>
        <v>0</v>
      </c>
      <c r="E1788" s="4" t="s">
        <v>531</v>
      </c>
    </row>
    <row r="1789" customFormat="false" ht="15" hidden="false" customHeight="false" outlineLevel="0" collapsed="false">
      <c r="A1789" s="4" t="s">
        <v>2306</v>
      </c>
      <c r="B1789" s="5" t="n">
        <v>0.609</v>
      </c>
      <c r="C1789" s="5" t="n">
        <v>0.598</v>
      </c>
      <c r="D1789" s="5" t="n">
        <f aca="false">IF(AND(ISNUMBER(B1789),ISNUMBER(C1789)),C1789-B1789,"")</f>
        <v>-0.011</v>
      </c>
      <c r="E1789" s="4" t="s">
        <v>2252</v>
      </c>
    </row>
    <row r="1790" customFormat="false" ht="15" hidden="false" customHeight="false" outlineLevel="0" collapsed="false">
      <c r="A1790" s="4" t="s">
        <v>2307</v>
      </c>
      <c r="B1790" s="5" t="n">
        <v>210</v>
      </c>
      <c r="C1790" s="5" t="n">
        <v>210</v>
      </c>
      <c r="D1790" s="5" t="n">
        <f aca="false">IF(AND(ISNUMBER(B1790),ISNUMBER(C1790)),C1790-B1790,"")</f>
        <v>0</v>
      </c>
      <c r="E1790" s="4" t="s">
        <v>531</v>
      </c>
    </row>
    <row r="1791" customFormat="false" ht="15" hidden="false" customHeight="false" outlineLevel="0" collapsed="false">
      <c r="A1791" s="4" t="s">
        <v>2308</v>
      </c>
      <c r="B1791" s="5" t="n">
        <v>0.152</v>
      </c>
      <c r="C1791" s="5" t="n">
        <v>0.152</v>
      </c>
      <c r="D1791" s="5" t="n">
        <f aca="false">IF(AND(ISNUMBER(B1791),ISNUMBER(C1791)),C1791-B1791,"")</f>
        <v>0</v>
      </c>
      <c r="E1791" s="4" t="s">
        <v>531</v>
      </c>
    </row>
    <row r="1792" customFormat="false" ht="15" hidden="false" customHeight="false" outlineLevel="0" collapsed="false">
      <c r="A1792" s="4" t="s">
        <v>2309</v>
      </c>
      <c r="B1792" s="5" t="n">
        <v>0.076</v>
      </c>
      <c r="C1792" s="5" t="n">
        <v>0.076</v>
      </c>
      <c r="D1792" s="5" t="n">
        <f aca="false">IF(AND(ISNUMBER(B1792),ISNUMBER(C1792)),C1792-B1792,"")</f>
        <v>0</v>
      </c>
      <c r="E1792" s="4" t="s">
        <v>531</v>
      </c>
    </row>
    <row r="1793" customFormat="false" ht="15" hidden="false" customHeight="false" outlineLevel="0" collapsed="false">
      <c r="A1793" s="4" t="s">
        <v>2310</v>
      </c>
      <c r="B1793" s="5" t="n">
        <v>0.076</v>
      </c>
      <c r="C1793" s="5" t="n">
        <v>0.076</v>
      </c>
      <c r="D1793" s="5" t="n">
        <f aca="false">IF(AND(ISNUMBER(B1793),ISNUMBER(C1793)),C1793-B1793,"")</f>
        <v>0</v>
      </c>
      <c r="E1793" s="4" t="s">
        <v>531</v>
      </c>
    </row>
    <row r="1794" customFormat="false" ht="15" hidden="false" customHeight="false" outlineLevel="0" collapsed="false">
      <c r="A1794" s="4" t="s">
        <v>2311</v>
      </c>
      <c r="B1794" s="5" t="n">
        <v>0.046</v>
      </c>
      <c r="C1794" s="5" t="n">
        <v>0.046</v>
      </c>
      <c r="D1794" s="5" t="n">
        <f aca="false">IF(AND(ISNUMBER(B1794),ISNUMBER(C1794)),C1794-B1794,"")</f>
        <v>0</v>
      </c>
      <c r="E1794" s="4" t="s">
        <v>531</v>
      </c>
    </row>
    <row r="1795" customFormat="false" ht="15" hidden="false" customHeight="false" outlineLevel="0" collapsed="false">
      <c r="A1795" s="4" t="s">
        <v>2312</v>
      </c>
      <c r="B1795" s="5" t="n">
        <v>0.393</v>
      </c>
      <c r="C1795" s="5" t="n">
        <v>0.422</v>
      </c>
      <c r="D1795" s="5" t="n">
        <f aca="false">IF(AND(ISNUMBER(B1795),ISNUMBER(C1795)),C1795-B1795,"")</f>
        <v>0.029</v>
      </c>
      <c r="E1795" s="4" t="s">
        <v>2252</v>
      </c>
    </row>
    <row r="1796" customFormat="false" ht="15" hidden="false" customHeight="false" outlineLevel="0" collapsed="false">
      <c r="A1796" s="4" t="s">
        <v>2313</v>
      </c>
      <c r="B1796" s="5" t="n">
        <v>210</v>
      </c>
      <c r="C1796" s="5" t="n">
        <v>210</v>
      </c>
      <c r="D1796" s="5" t="n">
        <f aca="false">IF(AND(ISNUMBER(B1796),ISNUMBER(C1796)),C1796-B1796,"")</f>
        <v>0</v>
      </c>
      <c r="E1796" s="4" t="s">
        <v>531</v>
      </c>
    </row>
    <row r="1797" customFormat="false" ht="15" hidden="false" customHeight="false" outlineLevel="0" collapsed="false">
      <c r="A1797" s="4" t="s">
        <v>2314</v>
      </c>
      <c r="B1797" s="5" t="n">
        <v>0.189</v>
      </c>
      <c r="C1797" s="5" t="n">
        <v>0.189</v>
      </c>
      <c r="D1797" s="5" t="n">
        <f aca="false">IF(AND(ISNUMBER(B1797),ISNUMBER(C1797)),C1797-B1797,"")</f>
        <v>0</v>
      </c>
      <c r="E1797" s="4" t="s">
        <v>531</v>
      </c>
    </row>
    <row r="1798" customFormat="false" ht="15" hidden="false" customHeight="false" outlineLevel="0" collapsed="false">
      <c r="A1798" s="4" t="s">
        <v>2315</v>
      </c>
      <c r="B1798" s="5" t="n">
        <v>0.067</v>
      </c>
      <c r="C1798" s="5" t="n">
        <v>0.067</v>
      </c>
      <c r="D1798" s="5" t="n">
        <f aca="false">IF(AND(ISNUMBER(B1798),ISNUMBER(C1798)),C1798-B1798,"")</f>
        <v>0</v>
      </c>
      <c r="E1798" s="4" t="s">
        <v>531</v>
      </c>
    </row>
    <row r="1799" customFormat="false" ht="15" hidden="false" customHeight="false" outlineLevel="0" collapsed="false">
      <c r="A1799" s="4" t="s">
        <v>2316</v>
      </c>
      <c r="B1799" s="5" t="n">
        <v>0.068</v>
      </c>
      <c r="C1799" s="5" t="n">
        <v>0.068</v>
      </c>
      <c r="D1799" s="5" t="n">
        <f aca="false">IF(AND(ISNUMBER(B1799),ISNUMBER(C1799)),C1799-B1799,"")</f>
        <v>0</v>
      </c>
      <c r="E1799" s="4" t="s">
        <v>531</v>
      </c>
    </row>
    <row r="1800" customFormat="false" ht="15" hidden="false" customHeight="false" outlineLevel="0" collapsed="false">
      <c r="A1800" s="4" t="s">
        <v>2317</v>
      </c>
      <c r="B1800" s="5" t="n">
        <v>0.005</v>
      </c>
      <c r="C1800" s="5" t="n">
        <v>0.005</v>
      </c>
      <c r="D1800" s="5" t="n">
        <f aca="false">IF(AND(ISNUMBER(B1800),ISNUMBER(C1800)),C1800-B1800,"")</f>
        <v>0</v>
      </c>
      <c r="E1800" s="4" t="s">
        <v>531</v>
      </c>
    </row>
    <row r="1801" customFormat="false" ht="15" hidden="false" customHeight="false" outlineLevel="0" collapsed="false">
      <c r="A1801" s="4" t="s">
        <v>2318</v>
      </c>
      <c r="B1801" s="5" t="n">
        <v>0.092</v>
      </c>
      <c r="C1801" s="5" t="n">
        <v>0.108</v>
      </c>
      <c r="D1801" s="5" t="n">
        <f aca="false">IF(AND(ISNUMBER(B1801),ISNUMBER(C1801)),C1801-B1801,"")</f>
        <v>0.016</v>
      </c>
      <c r="E1801" s="4" t="s">
        <v>2252</v>
      </c>
    </row>
    <row r="1802" customFormat="false" ht="15" hidden="false" customHeight="false" outlineLevel="0" collapsed="false">
      <c r="A1802" s="4" t="s">
        <v>2319</v>
      </c>
      <c r="B1802" s="5" t="n">
        <v>210</v>
      </c>
      <c r="C1802" s="5" t="n">
        <v>210</v>
      </c>
      <c r="D1802" s="5" t="n">
        <f aca="false">IF(AND(ISNUMBER(B1802),ISNUMBER(C1802)),C1802-B1802,"")</f>
        <v>0</v>
      </c>
      <c r="E1802" s="4" t="s">
        <v>531</v>
      </c>
    </row>
    <row r="1803" customFormat="false" ht="15" hidden="false" customHeight="false" outlineLevel="0" collapsed="false">
      <c r="A1803" s="4" t="s">
        <v>2320</v>
      </c>
      <c r="B1803" s="5" t="n">
        <v>0.126</v>
      </c>
      <c r="C1803" s="5" t="n">
        <v>0.126</v>
      </c>
      <c r="D1803" s="5" t="n">
        <f aca="false">IF(AND(ISNUMBER(B1803),ISNUMBER(C1803)),C1803-B1803,"")</f>
        <v>0</v>
      </c>
      <c r="E1803" s="4" t="s">
        <v>531</v>
      </c>
    </row>
    <row r="1804" customFormat="false" ht="15" hidden="false" customHeight="false" outlineLevel="0" collapsed="false">
      <c r="A1804" s="4" t="s">
        <v>2321</v>
      </c>
      <c r="B1804" s="5" t="n">
        <v>0.076</v>
      </c>
      <c r="C1804" s="5" t="n">
        <v>0.076</v>
      </c>
      <c r="D1804" s="5" t="n">
        <f aca="false">IF(AND(ISNUMBER(B1804),ISNUMBER(C1804)),C1804-B1804,"")</f>
        <v>0</v>
      </c>
      <c r="E1804" s="4" t="s">
        <v>531</v>
      </c>
    </row>
    <row r="1805" customFormat="false" ht="15" hidden="false" customHeight="false" outlineLevel="0" collapsed="false">
      <c r="A1805" s="4" t="s">
        <v>2322</v>
      </c>
      <c r="B1805" s="5" t="n">
        <v>0.077</v>
      </c>
      <c r="C1805" s="5" t="n">
        <v>0.077</v>
      </c>
      <c r="D1805" s="5" t="n">
        <f aca="false">IF(AND(ISNUMBER(B1805),ISNUMBER(C1805)),C1805-B1805,"")</f>
        <v>0</v>
      </c>
      <c r="E1805" s="4" t="s">
        <v>531</v>
      </c>
    </row>
    <row r="1806" customFormat="false" ht="15" hidden="false" customHeight="false" outlineLevel="0" collapsed="false">
      <c r="A1806" s="4" t="s">
        <v>2323</v>
      </c>
      <c r="B1806" s="5" t="n">
        <v>0.098</v>
      </c>
      <c r="C1806" s="5" t="n">
        <v>0.098</v>
      </c>
      <c r="D1806" s="5" t="n">
        <f aca="false">IF(AND(ISNUMBER(B1806),ISNUMBER(C1806)),C1806-B1806,"")</f>
        <v>0</v>
      </c>
      <c r="E1806" s="4" t="s">
        <v>531</v>
      </c>
    </row>
    <row r="1807" customFormat="false" ht="15" hidden="false" customHeight="false" outlineLevel="0" collapsed="false">
      <c r="A1807" s="4" t="s">
        <v>2324</v>
      </c>
      <c r="B1807" s="5" t="n">
        <v>0.548</v>
      </c>
      <c r="C1807" s="5" t="n">
        <v>0.557</v>
      </c>
      <c r="D1807" s="5" t="n">
        <f aca="false">IF(AND(ISNUMBER(B1807),ISNUMBER(C1807)),C1807-B1807,"")</f>
        <v>0.00900000000000001</v>
      </c>
      <c r="E1807" s="4" t="s">
        <v>2252</v>
      </c>
    </row>
    <row r="1808" customFormat="false" ht="15" hidden="false" customHeight="false" outlineLevel="0" collapsed="false">
      <c r="A1808" s="4" t="s">
        <v>2325</v>
      </c>
      <c r="B1808" s="5" t="n">
        <v>210</v>
      </c>
      <c r="C1808" s="5" t="n">
        <v>210</v>
      </c>
      <c r="D1808" s="5" t="n">
        <f aca="false">IF(AND(ISNUMBER(B1808),ISNUMBER(C1808)),C1808-B1808,"")</f>
        <v>0</v>
      </c>
      <c r="E1808" s="4" t="s">
        <v>531</v>
      </c>
    </row>
    <row r="1809" customFormat="false" ht="15" hidden="false" customHeight="false" outlineLevel="0" collapsed="false">
      <c r="A1809" s="4" t="s">
        <v>2326</v>
      </c>
      <c r="B1809" s="5" t="n">
        <v>0.197</v>
      </c>
      <c r="C1809" s="5" t="n">
        <v>0.197</v>
      </c>
      <c r="D1809" s="5" t="n">
        <f aca="false">IF(AND(ISNUMBER(B1809),ISNUMBER(C1809)),C1809-B1809,"")</f>
        <v>0</v>
      </c>
      <c r="E1809" s="4" t="s">
        <v>531</v>
      </c>
    </row>
    <row r="1810" customFormat="false" ht="15" hidden="false" customHeight="false" outlineLevel="0" collapsed="false">
      <c r="A1810" s="4" t="s">
        <v>2327</v>
      </c>
      <c r="B1810" s="5" t="n">
        <v>0.078</v>
      </c>
      <c r="C1810" s="5" t="n">
        <v>0.078</v>
      </c>
      <c r="D1810" s="5" t="n">
        <f aca="false">IF(AND(ISNUMBER(B1810),ISNUMBER(C1810)),C1810-B1810,"")</f>
        <v>0</v>
      </c>
      <c r="E1810" s="4" t="s">
        <v>531</v>
      </c>
    </row>
    <row r="1811" customFormat="false" ht="15" hidden="false" customHeight="false" outlineLevel="0" collapsed="false">
      <c r="A1811" s="4" t="s">
        <v>2328</v>
      </c>
      <c r="B1811" s="5" t="n">
        <v>0.077</v>
      </c>
      <c r="C1811" s="5" t="n">
        <v>0.077</v>
      </c>
      <c r="D1811" s="5" t="n">
        <f aca="false">IF(AND(ISNUMBER(B1811),ISNUMBER(C1811)),C1811-B1811,"")</f>
        <v>0</v>
      </c>
      <c r="E1811" s="4" t="s">
        <v>531</v>
      </c>
    </row>
    <row r="1812" customFormat="false" ht="15" hidden="false" customHeight="false" outlineLevel="0" collapsed="false">
      <c r="A1812" s="4" t="s">
        <v>2329</v>
      </c>
      <c r="B1812" s="5" t="n">
        <v>0.011</v>
      </c>
      <c r="C1812" s="5" t="n">
        <v>0.011</v>
      </c>
      <c r="D1812" s="5" t="n">
        <f aca="false">IF(AND(ISNUMBER(B1812),ISNUMBER(C1812)),C1812-B1812,"")</f>
        <v>0</v>
      </c>
      <c r="E1812" s="4" t="s">
        <v>531</v>
      </c>
    </row>
    <row r="1813" customFormat="false" ht="15" hidden="false" customHeight="false" outlineLevel="0" collapsed="false">
      <c r="A1813" s="4" t="s">
        <v>2330</v>
      </c>
      <c r="B1813" s="5" t="n">
        <v>0.145</v>
      </c>
      <c r="C1813" s="5" t="n">
        <v>0.144</v>
      </c>
      <c r="D1813" s="5" t="n">
        <f aca="false">IF(AND(ISNUMBER(B1813),ISNUMBER(C1813)),C1813-B1813,"")</f>
        <v>-0.001</v>
      </c>
      <c r="E1813" s="4" t="s">
        <v>2252</v>
      </c>
    </row>
    <row r="1814" customFormat="false" ht="15" hidden="false" customHeight="false" outlineLevel="0" collapsed="false">
      <c r="A1814" s="4" t="s">
        <v>2331</v>
      </c>
      <c r="B1814" s="5" t="n">
        <v>210</v>
      </c>
      <c r="C1814" s="5" t="n">
        <v>210</v>
      </c>
      <c r="D1814" s="5" t="n">
        <f aca="false">IF(AND(ISNUMBER(B1814),ISNUMBER(C1814)),C1814-B1814,"")</f>
        <v>0</v>
      </c>
      <c r="E1814" s="4" t="s">
        <v>531</v>
      </c>
    </row>
    <row r="1815" customFormat="false" ht="15" hidden="false" customHeight="false" outlineLevel="0" collapsed="false">
      <c r="A1815" s="4" t="s">
        <v>2332</v>
      </c>
      <c r="B1815" s="5" t="n">
        <v>0.075</v>
      </c>
      <c r="C1815" s="5" t="n">
        <v>0.075</v>
      </c>
      <c r="D1815" s="5" t="n">
        <f aca="false">IF(AND(ISNUMBER(B1815),ISNUMBER(C1815)),C1815-B1815,"")</f>
        <v>0</v>
      </c>
      <c r="E1815" s="4" t="s">
        <v>531</v>
      </c>
    </row>
    <row r="1816" customFormat="false" ht="15" hidden="false" customHeight="false" outlineLevel="0" collapsed="false">
      <c r="A1816" s="4" t="s">
        <v>2333</v>
      </c>
      <c r="B1816" s="5" t="n">
        <v>0.074</v>
      </c>
      <c r="C1816" s="5" t="n">
        <v>0.074</v>
      </c>
      <c r="D1816" s="5" t="n">
        <f aca="false">IF(AND(ISNUMBER(B1816),ISNUMBER(C1816)),C1816-B1816,"")</f>
        <v>0</v>
      </c>
      <c r="E1816" s="4" t="s">
        <v>531</v>
      </c>
    </row>
    <row r="1817" customFormat="false" ht="15" hidden="false" customHeight="false" outlineLevel="0" collapsed="false">
      <c r="A1817" s="4" t="s">
        <v>2334</v>
      </c>
      <c r="B1817" s="5" t="n">
        <v>0.075</v>
      </c>
      <c r="C1817" s="5" t="n">
        <v>0.075</v>
      </c>
      <c r="D1817" s="5" t="n">
        <f aca="false">IF(AND(ISNUMBER(B1817),ISNUMBER(C1817)),C1817-B1817,"")</f>
        <v>0</v>
      </c>
      <c r="E1817" s="4" t="s">
        <v>531</v>
      </c>
    </row>
    <row r="1818" customFormat="false" ht="15" hidden="false" customHeight="false" outlineLevel="0" collapsed="false">
      <c r="A1818" s="4" t="s">
        <v>2335</v>
      </c>
      <c r="B1818" s="5" t="n">
        <v>0.315</v>
      </c>
      <c r="C1818" s="5" t="n">
        <v>0.315</v>
      </c>
      <c r="D1818" s="5" t="n">
        <f aca="false">IF(AND(ISNUMBER(B1818),ISNUMBER(C1818)),C1818-B1818,"")</f>
        <v>0</v>
      </c>
      <c r="E1818" s="4" t="s">
        <v>531</v>
      </c>
    </row>
    <row r="1819" customFormat="false" ht="15" hidden="false" customHeight="false" outlineLevel="0" collapsed="false">
      <c r="A1819" s="4" t="s">
        <v>2336</v>
      </c>
      <c r="B1819" s="5" t="n">
        <v>0.802</v>
      </c>
      <c r="C1819" s="5" t="n">
        <v>0.795</v>
      </c>
      <c r="D1819" s="5" t="n">
        <f aca="false">IF(AND(ISNUMBER(B1819),ISNUMBER(C1819)),C1819-B1819,"")</f>
        <v>-0.00700000000000001</v>
      </c>
      <c r="E1819" s="4" t="s">
        <v>2252</v>
      </c>
    </row>
    <row r="1820" customFormat="false" ht="15" hidden="false" customHeight="false" outlineLevel="0" collapsed="false">
      <c r="A1820" s="4" t="s">
        <v>2337</v>
      </c>
      <c r="B1820" s="5" t="n">
        <v>210</v>
      </c>
      <c r="C1820" s="5" t="n">
        <v>210</v>
      </c>
      <c r="D1820" s="5" t="n">
        <f aca="false">IF(AND(ISNUMBER(B1820),ISNUMBER(C1820)),C1820-B1820,"")</f>
        <v>0</v>
      </c>
      <c r="E1820" s="4" t="s">
        <v>531</v>
      </c>
    </row>
    <row r="1821" customFormat="false" ht="15" hidden="false" customHeight="false" outlineLevel="0" collapsed="false">
      <c r="A1821" s="4" t="s">
        <v>2338</v>
      </c>
      <c r="B1821" s="5" t="n">
        <v>0.013</v>
      </c>
      <c r="C1821" s="5" t="n">
        <v>0.013</v>
      </c>
      <c r="D1821" s="5" t="n">
        <f aca="false">IF(AND(ISNUMBER(B1821),ISNUMBER(C1821)),C1821-B1821,"")</f>
        <v>0</v>
      </c>
      <c r="E1821" s="4" t="s">
        <v>531</v>
      </c>
    </row>
    <row r="1822" customFormat="false" ht="15" hidden="false" customHeight="false" outlineLevel="0" collapsed="false">
      <c r="A1822" s="4" t="s">
        <v>2339</v>
      </c>
      <c r="B1822" s="5" t="n">
        <v>0.068</v>
      </c>
      <c r="C1822" s="5" t="n">
        <v>0.068</v>
      </c>
      <c r="D1822" s="5" t="n">
        <f aca="false">IF(AND(ISNUMBER(B1822),ISNUMBER(C1822)),C1822-B1822,"")</f>
        <v>0</v>
      </c>
      <c r="E1822" s="4" t="s">
        <v>531</v>
      </c>
    </row>
    <row r="1823" customFormat="false" ht="15" hidden="false" customHeight="false" outlineLevel="0" collapsed="false">
      <c r="A1823" s="4" t="s">
        <v>2340</v>
      </c>
      <c r="B1823" s="5" t="n">
        <v>0.067</v>
      </c>
      <c r="C1823" s="5" t="n">
        <v>0.067</v>
      </c>
      <c r="D1823" s="5" t="n">
        <f aca="false">IF(AND(ISNUMBER(B1823),ISNUMBER(C1823)),C1823-B1823,"")</f>
        <v>0</v>
      </c>
      <c r="E1823" s="4" t="s">
        <v>531</v>
      </c>
    </row>
    <row r="1824" customFormat="false" ht="15" hidden="false" customHeight="false" outlineLevel="0" collapsed="false">
      <c r="A1824" s="4" t="s">
        <v>2341</v>
      </c>
      <c r="B1824" s="5" t="n">
        <v>0.845</v>
      </c>
      <c r="C1824" s="5" t="n">
        <v>0.845</v>
      </c>
      <c r="D1824" s="5" t="n">
        <f aca="false">IF(AND(ISNUMBER(B1824),ISNUMBER(C1824)),C1824-B1824,"")</f>
        <v>0</v>
      </c>
      <c r="E1824" s="4" t="s">
        <v>531</v>
      </c>
    </row>
    <row r="1825" customFormat="false" ht="15" hidden="false" customHeight="false" outlineLevel="0" collapsed="false">
      <c r="A1825" s="4" t="s">
        <v>2342</v>
      </c>
      <c r="B1825" s="5" t="n">
        <v>0.942</v>
      </c>
      <c r="C1825" s="5" t="n">
        <v>0.94</v>
      </c>
      <c r="D1825" s="5" t="n">
        <f aca="false">IF(AND(ISNUMBER(B1825),ISNUMBER(C1825)),C1825-B1825,"")</f>
        <v>-0.002</v>
      </c>
      <c r="E1825" s="4" t="s">
        <v>2252</v>
      </c>
    </row>
    <row r="1826" customFormat="false" ht="15" hidden="false" customHeight="false" outlineLevel="0" collapsed="false">
      <c r="A1826" s="4" t="s">
        <v>2343</v>
      </c>
      <c r="B1826" s="5" t="n">
        <v>210</v>
      </c>
      <c r="C1826" s="5" t="n">
        <v>210</v>
      </c>
      <c r="D1826" s="5" t="n">
        <f aca="false">IF(AND(ISNUMBER(B1826),ISNUMBER(C1826)),C1826-B1826,"")</f>
        <v>0</v>
      </c>
      <c r="E1826" s="4" t="s">
        <v>531</v>
      </c>
    </row>
    <row r="1827" customFormat="false" ht="15" hidden="false" customHeight="false" outlineLevel="0" collapsed="false">
      <c r="A1827" s="4" t="s">
        <v>2344</v>
      </c>
      <c r="B1827" s="5" t="n">
        <v>0.048</v>
      </c>
      <c r="C1827" s="5" t="n">
        <v>0.048</v>
      </c>
      <c r="D1827" s="5" t="n">
        <f aca="false">IF(AND(ISNUMBER(B1827),ISNUMBER(C1827)),C1827-B1827,"")</f>
        <v>0</v>
      </c>
      <c r="E1827" s="4" t="s">
        <v>531</v>
      </c>
    </row>
    <row r="1828" customFormat="false" ht="15" hidden="false" customHeight="false" outlineLevel="0" collapsed="false">
      <c r="A1828" s="4" t="s">
        <v>2345</v>
      </c>
      <c r="B1828" s="5" t="n">
        <v>0.066</v>
      </c>
      <c r="C1828" s="5" t="n">
        <v>0.066</v>
      </c>
      <c r="D1828" s="5" t="n">
        <f aca="false">IF(AND(ISNUMBER(B1828),ISNUMBER(C1828)),C1828-B1828,"")</f>
        <v>0</v>
      </c>
      <c r="E1828" s="4" t="s">
        <v>531</v>
      </c>
    </row>
    <row r="1829" customFormat="false" ht="15" hidden="false" customHeight="false" outlineLevel="0" collapsed="false">
      <c r="A1829" s="4" t="s">
        <v>2346</v>
      </c>
      <c r="B1829" s="5" t="n">
        <v>0.066</v>
      </c>
      <c r="C1829" s="5" t="n">
        <v>0.066</v>
      </c>
      <c r="D1829" s="5" t="n">
        <f aca="false">IF(AND(ISNUMBER(B1829),ISNUMBER(C1829)),C1829-B1829,"")</f>
        <v>0</v>
      </c>
      <c r="E1829" s="4" t="s">
        <v>531</v>
      </c>
    </row>
    <row r="1830" customFormat="false" ht="15" hidden="false" customHeight="false" outlineLevel="0" collapsed="false">
      <c r="A1830" s="4" t="s">
        <v>2347</v>
      </c>
      <c r="B1830" s="5" t="n">
        <v>0.473</v>
      </c>
      <c r="C1830" s="5" t="n">
        <v>0.473</v>
      </c>
      <c r="D1830" s="5" t="n">
        <f aca="false">IF(AND(ISNUMBER(B1830),ISNUMBER(C1830)),C1830-B1830,"")</f>
        <v>0</v>
      </c>
      <c r="E1830" s="4" t="s">
        <v>531</v>
      </c>
    </row>
    <row r="1831" customFormat="false" ht="15" hidden="false" customHeight="false" outlineLevel="0" collapsed="false">
      <c r="A1831" s="4" t="s">
        <v>2348</v>
      </c>
      <c r="B1831" s="5" t="n">
        <v>0.91</v>
      </c>
      <c r="C1831" s="5" t="n">
        <v>0.893</v>
      </c>
      <c r="D1831" s="5" t="n">
        <f aca="false">IF(AND(ISNUMBER(B1831),ISNUMBER(C1831)),C1831-B1831,"")</f>
        <v>-0.017</v>
      </c>
      <c r="E1831" s="4" t="s">
        <v>2252</v>
      </c>
    </row>
    <row r="1832" customFormat="false" ht="15" hidden="false" customHeight="false" outlineLevel="0" collapsed="false">
      <c r="A1832" s="4" t="s">
        <v>2349</v>
      </c>
      <c r="B1832" s="5" t="n">
        <v>210</v>
      </c>
      <c r="C1832" s="5" t="n">
        <v>210</v>
      </c>
      <c r="D1832" s="5" t="n">
        <f aca="false">IF(AND(ISNUMBER(B1832),ISNUMBER(C1832)),C1832-B1832,"")</f>
        <v>0</v>
      </c>
      <c r="E1832" s="4" t="s">
        <v>531</v>
      </c>
    </row>
    <row r="1833" customFormat="false" ht="15" hidden="false" customHeight="false" outlineLevel="0" collapsed="false">
      <c r="A1833" s="4" t="s">
        <v>2350</v>
      </c>
      <c r="B1833" s="5" t="n">
        <v>0.226</v>
      </c>
      <c r="C1833" s="5" t="n">
        <v>0.226</v>
      </c>
      <c r="D1833" s="5" t="n">
        <f aca="false">IF(AND(ISNUMBER(B1833),ISNUMBER(C1833)),C1833-B1833,"")</f>
        <v>0</v>
      </c>
      <c r="E1833" s="4" t="s">
        <v>531</v>
      </c>
    </row>
    <row r="1834" customFormat="false" ht="15" hidden="false" customHeight="false" outlineLevel="0" collapsed="false">
      <c r="A1834" s="4" t="s">
        <v>2351</v>
      </c>
      <c r="B1834" s="5" t="n">
        <v>0.131</v>
      </c>
      <c r="C1834" s="5" t="n">
        <v>0.131</v>
      </c>
      <c r="D1834" s="5" t="n">
        <f aca="false">IF(AND(ISNUMBER(B1834),ISNUMBER(C1834)),C1834-B1834,"")</f>
        <v>0</v>
      </c>
      <c r="E1834" s="4" t="s">
        <v>531</v>
      </c>
    </row>
    <row r="1835" customFormat="false" ht="15" hidden="false" customHeight="false" outlineLevel="0" collapsed="false">
      <c r="A1835" s="4" t="s">
        <v>2352</v>
      </c>
      <c r="B1835" s="5" t="n">
        <v>0.131</v>
      </c>
      <c r="C1835" s="5" t="n">
        <v>0.131</v>
      </c>
      <c r="D1835" s="5" t="n">
        <f aca="false">IF(AND(ISNUMBER(B1835),ISNUMBER(C1835)),C1835-B1835,"")</f>
        <v>0</v>
      </c>
      <c r="E1835" s="4" t="s">
        <v>531</v>
      </c>
    </row>
    <row r="1836" customFormat="false" ht="15" hidden="false" customHeight="false" outlineLevel="0" collapsed="false">
      <c r="A1836" s="4" t="s">
        <v>2353</v>
      </c>
      <c r="B1836" s="5" t="n">
        <v>0.084</v>
      </c>
      <c r="C1836" s="5" t="n">
        <v>0.084</v>
      </c>
      <c r="D1836" s="5" t="n">
        <f aca="false">IF(AND(ISNUMBER(B1836),ISNUMBER(C1836)),C1836-B1836,"")</f>
        <v>0</v>
      </c>
      <c r="E1836" s="4" t="s">
        <v>531</v>
      </c>
    </row>
    <row r="1837" customFormat="false" ht="15" hidden="false" customHeight="false" outlineLevel="0" collapsed="false">
      <c r="A1837" s="4" t="s">
        <v>2354</v>
      </c>
      <c r="B1837" s="5" t="n">
        <v>0.49</v>
      </c>
      <c r="C1837" s="5" t="n">
        <v>0.509</v>
      </c>
      <c r="D1837" s="5" t="n">
        <f aca="false">IF(AND(ISNUMBER(B1837),ISNUMBER(C1837)),C1837-B1837,"")</f>
        <v>0.019</v>
      </c>
      <c r="E1837" s="4" t="s">
        <v>2252</v>
      </c>
    </row>
    <row r="1838" customFormat="false" ht="15" hidden="false" customHeight="false" outlineLevel="0" collapsed="false">
      <c r="A1838" s="4" t="s">
        <v>2355</v>
      </c>
      <c r="B1838" s="5" t="n">
        <v>210</v>
      </c>
      <c r="C1838" s="5" t="n">
        <v>210</v>
      </c>
      <c r="D1838" s="5" t="n">
        <f aca="false">IF(AND(ISNUMBER(B1838),ISNUMBER(C1838)),C1838-B1838,"")</f>
        <v>0</v>
      </c>
      <c r="E1838" s="4" t="s">
        <v>531</v>
      </c>
    </row>
    <row r="1839" customFormat="false" ht="15" hidden="false" customHeight="false" outlineLevel="0" collapsed="false">
      <c r="A1839" s="4" t="s">
        <v>2356</v>
      </c>
      <c r="B1839" s="5" t="n">
        <v>0.538</v>
      </c>
      <c r="C1839" s="5" t="n">
        <v>0.538</v>
      </c>
      <c r="D1839" s="5" t="n">
        <f aca="false">IF(AND(ISNUMBER(B1839),ISNUMBER(C1839)),C1839-B1839,"")</f>
        <v>0</v>
      </c>
      <c r="E1839" s="4" t="s">
        <v>531</v>
      </c>
    </row>
    <row r="1840" customFormat="false" ht="15" hidden="false" customHeight="false" outlineLevel="0" collapsed="false">
      <c r="A1840" s="4" t="s">
        <v>2357</v>
      </c>
      <c r="B1840" s="5" t="n">
        <v>0.145</v>
      </c>
      <c r="C1840" s="5" t="n">
        <v>0.145</v>
      </c>
      <c r="D1840" s="5" t="n">
        <f aca="false">IF(AND(ISNUMBER(B1840),ISNUMBER(C1840)),C1840-B1840,"")</f>
        <v>0</v>
      </c>
      <c r="E1840" s="4" t="s">
        <v>531</v>
      </c>
    </row>
    <row r="1841" customFormat="false" ht="15" hidden="false" customHeight="false" outlineLevel="0" collapsed="false">
      <c r="A1841" s="4" t="s">
        <v>2358</v>
      </c>
      <c r="B1841" s="5" t="n">
        <v>0.145</v>
      </c>
      <c r="C1841" s="5" t="n">
        <v>0.145</v>
      </c>
      <c r="D1841" s="5" t="n">
        <f aca="false">IF(AND(ISNUMBER(B1841),ISNUMBER(C1841)),C1841-B1841,"")</f>
        <v>0</v>
      </c>
      <c r="E1841" s="4" t="s">
        <v>531</v>
      </c>
    </row>
    <row r="1842" customFormat="false" ht="15" hidden="false" customHeight="false" outlineLevel="0" collapsed="false">
      <c r="A1842" s="4" t="s">
        <v>2359</v>
      </c>
      <c r="B1842" s="5" t="n">
        <v>0</v>
      </c>
      <c r="C1842" s="5" t="n">
        <v>0</v>
      </c>
      <c r="D1842" s="5" t="n">
        <f aca="false">IF(AND(ISNUMBER(B1842),ISNUMBER(C1842)),C1842-B1842,"")</f>
        <v>0</v>
      </c>
      <c r="E1842" s="4" t="s">
        <v>531</v>
      </c>
    </row>
    <row r="1843" customFormat="false" ht="15" hidden="false" customHeight="false" outlineLevel="0" collapsed="false">
      <c r="A1843" s="4" t="s">
        <v>2360</v>
      </c>
      <c r="B1843" s="5" t="n">
        <v>0.011</v>
      </c>
      <c r="C1843" s="5" t="n">
        <v>0.009</v>
      </c>
      <c r="D1843" s="5" t="n">
        <f aca="false">IF(AND(ISNUMBER(B1843),ISNUMBER(C1843)),C1843-B1843,"")</f>
        <v>-0.002</v>
      </c>
      <c r="E1843" s="4" t="s">
        <v>2252</v>
      </c>
    </row>
    <row r="1844" customFormat="false" ht="15" hidden="false" customHeight="false" outlineLevel="0" collapsed="false">
      <c r="A1844" s="4" t="s">
        <v>2361</v>
      </c>
      <c r="B1844" s="5" t="n">
        <v>210</v>
      </c>
      <c r="C1844" s="5" t="n">
        <v>210</v>
      </c>
      <c r="D1844" s="5" t="n">
        <f aca="false">IF(AND(ISNUMBER(B1844),ISNUMBER(C1844)),C1844-B1844,"")</f>
        <v>0</v>
      </c>
      <c r="E1844" s="4" t="s">
        <v>531</v>
      </c>
    </row>
    <row r="1845" customFormat="false" ht="15" hidden="false" customHeight="false" outlineLevel="0" collapsed="false">
      <c r="A1845" s="4" t="s">
        <v>2362</v>
      </c>
      <c r="B1845" s="5" t="n">
        <v>0.355</v>
      </c>
      <c r="C1845" s="5" t="n">
        <v>0.355</v>
      </c>
      <c r="D1845" s="5" t="n">
        <f aca="false">IF(AND(ISNUMBER(B1845),ISNUMBER(C1845)),C1845-B1845,"")</f>
        <v>0</v>
      </c>
      <c r="E1845" s="4" t="s">
        <v>531</v>
      </c>
    </row>
    <row r="1846" customFormat="false" ht="15" hidden="false" customHeight="false" outlineLevel="0" collapsed="false">
      <c r="A1846" s="4" t="s">
        <v>2363</v>
      </c>
      <c r="B1846" s="5" t="n">
        <v>0.148</v>
      </c>
      <c r="C1846" s="5" t="n">
        <v>0.148</v>
      </c>
      <c r="D1846" s="5" t="n">
        <f aca="false">IF(AND(ISNUMBER(B1846),ISNUMBER(C1846)),C1846-B1846,"")</f>
        <v>0</v>
      </c>
      <c r="E1846" s="4" t="s">
        <v>531</v>
      </c>
    </row>
    <row r="1847" customFormat="false" ht="15" hidden="false" customHeight="false" outlineLevel="0" collapsed="false">
      <c r="A1847" s="4" t="s">
        <v>2364</v>
      </c>
      <c r="B1847" s="5" t="n">
        <v>0.151</v>
      </c>
      <c r="C1847" s="5" t="n">
        <v>0.151</v>
      </c>
      <c r="D1847" s="5" t="n">
        <f aca="false">IF(AND(ISNUMBER(B1847),ISNUMBER(C1847)),C1847-B1847,"")</f>
        <v>0</v>
      </c>
      <c r="E1847" s="4" t="s">
        <v>531</v>
      </c>
    </row>
    <row r="1848" customFormat="false" ht="15" hidden="false" customHeight="false" outlineLevel="0" collapsed="false">
      <c r="A1848" s="4" t="s">
        <v>2365</v>
      </c>
      <c r="B1848" s="5" t="n">
        <v>0.016</v>
      </c>
      <c r="C1848" s="5" t="n">
        <v>0.016</v>
      </c>
      <c r="D1848" s="5" t="n">
        <f aca="false">IF(AND(ISNUMBER(B1848),ISNUMBER(C1848)),C1848-B1848,"")</f>
        <v>0</v>
      </c>
      <c r="E1848" s="4" t="s">
        <v>531</v>
      </c>
    </row>
    <row r="1849" customFormat="false" ht="15" hidden="false" customHeight="false" outlineLevel="0" collapsed="false">
      <c r="A1849" s="4" t="s">
        <v>2366</v>
      </c>
      <c r="B1849" s="5" t="n">
        <v>0.201</v>
      </c>
      <c r="C1849" s="5" t="n">
        <v>0.224</v>
      </c>
      <c r="D1849" s="5" t="n">
        <f aca="false">IF(AND(ISNUMBER(B1849),ISNUMBER(C1849)),C1849-B1849,"")</f>
        <v>0.023</v>
      </c>
      <c r="E1849" s="4" t="s">
        <v>2252</v>
      </c>
    </row>
    <row r="1850" customFormat="false" ht="15" hidden="false" customHeight="false" outlineLevel="0" collapsed="false">
      <c r="A1850" s="4" t="s">
        <v>2367</v>
      </c>
      <c r="B1850" s="5" t="n">
        <v>210</v>
      </c>
      <c r="C1850" s="5" t="n">
        <v>210</v>
      </c>
      <c r="D1850" s="5" t="n">
        <f aca="false">IF(AND(ISNUMBER(B1850),ISNUMBER(C1850)),C1850-B1850,"")</f>
        <v>0</v>
      </c>
      <c r="E1850" s="4" t="s">
        <v>531</v>
      </c>
    </row>
    <row r="1851" customFormat="false" ht="15" hidden="false" customHeight="false" outlineLevel="0" collapsed="false">
      <c r="A1851" s="4" t="s">
        <v>2368</v>
      </c>
      <c r="B1851" s="5" t="n">
        <v>0.345</v>
      </c>
      <c r="C1851" s="5" t="n">
        <v>0.345</v>
      </c>
      <c r="D1851" s="5" t="n">
        <f aca="false">IF(AND(ISNUMBER(B1851),ISNUMBER(C1851)),C1851-B1851,"")</f>
        <v>0</v>
      </c>
      <c r="E1851" s="4" t="s">
        <v>531</v>
      </c>
    </row>
    <row r="1852" customFormat="false" ht="15" hidden="false" customHeight="false" outlineLevel="0" collapsed="false">
      <c r="A1852" s="4" t="s">
        <v>2369</v>
      </c>
      <c r="B1852" s="5" t="n">
        <v>0.128</v>
      </c>
      <c r="C1852" s="5" t="n">
        <v>0.128</v>
      </c>
      <c r="D1852" s="5" t="n">
        <f aca="false">IF(AND(ISNUMBER(B1852),ISNUMBER(C1852)),C1852-B1852,"")</f>
        <v>0</v>
      </c>
      <c r="E1852" s="4" t="s">
        <v>531</v>
      </c>
    </row>
    <row r="1853" customFormat="false" ht="15" hidden="false" customHeight="false" outlineLevel="0" collapsed="false">
      <c r="A1853" s="4" t="s">
        <v>2370</v>
      </c>
      <c r="B1853" s="5" t="n">
        <v>0.132</v>
      </c>
      <c r="C1853" s="5" t="n">
        <v>0.132</v>
      </c>
      <c r="D1853" s="5" t="n">
        <f aca="false">IF(AND(ISNUMBER(B1853),ISNUMBER(C1853)),C1853-B1853,"")</f>
        <v>0</v>
      </c>
      <c r="E1853" s="4" t="s">
        <v>531</v>
      </c>
    </row>
    <row r="1854" customFormat="false" ht="15" hidden="false" customHeight="false" outlineLevel="0" collapsed="false">
      <c r="A1854" s="4" t="s">
        <v>2371</v>
      </c>
      <c r="B1854" s="5" t="n">
        <v>0.007</v>
      </c>
      <c r="C1854" s="5" t="n">
        <v>0.007</v>
      </c>
      <c r="D1854" s="5" t="n">
        <f aca="false">IF(AND(ISNUMBER(B1854),ISNUMBER(C1854)),C1854-B1854,"")</f>
        <v>0</v>
      </c>
      <c r="E1854" s="4" t="s">
        <v>531</v>
      </c>
    </row>
    <row r="1855" customFormat="false" ht="15" hidden="false" customHeight="false" outlineLevel="0" collapsed="false">
      <c r="A1855" s="4" t="s">
        <v>2372</v>
      </c>
      <c r="B1855" s="5" t="n">
        <v>0.129</v>
      </c>
      <c r="C1855" s="5" t="n">
        <v>0.131</v>
      </c>
      <c r="D1855" s="5" t="n">
        <f aca="false">IF(AND(ISNUMBER(B1855),ISNUMBER(C1855)),C1855-B1855,"")</f>
        <v>0.002</v>
      </c>
      <c r="E1855" s="4" t="s">
        <v>2252</v>
      </c>
    </row>
    <row r="1856" customFormat="false" ht="15" hidden="false" customHeight="false" outlineLevel="0" collapsed="false">
      <c r="A1856" s="4" t="s">
        <v>2373</v>
      </c>
      <c r="B1856" s="5" t="n">
        <v>210</v>
      </c>
      <c r="C1856" s="5" t="n">
        <v>210</v>
      </c>
      <c r="D1856" s="5" t="n">
        <f aca="false">IF(AND(ISNUMBER(B1856),ISNUMBER(C1856)),C1856-B1856,"")</f>
        <v>0</v>
      </c>
      <c r="E1856" s="4" t="s">
        <v>531</v>
      </c>
    </row>
    <row r="1857" customFormat="false" ht="15" hidden="false" customHeight="false" outlineLevel="0" collapsed="false">
      <c r="A1857" s="4" t="s">
        <v>2374</v>
      </c>
      <c r="B1857" s="5" t="n">
        <v>-0.068</v>
      </c>
      <c r="C1857" s="5" t="n">
        <v>-0.068</v>
      </c>
      <c r="D1857" s="5" t="n">
        <f aca="false">IF(AND(ISNUMBER(B1857),ISNUMBER(C1857)),C1857-B1857,"")</f>
        <v>0</v>
      </c>
      <c r="E1857" s="4" t="s">
        <v>531</v>
      </c>
    </row>
    <row r="1858" customFormat="false" ht="15" hidden="false" customHeight="false" outlineLevel="0" collapsed="false">
      <c r="A1858" s="4" t="s">
        <v>2375</v>
      </c>
      <c r="B1858" s="5" t="n">
        <v>0.148</v>
      </c>
      <c r="C1858" s="5" t="n">
        <v>0.148</v>
      </c>
      <c r="D1858" s="5" t="n">
        <f aca="false">IF(AND(ISNUMBER(B1858),ISNUMBER(C1858)),C1858-B1858,"")</f>
        <v>0</v>
      </c>
      <c r="E1858" s="4" t="s">
        <v>531</v>
      </c>
    </row>
    <row r="1859" customFormat="false" ht="15" hidden="false" customHeight="false" outlineLevel="0" collapsed="false">
      <c r="A1859" s="4" t="s">
        <v>2376</v>
      </c>
      <c r="B1859" s="5" t="n">
        <v>0.146</v>
      </c>
      <c r="C1859" s="5" t="n">
        <v>0.146</v>
      </c>
      <c r="D1859" s="5" t="n">
        <f aca="false">IF(AND(ISNUMBER(B1859),ISNUMBER(C1859)),C1859-B1859,"")</f>
        <v>0</v>
      </c>
      <c r="E1859" s="4" t="s">
        <v>531</v>
      </c>
    </row>
    <row r="1860" customFormat="false" ht="15" hidden="false" customHeight="false" outlineLevel="0" collapsed="false">
      <c r="A1860" s="4" t="s">
        <v>2377</v>
      </c>
      <c r="B1860" s="5" t="n">
        <v>0.643</v>
      </c>
      <c r="C1860" s="5" t="n">
        <v>0.643</v>
      </c>
      <c r="D1860" s="5" t="n">
        <f aca="false">IF(AND(ISNUMBER(B1860),ISNUMBER(C1860)),C1860-B1860,"")</f>
        <v>0</v>
      </c>
      <c r="E1860" s="4" t="s">
        <v>531</v>
      </c>
    </row>
    <row r="1861" customFormat="false" ht="15" hidden="false" customHeight="false" outlineLevel="0" collapsed="false">
      <c r="A1861" s="4" t="s">
        <v>2378</v>
      </c>
      <c r="B1861" s="5" t="n">
        <v>0.999</v>
      </c>
      <c r="C1861" s="5" t="n">
        <v>1</v>
      </c>
      <c r="D1861" s="5" t="n">
        <f aca="false">IF(AND(ISNUMBER(B1861),ISNUMBER(C1861)),C1861-B1861,"")</f>
        <v>0.001</v>
      </c>
      <c r="E1861" s="4" t="s">
        <v>2252</v>
      </c>
    </row>
    <row r="1862" customFormat="false" ht="15" hidden="false" customHeight="false" outlineLevel="0" collapsed="false">
      <c r="A1862" s="4" t="s">
        <v>2379</v>
      </c>
      <c r="B1862" s="5" t="n">
        <v>205</v>
      </c>
      <c r="C1862" s="5" t="n">
        <v>205</v>
      </c>
      <c r="D1862" s="5" t="n">
        <f aca="false">IF(AND(ISNUMBER(B1862),ISNUMBER(C1862)),C1862-B1862,"")</f>
        <v>0</v>
      </c>
      <c r="E1862" s="4" t="s">
        <v>531</v>
      </c>
    </row>
    <row r="1863" customFormat="false" ht="23.85" hidden="false" customHeight="false" outlineLevel="0" collapsed="false">
      <c r="A1863" s="4" t="s">
        <v>2380</v>
      </c>
      <c r="B1863" s="5" t="n">
        <v>0.413</v>
      </c>
      <c r="C1863" s="5" t="n">
        <v>0.413</v>
      </c>
      <c r="D1863" s="5" t="n">
        <f aca="false">IF(AND(ISNUMBER(B1863),ISNUMBER(C1863)),C1863-B1863,"")</f>
        <v>0</v>
      </c>
      <c r="E1863" s="4" t="s">
        <v>531</v>
      </c>
    </row>
    <row r="1864" customFormat="false" ht="15" hidden="false" customHeight="false" outlineLevel="0" collapsed="false">
      <c r="A1864" s="4" t="s">
        <v>2381</v>
      </c>
      <c r="B1864" s="5" t="n">
        <v>0.043</v>
      </c>
      <c r="C1864" s="5" t="n">
        <v>0.043</v>
      </c>
      <c r="D1864" s="5" t="n">
        <f aca="false">IF(AND(ISNUMBER(B1864),ISNUMBER(C1864)),C1864-B1864,"")</f>
        <v>0</v>
      </c>
      <c r="E1864" s="4" t="s">
        <v>531</v>
      </c>
    </row>
    <row r="1865" customFormat="false" ht="15" hidden="false" customHeight="false" outlineLevel="0" collapsed="false">
      <c r="A1865" s="4" t="s">
        <v>2382</v>
      </c>
      <c r="B1865" s="5" t="n">
        <v>0.16</v>
      </c>
      <c r="C1865" s="5" t="n">
        <v>0.16</v>
      </c>
      <c r="D1865" s="5" t="n">
        <f aca="false">IF(AND(ISNUMBER(B1865),ISNUMBER(C1865)),C1865-B1865,"")</f>
        <v>0</v>
      </c>
      <c r="E1865" s="4" t="s">
        <v>531</v>
      </c>
    </row>
    <row r="1866" customFormat="false" ht="15" hidden="false" customHeight="false" outlineLevel="0" collapsed="false">
      <c r="A1866" s="4" t="s">
        <v>2383</v>
      </c>
      <c r="B1866" s="5" t="n">
        <v>0.158</v>
      </c>
      <c r="C1866" s="5" t="n">
        <v>0.158</v>
      </c>
      <c r="D1866" s="5" t="n">
        <f aca="false">IF(AND(ISNUMBER(B1866),ISNUMBER(C1866)),C1866-B1866,"")</f>
        <v>0</v>
      </c>
      <c r="E1866" s="4" t="s">
        <v>531</v>
      </c>
    </row>
    <row r="1867" customFormat="false" ht="15" hidden="false" customHeight="false" outlineLevel="0" collapsed="false">
      <c r="A1867" s="4" t="s">
        <v>2384</v>
      </c>
      <c r="B1867" s="5" t="n">
        <v>0.788</v>
      </c>
      <c r="C1867" s="5" t="n">
        <v>0.788</v>
      </c>
      <c r="D1867" s="5" t="n">
        <f aca="false">IF(AND(ISNUMBER(B1867),ISNUMBER(C1867)),C1867-B1867,"")</f>
        <v>0</v>
      </c>
      <c r="E1867" s="4" t="s">
        <v>531</v>
      </c>
    </row>
    <row r="1868" customFormat="false" ht="15" hidden="false" customHeight="false" outlineLevel="0" collapsed="false">
      <c r="A1868" s="4" t="s">
        <v>2385</v>
      </c>
      <c r="B1868" s="5" t="n">
        <v>1</v>
      </c>
      <c r="C1868" s="5" t="n">
        <v>1</v>
      </c>
      <c r="D1868" s="5" t="n">
        <f aca="false">IF(AND(ISNUMBER(B1868),ISNUMBER(C1868)),C1868-B1868,"")</f>
        <v>0</v>
      </c>
      <c r="E1868" s="4" t="s">
        <v>531</v>
      </c>
    </row>
    <row r="1869" customFormat="false" ht="15" hidden="false" customHeight="false" outlineLevel="0" collapsed="false">
      <c r="A1869" s="4" t="s">
        <v>2386</v>
      </c>
      <c r="B1869" s="5" t="n">
        <v>187</v>
      </c>
      <c r="C1869" s="5" t="n">
        <v>187</v>
      </c>
      <c r="D1869" s="5" t="n">
        <f aca="false">IF(AND(ISNUMBER(B1869),ISNUMBER(C1869)),C1869-B1869,"")</f>
        <v>0</v>
      </c>
      <c r="E1869" s="4" t="s">
        <v>531</v>
      </c>
    </row>
    <row r="1870" customFormat="false" ht="23.85" hidden="false" customHeight="false" outlineLevel="0" collapsed="false">
      <c r="A1870" s="4" t="s">
        <v>2387</v>
      </c>
      <c r="B1870" s="5" t="n">
        <v>0.447</v>
      </c>
      <c r="C1870" s="5" t="n">
        <v>0.447</v>
      </c>
      <c r="D1870" s="5" t="n">
        <f aca="false">IF(AND(ISNUMBER(B1870),ISNUMBER(C1870)),C1870-B1870,"")</f>
        <v>0</v>
      </c>
      <c r="E1870" s="4" t="s">
        <v>531</v>
      </c>
    </row>
    <row r="1871" customFormat="false" ht="15" hidden="false" customHeight="false" outlineLevel="0" collapsed="false">
      <c r="A1871" s="4" t="s">
        <v>2388</v>
      </c>
      <c r="B1871" s="5" t="n">
        <v>0.339</v>
      </c>
      <c r="C1871" s="5" t="n">
        <v>0.339</v>
      </c>
      <c r="D1871" s="5" t="n">
        <f aca="false">IF(AND(ISNUMBER(B1871),ISNUMBER(C1871)),C1871-B1871,"")</f>
        <v>0</v>
      </c>
      <c r="E1871" s="4" t="s">
        <v>531</v>
      </c>
    </row>
    <row r="1872" customFormat="false" ht="15" hidden="false" customHeight="false" outlineLevel="0" collapsed="false">
      <c r="A1872" s="4" t="s">
        <v>2389</v>
      </c>
      <c r="B1872" s="5" t="n">
        <v>0.136</v>
      </c>
      <c r="C1872" s="5" t="n">
        <v>0.136</v>
      </c>
      <c r="D1872" s="5" t="n">
        <f aca="false">IF(AND(ISNUMBER(B1872),ISNUMBER(C1872)),C1872-B1872,"")</f>
        <v>0</v>
      </c>
      <c r="E1872" s="4" t="s">
        <v>531</v>
      </c>
    </row>
    <row r="1873" customFormat="false" ht="15" hidden="false" customHeight="false" outlineLevel="0" collapsed="false">
      <c r="A1873" s="4" t="s">
        <v>2390</v>
      </c>
      <c r="B1873" s="5" t="n">
        <v>0.134</v>
      </c>
      <c r="C1873" s="5" t="n">
        <v>0.134</v>
      </c>
      <c r="D1873" s="5" t="n">
        <f aca="false">IF(AND(ISNUMBER(B1873),ISNUMBER(C1873)),C1873-B1873,"")</f>
        <v>0</v>
      </c>
      <c r="E1873" s="4" t="s">
        <v>531</v>
      </c>
    </row>
    <row r="1874" customFormat="false" ht="15" hidden="false" customHeight="false" outlineLevel="0" collapsed="false">
      <c r="A1874" s="4" t="s">
        <v>2391</v>
      </c>
      <c r="B1874" s="5" t="n">
        <v>0.013</v>
      </c>
      <c r="C1874" s="5" t="n">
        <v>0.013</v>
      </c>
      <c r="D1874" s="5" t="n">
        <f aca="false">IF(AND(ISNUMBER(B1874),ISNUMBER(C1874)),C1874-B1874,"")</f>
        <v>0</v>
      </c>
      <c r="E1874" s="4" t="s">
        <v>531</v>
      </c>
    </row>
    <row r="1875" customFormat="false" ht="15" hidden="false" customHeight="false" outlineLevel="0" collapsed="false">
      <c r="A1875" s="4" t="s">
        <v>2392</v>
      </c>
      <c r="B1875" s="5" t="n">
        <v>0.155</v>
      </c>
      <c r="C1875" s="5" t="n">
        <v>0.177</v>
      </c>
      <c r="D1875" s="5" t="n">
        <f aca="false">IF(AND(ISNUMBER(B1875),ISNUMBER(C1875)),C1875-B1875,"")</f>
        <v>0.022</v>
      </c>
      <c r="E1875" s="4" t="s">
        <v>2252</v>
      </c>
    </row>
    <row r="1876" customFormat="false" ht="15" hidden="false" customHeight="false" outlineLevel="0" collapsed="false">
      <c r="A1876" s="4" t="s">
        <v>2393</v>
      </c>
      <c r="B1876" s="5" t="n">
        <v>211</v>
      </c>
      <c r="C1876" s="5" t="n">
        <v>211</v>
      </c>
      <c r="D1876" s="5" t="n">
        <f aca="false">IF(AND(ISNUMBER(B1876),ISNUMBER(C1876)),C1876-B1876,"")</f>
        <v>0</v>
      </c>
      <c r="E1876" s="4" t="s">
        <v>531</v>
      </c>
    </row>
    <row r="1877" customFormat="false" ht="15" hidden="false" customHeight="false" outlineLevel="0" collapsed="false">
      <c r="A1877" s="4" t="s">
        <v>2394</v>
      </c>
      <c r="B1877" s="5" t="n">
        <v>0.381</v>
      </c>
      <c r="C1877" s="5" t="n">
        <v>0.381</v>
      </c>
      <c r="D1877" s="5" t="n">
        <f aca="false">IF(AND(ISNUMBER(B1877),ISNUMBER(C1877)),C1877-B1877,"")</f>
        <v>0</v>
      </c>
      <c r="E1877" s="4" t="s">
        <v>531</v>
      </c>
    </row>
    <row r="1878" customFormat="false" ht="15" hidden="false" customHeight="false" outlineLevel="0" collapsed="false">
      <c r="A1878" s="4" t="s">
        <v>2395</v>
      </c>
      <c r="B1878" s="5" t="n">
        <v>-0.145</v>
      </c>
      <c r="C1878" s="5" t="n">
        <v>-0.145</v>
      </c>
      <c r="D1878" s="5" t="n">
        <f aca="false">IF(AND(ISNUMBER(B1878),ISNUMBER(C1878)),C1878-B1878,"")</f>
        <v>0</v>
      </c>
      <c r="E1878" s="4" t="s">
        <v>531</v>
      </c>
    </row>
    <row r="1879" customFormat="false" ht="15" hidden="false" customHeight="false" outlineLevel="0" collapsed="false">
      <c r="A1879" s="4" t="s">
        <v>2396</v>
      </c>
      <c r="B1879" s="5" t="n">
        <v>0.215</v>
      </c>
      <c r="C1879" s="5" t="n">
        <v>0.215</v>
      </c>
      <c r="D1879" s="5" t="n">
        <f aca="false">IF(AND(ISNUMBER(B1879),ISNUMBER(C1879)),C1879-B1879,"")</f>
        <v>0</v>
      </c>
      <c r="E1879" s="4" t="s">
        <v>531</v>
      </c>
    </row>
    <row r="1880" customFormat="false" ht="15" hidden="false" customHeight="false" outlineLevel="0" collapsed="false">
      <c r="A1880" s="4" t="s">
        <v>2397</v>
      </c>
      <c r="B1880" s="5" t="n">
        <v>0.212</v>
      </c>
      <c r="C1880" s="5" t="n">
        <v>0.212</v>
      </c>
      <c r="D1880" s="5" t="n">
        <f aca="false">IF(AND(ISNUMBER(B1880),ISNUMBER(C1880)),C1880-B1880,"")</f>
        <v>0</v>
      </c>
      <c r="E1880" s="4" t="s">
        <v>531</v>
      </c>
    </row>
    <row r="1881" customFormat="false" ht="15" hidden="false" customHeight="false" outlineLevel="0" collapsed="false">
      <c r="A1881" s="4" t="s">
        <v>2398</v>
      </c>
      <c r="B1881" s="5" t="n">
        <v>0.5</v>
      </c>
      <c r="C1881" s="5" t="n">
        <v>0.5</v>
      </c>
      <c r="D1881" s="5" t="n">
        <f aca="false">IF(AND(ISNUMBER(B1881),ISNUMBER(C1881)),C1881-B1881,"")</f>
        <v>0</v>
      </c>
      <c r="E1881" s="4" t="s">
        <v>531</v>
      </c>
    </row>
    <row r="1882" customFormat="false" ht="15" hidden="false" customHeight="false" outlineLevel="0" collapsed="false">
      <c r="A1882" s="4" t="s">
        <v>2399</v>
      </c>
      <c r="B1882" s="5" t="n">
        <v>0.998</v>
      </c>
      <c r="C1882" s="5" t="n">
        <v>0.998</v>
      </c>
      <c r="D1882" s="5" t="n">
        <f aca="false">IF(AND(ISNUMBER(B1882),ISNUMBER(C1882)),C1882-B1882,"")</f>
        <v>0</v>
      </c>
      <c r="E1882" s="4" t="s">
        <v>531</v>
      </c>
    </row>
    <row r="1883" customFormat="false" ht="15" hidden="false" customHeight="false" outlineLevel="0" collapsed="false">
      <c r="A1883" s="4" t="s">
        <v>2400</v>
      </c>
      <c r="B1883" s="5" t="n">
        <v>193</v>
      </c>
      <c r="C1883" s="5" t="n">
        <v>193</v>
      </c>
      <c r="D1883" s="5" t="n">
        <f aca="false">IF(AND(ISNUMBER(B1883),ISNUMBER(C1883)),C1883-B1883,"")</f>
        <v>0</v>
      </c>
      <c r="E1883" s="4" t="s">
        <v>531</v>
      </c>
    </row>
    <row r="1884" customFormat="false" ht="23.85" hidden="false" customHeight="false" outlineLevel="0" collapsed="false">
      <c r="A1884" s="4" t="s">
        <v>2401</v>
      </c>
      <c r="B1884" s="5" t="n">
        <v>0.603</v>
      </c>
      <c r="C1884" s="5" t="n">
        <v>0.603</v>
      </c>
      <c r="D1884" s="5" t="n">
        <f aca="false">IF(AND(ISNUMBER(B1884),ISNUMBER(C1884)),C1884-B1884,"")</f>
        <v>0</v>
      </c>
      <c r="E1884" s="4" t="s">
        <v>531</v>
      </c>
    </row>
    <row r="1885" customFormat="false" ht="15" hidden="false" customHeight="false" outlineLevel="0" collapsed="false">
      <c r="A1885" s="4" t="s">
        <v>2402</v>
      </c>
      <c r="B1885" s="5" t="n">
        <v>0.136</v>
      </c>
      <c r="C1885" s="5" t="n">
        <v>0.136</v>
      </c>
      <c r="D1885" s="5" t="n">
        <f aca="false">IF(AND(ISNUMBER(B1885),ISNUMBER(C1885)),C1885-B1885,"")</f>
        <v>0</v>
      </c>
      <c r="E1885" s="4" t="s">
        <v>531</v>
      </c>
    </row>
    <row r="1886" customFormat="false" ht="15" hidden="false" customHeight="false" outlineLevel="0" collapsed="false">
      <c r="A1886" s="4" t="s">
        <v>2403</v>
      </c>
      <c r="B1886" s="5" t="n">
        <v>0.1</v>
      </c>
      <c r="C1886" s="5" t="n">
        <v>0.1</v>
      </c>
      <c r="D1886" s="5" t="n">
        <f aca="false">IF(AND(ISNUMBER(B1886),ISNUMBER(C1886)),C1886-B1886,"")</f>
        <v>0</v>
      </c>
      <c r="E1886" s="4" t="s">
        <v>531</v>
      </c>
    </row>
    <row r="1887" customFormat="false" ht="15" hidden="false" customHeight="false" outlineLevel="0" collapsed="false">
      <c r="A1887" s="4" t="s">
        <v>2404</v>
      </c>
      <c r="B1887" s="5" t="n">
        <v>0.1</v>
      </c>
      <c r="C1887" s="5" t="n">
        <v>0.1</v>
      </c>
      <c r="D1887" s="5" t="n">
        <f aca="false">IF(AND(ISNUMBER(B1887),ISNUMBER(C1887)),C1887-B1887,"")</f>
        <v>0</v>
      </c>
      <c r="E1887" s="4" t="s">
        <v>531</v>
      </c>
    </row>
    <row r="1888" customFormat="false" ht="15" hidden="false" customHeight="false" outlineLevel="0" collapsed="false">
      <c r="A1888" s="4" t="s">
        <v>2405</v>
      </c>
      <c r="B1888" s="5" t="n">
        <v>0.173</v>
      </c>
      <c r="C1888" s="5" t="n">
        <v>0.173</v>
      </c>
      <c r="D1888" s="5" t="n">
        <f aca="false">IF(AND(ISNUMBER(B1888),ISNUMBER(C1888)),C1888-B1888,"")</f>
        <v>0</v>
      </c>
      <c r="E1888" s="4" t="s">
        <v>531</v>
      </c>
    </row>
    <row r="1889" customFormat="false" ht="15" hidden="false" customHeight="false" outlineLevel="0" collapsed="false">
      <c r="A1889" s="4" t="s">
        <v>2406</v>
      </c>
      <c r="B1889" s="5" t="n">
        <v>0.887</v>
      </c>
      <c r="C1889" s="5" t="n">
        <v>0.902</v>
      </c>
      <c r="D1889" s="5" t="n">
        <f aca="false">IF(AND(ISNUMBER(B1889),ISNUMBER(C1889)),C1889-B1889,"")</f>
        <v>0.015</v>
      </c>
      <c r="E1889" s="4" t="s">
        <v>2252</v>
      </c>
    </row>
    <row r="1890" customFormat="false" ht="15" hidden="false" customHeight="false" outlineLevel="0" collapsed="false">
      <c r="A1890" s="4" t="s">
        <v>2407</v>
      </c>
      <c r="B1890" s="5" t="n">
        <v>211</v>
      </c>
      <c r="C1890" s="5" t="n">
        <v>211</v>
      </c>
      <c r="D1890" s="5" t="n">
        <f aca="false">IF(AND(ISNUMBER(B1890),ISNUMBER(C1890)),C1890-B1890,"")</f>
        <v>0</v>
      </c>
      <c r="E1890" s="4" t="s">
        <v>531</v>
      </c>
    </row>
    <row r="1891" customFormat="false" ht="15" hidden="false" customHeight="false" outlineLevel="0" collapsed="false">
      <c r="A1891" s="4" t="s">
        <v>2408</v>
      </c>
      <c r="B1891" s="5" t="n">
        <v>0.279</v>
      </c>
      <c r="C1891" s="5" t="n">
        <v>0.279</v>
      </c>
      <c r="D1891" s="5" t="n">
        <f aca="false">IF(AND(ISNUMBER(B1891),ISNUMBER(C1891)),C1891-B1891,"")</f>
        <v>0</v>
      </c>
      <c r="E1891" s="4" t="s">
        <v>531</v>
      </c>
    </row>
    <row r="1892" customFormat="false" ht="15" hidden="false" customHeight="false" outlineLevel="0" collapsed="false">
      <c r="A1892" s="4" t="s">
        <v>2409</v>
      </c>
      <c r="B1892" s="5" t="n">
        <v>0.419</v>
      </c>
      <c r="C1892" s="5" t="n">
        <v>0.419</v>
      </c>
      <c r="D1892" s="5" t="n">
        <f aca="false">IF(AND(ISNUMBER(B1892),ISNUMBER(C1892)),C1892-B1892,"")</f>
        <v>0</v>
      </c>
      <c r="E1892" s="4" t="s">
        <v>531</v>
      </c>
    </row>
    <row r="1893" customFormat="false" ht="15" hidden="false" customHeight="false" outlineLevel="0" collapsed="false">
      <c r="A1893" s="4" t="s">
        <v>2410</v>
      </c>
      <c r="B1893" s="5" t="n">
        <v>0.79</v>
      </c>
      <c r="C1893" s="5" t="n">
        <v>0.79</v>
      </c>
      <c r="D1893" s="5" t="n">
        <f aca="false">IF(AND(ISNUMBER(B1893),ISNUMBER(C1893)),C1893-B1893,"")</f>
        <v>0</v>
      </c>
      <c r="E1893" s="4" t="s">
        <v>531</v>
      </c>
    </row>
    <row r="1894" customFormat="false" ht="15" hidden="false" customHeight="false" outlineLevel="0" collapsed="false">
      <c r="A1894" s="4" t="s">
        <v>2411</v>
      </c>
      <c r="B1894" s="5" t="n">
        <v>0.799</v>
      </c>
      <c r="C1894" s="5" t="n">
        <v>0.799</v>
      </c>
      <c r="D1894" s="5" t="n">
        <f aca="false">IF(AND(ISNUMBER(B1894),ISNUMBER(C1894)),C1894-B1894,"")</f>
        <v>0</v>
      </c>
      <c r="E1894" s="4" t="s">
        <v>531</v>
      </c>
    </row>
    <row r="1895" customFormat="false" ht="15" hidden="false" customHeight="false" outlineLevel="0" collapsed="false">
      <c r="A1895" s="4" t="s">
        <v>2412</v>
      </c>
      <c r="B1895" s="5" t="n">
        <v>0.596</v>
      </c>
      <c r="C1895" s="5" t="n">
        <v>0.596</v>
      </c>
      <c r="D1895" s="5" t="n">
        <f aca="false">IF(AND(ISNUMBER(B1895),ISNUMBER(C1895)),C1895-B1895,"")</f>
        <v>0</v>
      </c>
      <c r="E1895" s="4" t="s">
        <v>531</v>
      </c>
    </row>
    <row r="1896" customFormat="false" ht="15" hidden="false" customHeight="false" outlineLevel="0" collapsed="false">
      <c r="A1896" s="4" t="s">
        <v>2413</v>
      </c>
      <c r="B1896" s="5" t="n">
        <v>0.999</v>
      </c>
      <c r="C1896" s="5" t="n">
        <v>1</v>
      </c>
      <c r="D1896" s="5" t="n">
        <f aca="false">IF(AND(ISNUMBER(B1896),ISNUMBER(C1896)),C1896-B1896,"")</f>
        <v>0.001</v>
      </c>
      <c r="E1896" s="4" t="s">
        <v>2252</v>
      </c>
    </row>
    <row r="1897" customFormat="false" ht="15" hidden="false" customHeight="false" outlineLevel="0" collapsed="false">
      <c r="A1897" s="4" t="s">
        <v>2414</v>
      </c>
      <c r="B1897" s="5" t="n">
        <v>210</v>
      </c>
      <c r="C1897" s="5" t="n">
        <v>210</v>
      </c>
      <c r="D1897" s="5" t="n">
        <f aca="false">IF(AND(ISNUMBER(B1897),ISNUMBER(C1897)),C1897-B1897,"")</f>
        <v>0</v>
      </c>
      <c r="E1897" s="4" t="s">
        <v>531</v>
      </c>
    </row>
    <row r="1898" customFormat="false" ht="23.85" hidden="false" customHeight="false" outlineLevel="0" collapsed="false">
      <c r="A1898" s="4" t="s">
        <v>2415</v>
      </c>
      <c r="B1898" s="5" t="n">
        <v>2.211</v>
      </c>
      <c r="C1898" s="5" t="n">
        <v>2.211</v>
      </c>
      <c r="D1898" s="5" t="n">
        <f aca="false">IF(AND(ISNUMBER(B1898),ISNUMBER(C1898)),C1898-B1898,"")</f>
        <v>0</v>
      </c>
      <c r="E1898" s="4" t="s">
        <v>531</v>
      </c>
    </row>
    <row r="1899" customFormat="false" ht="15" hidden="false" customHeight="false" outlineLevel="0" collapsed="false">
      <c r="A1899" s="4" t="s">
        <v>2416</v>
      </c>
      <c r="B1899" s="5" t="n">
        <v>0.08</v>
      </c>
      <c r="C1899" s="5" t="n">
        <v>0.08</v>
      </c>
      <c r="D1899" s="5" t="n">
        <f aca="false">IF(AND(ISNUMBER(B1899),ISNUMBER(C1899)),C1899-B1899,"")</f>
        <v>0</v>
      </c>
      <c r="E1899" s="4" t="s">
        <v>531</v>
      </c>
    </row>
    <row r="1900" customFormat="false" ht="15" hidden="false" customHeight="false" outlineLevel="0" collapsed="false">
      <c r="A1900" s="4" t="s">
        <v>2417</v>
      </c>
      <c r="B1900" s="5" t="n">
        <v>0.136</v>
      </c>
      <c r="C1900" s="5" t="n">
        <v>0.136</v>
      </c>
      <c r="D1900" s="5" t="n">
        <f aca="false">IF(AND(ISNUMBER(B1900),ISNUMBER(C1900)),C1900-B1900,"")</f>
        <v>0</v>
      </c>
      <c r="E1900" s="4" t="s">
        <v>531</v>
      </c>
    </row>
    <row r="1901" customFormat="false" ht="15" hidden="false" customHeight="false" outlineLevel="0" collapsed="false">
      <c r="A1901" s="4" t="s">
        <v>2418</v>
      </c>
      <c r="B1901" s="5" t="n">
        <v>0.136</v>
      </c>
      <c r="C1901" s="5" t="n">
        <v>0.136</v>
      </c>
      <c r="D1901" s="5" t="n">
        <f aca="false">IF(AND(ISNUMBER(B1901),ISNUMBER(C1901)),C1901-B1901,"")</f>
        <v>0</v>
      </c>
      <c r="E1901" s="4" t="s">
        <v>531</v>
      </c>
    </row>
    <row r="1902" customFormat="false" ht="15" hidden="false" customHeight="false" outlineLevel="0" collapsed="false">
      <c r="A1902" s="4" t="s">
        <v>2419</v>
      </c>
      <c r="B1902" s="5" t="n">
        <v>0.558</v>
      </c>
      <c r="C1902" s="5" t="n">
        <v>0.558</v>
      </c>
      <c r="D1902" s="5" t="n">
        <f aca="false">IF(AND(ISNUMBER(B1902),ISNUMBER(C1902)),C1902-B1902,"")</f>
        <v>0</v>
      </c>
      <c r="E1902" s="4" t="s">
        <v>531</v>
      </c>
    </row>
    <row r="1903" customFormat="false" ht="15" hidden="false" customHeight="false" outlineLevel="0" collapsed="false">
      <c r="A1903" s="4" t="s">
        <v>2420</v>
      </c>
      <c r="B1903" s="5" t="n">
        <v>0.999</v>
      </c>
      <c r="C1903" s="5" t="n">
        <v>0.998</v>
      </c>
      <c r="D1903" s="5" t="n">
        <f aca="false">IF(AND(ISNUMBER(B1903),ISNUMBER(C1903)),C1903-B1903,"")</f>
        <v>-0.001</v>
      </c>
      <c r="E1903" s="4" t="s">
        <v>2252</v>
      </c>
    </row>
    <row r="1904" customFormat="false" ht="15" hidden="false" customHeight="false" outlineLevel="0" collapsed="false">
      <c r="A1904" s="4" t="s">
        <v>2421</v>
      </c>
      <c r="B1904" s="5" t="n">
        <v>210</v>
      </c>
      <c r="C1904" s="5" t="n">
        <v>210</v>
      </c>
      <c r="D1904" s="5" t="n">
        <f aca="false">IF(AND(ISNUMBER(B1904),ISNUMBER(C1904)),C1904-B1904,"")</f>
        <v>0</v>
      </c>
      <c r="E1904" s="4" t="s">
        <v>531</v>
      </c>
    </row>
    <row r="1905" customFormat="false" ht="15" hidden="false" customHeight="false" outlineLevel="0" collapsed="false">
      <c r="A1905" s="4" t="s">
        <v>2422</v>
      </c>
      <c r="B1905" s="5" t="n">
        <v>0.381</v>
      </c>
      <c r="C1905" s="5" t="n">
        <v>0.381</v>
      </c>
      <c r="D1905" s="5" t="n">
        <f aca="false">IF(AND(ISNUMBER(B1905),ISNUMBER(C1905)),C1905-B1905,"")</f>
        <v>0</v>
      </c>
      <c r="E1905" s="4" t="s">
        <v>531</v>
      </c>
    </row>
    <row r="1906" customFormat="false" ht="15" hidden="false" customHeight="false" outlineLevel="0" collapsed="false">
      <c r="A1906" s="4" t="s">
        <v>2423</v>
      </c>
      <c r="B1906" s="5" t="n">
        <v>-0.068</v>
      </c>
      <c r="C1906" s="5" t="n">
        <v>-0.068</v>
      </c>
      <c r="D1906" s="5" t="n">
        <f aca="false">IF(AND(ISNUMBER(B1906),ISNUMBER(C1906)),C1906-B1906,"")</f>
        <v>0</v>
      </c>
      <c r="E1906" s="4" t="s">
        <v>531</v>
      </c>
    </row>
    <row r="1907" customFormat="false" ht="15" hidden="false" customHeight="false" outlineLevel="0" collapsed="false">
      <c r="A1907" s="4" t="s">
        <v>2424</v>
      </c>
      <c r="B1907" s="5" t="n">
        <v>0.133</v>
      </c>
      <c r="C1907" s="5" t="n">
        <v>0.133</v>
      </c>
      <c r="D1907" s="5" t="n">
        <f aca="false">IF(AND(ISNUMBER(B1907),ISNUMBER(C1907)),C1907-B1907,"")</f>
        <v>0</v>
      </c>
      <c r="E1907" s="4" t="s">
        <v>531</v>
      </c>
    </row>
    <row r="1908" customFormat="false" ht="15" hidden="false" customHeight="false" outlineLevel="0" collapsed="false">
      <c r="A1908" s="4" t="s">
        <v>2425</v>
      </c>
      <c r="B1908" s="5" t="n">
        <v>0.133</v>
      </c>
      <c r="C1908" s="5" t="n">
        <v>0.133</v>
      </c>
      <c r="D1908" s="5" t="n">
        <f aca="false">IF(AND(ISNUMBER(B1908),ISNUMBER(C1908)),C1908-B1908,"")</f>
        <v>0</v>
      </c>
      <c r="E1908" s="4" t="s">
        <v>531</v>
      </c>
    </row>
    <row r="1909" customFormat="false" ht="15" hidden="false" customHeight="false" outlineLevel="0" collapsed="false">
      <c r="A1909" s="4" t="s">
        <v>2426</v>
      </c>
      <c r="B1909" s="5" t="n">
        <v>0.611</v>
      </c>
      <c r="C1909" s="5" t="n">
        <v>0.611</v>
      </c>
      <c r="D1909" s="5" t="n">
        <f aca="false">IF(AND(ISNUMBER(B1909),ISNUMBER(C1909)),C1909-B1909,"")</f>
        <v>0</v>
      </c>
      <c r="E1909" s="4" t="s">
        <v>531</v>
      </c>
    </row>
    <row r="1910" customFormat="false" ht="15" hidden="false" customHeight="false" outlineLevel="0" collapsed="false">
      <c r="A1910" s="4" t="s">
        <v>2427</v>
      </c>
      <c r="B1910" s="5" t="n">
        <v>0.999</v>
      </c>
      <c r="C1910" s="5" t="n">
        <v>1</v>
      </c>
      <c r="D1910" s="5" t="n">
        <f aca="false">IF(AND(ISNUMBER(B1910),ISNUMBER(C1910)),C1910-B1910,"")</f>
        <v>0.001</v>
      </c>
      <c r="E1910" s="4" t="s">
        <v>2252</v>
      </c>
    </row>
    <row r="1911" customFormat="false" ht="15" hidden="false" customHeight="false" outlineLevel="0" collapsed="false">
      <c r="A1911" s="4" t="s">
        <v>2428</v>
      </c>
      <c r="B1911" s="5" t="n">
        <v>210</v>
      </c>
      <c r="C1911" s="5" t="n">
        <v>210</v>
      </c>
      <c r="D1911" s="5" t="n">
        <f aca="false">IF(AND(ISNUMBER(B1911),ISNUMBER(C1911)),C1911-B1911,"")</f>
        <v>0</v>
      </c>
      <c r="E1911" s="4" t="s">
        <v>531</v>
      </c>
    </row>
    <row r="1912" customFormat="false" ht="15" hidden="false" customHeight="false" outlineLevel="0" collapsed="false">
      <c r="A1912" s="4" t="s">
        <v>2429</v>
      </c>
      <c r="B1912" s="5" t="n">
        <v>0.373</v>
      </c>
      <c r="C1912" s="5" t="n">
        <v>0.373</v>
      </c>
      <c r="D1912" s="5" t="n">
        <f aca="false">IF(AND(ISNUMBER(B1912),ISNUMBER(C1912)),C1912-B1912,"")</f>
        <v>0</v>
      </c>
      <c r="E1912" s="4" t="s">
        <v>531</v>
      </c>
    </row>
    <row r="1913" customFormat="false" ht="15" hidden="false" customHeight="false" outlineLevel="0" collapsed="false">
      <c r="A1913" s="4" t="s">
        <v>2430</v>
      </c>
      <c r="B1913" s="5" t="n">
        <v>-0.038</v>
      </c>
      <c r="C1913" s="5" t="n">
        <v>-0.038</v>
      </c>
      <c r="D1913" s="5" t="n">
        <f aca="false">IF(AND(ISNUMBER(B1913),ISNUMBER(C1913)),C1913-B1913,"")</f>
        <v>0</v>
      </c>
      <c r="E1913" s="4" t="s">
        <v>531</v>
      </c>
    </row>
    <row r="1914" customFormat="false" ht="15" hidden="false" customHeight="false" outlineLevel="0" collapsed="false">
      <c r="A1914" s="4" t="s">
        <v>2431</v>
      </c>
      <c r="B1914" s="5" t="n">
        <v>0.131</v>
      </c>
      <c r="C1914" s="5" t="n">
        <v>0.131</v>
      </c>
      <c r="D1914" s="5" t="n">
        <f aca="false">IF(AND(ISNUMBER(B1914),ISNUMBER(C1914)),C1914-B1914,"")</f>
        <v>0</v>
      </c>
      <c r="E1914" s="4" t="s">
        <v>531</v>
      </c>
    </row>
    <row r="1915" customFormat="false" ht="15" hidden="false" customHeight="false" outlineLevel="0" collapsed="false">
      <c r="A1915" s="4" t="s">
        <v>2432</v>
      </c>
      <c r="B1915" s="5" t="n">
        <v>0.132</v>
      </c>
      <c r="C1915" s="5" t="n">
        <v>0.132</v>
      </c>
      <c r="D1915" s="5" t="n">
        <f aca="false">IF(AND(ISNUMBER(B1915),ISNUMBER(C1915)),C1915-B1915,"")</f>
        <v>0</v>
      </c>
      <c r="E1915" s="4" t="s">
        <v>531</v>
      </c>
    </row>
    <row r="1916" customFormat="false" ht="15" hidden="false" customHeight="false" outlineLevel="0" collapsed="false">
      <c r="A1916" s="4" t="s">
        <v>2433</v>
      </c>
      <c r="B1916" s="5" t="n">
        <v>0.771</v>
      </c>
      <c r="C1916" s="5" t="n">
        <v>0.771</v>
      </c>
      <c r="D1916" s="5" t="n">
        <f aca="false">IF(AND(ISNUMBER(B1916),ISNUMBER(C1916)),C1916-B1916,"")</f>
        <v>0</v>
      </c>
      <c r="E1916" s="4" t="s">
        <v>531</v>
      </c>
    </row>
    <row r="1917" customFormat="false" ht="15" hidden="false" customHeight="false" outlineLevel="0" collapsed="false">
      <c r="A1917" s="4" t="s">
        <v>2434</v>
      </c>
      <c r="B1917" s="5" t="n">
        <v>0.999</v>
      </c>
      <c r="C1917" s="5" t="n">
        <v>1</v>
      </c>
      <c r="D1917" s="5" t="n">
        <f aca="false">IF(AND(ISNUMBER(B1917),ISNUMBER(C1917)),C1917-B1917,"")</f>
        <v>0.001</v>
      </c>
      <c r="E1917" s="4" t="s">
        <v>2252</v>
      </c>
    </row>
    <row r="1918" customFormat="false" ht="15" hidden="false" customHeight="false" outlineLevel="0" collapsed="false">
      <c r="A1918" s="4" t="s">
        <v>2435</v>
      </c>
      <c r="B1918" s="5" t="n">
        <v>210</v>
      </c>
      <c r="C1918" s="5" t="n">
        <v>210</v>
      </c>
      <c r="D1918" s="5" t="n">
        <f aca="false">IF(AND(ISNUMBER(B1918),ISNUMBER(C1918)),C1918-B1918,"")</f>
        <v>0</v>
      </c>
      <c r="E1918" s="4" t="s">
        <v>531</v>
      </c>
    </row>
    <row r="1919" customFormat="false" ht="15" hidden="false" customHeight="false" outlineLevel="0" collapsed="false">
      <c r="A1919" s="4" t="s">
        <v>2436</v>
      </c>
      <c r="B1919" s="5" t="n">
        <v>0.366</v>
      </c>
      <c r="C1919" s="5" t="n">
        <v>0.366</v>
      </c>
      <c r="D1919" s="5" t="n">
        <f aca="false">IF(AND(ISNUMBER(B1919),ISNUMBER(C1919)),C1919-B1919,"")</f>
        <v>0</v>
      </c>
      <c r="E1919" s="4" t="s">
        <v>531</v>
      </c>
    </row>
    <row r="1920" customFormat="false" ht="15" hidden="false" customHeight="false" outlineLevel="0" collapsed="false">
      <c r="A1920" s="4" t="s">
        <v>2437</v>
      </c>
      <c r="B1920" s="5" t="n">
        <v>0.118</v>
      </c>
      <c r="C1920" s="5" t="n">
        <v>0.118</v>
      </c>
      <c r="D1920" s="5" t="n">
        <f aca="false">IF(AND(ISNUMBER(B1920),ISNUMBER(C1920)),C1920-B1920,"")</f>
        <v>0</v>
      </c>
      <c r="E1920" s="4" t="s">
        <v>531</v>
      </c>
    </row>
    <row r="1921" customFormat="false" ht="15" hidden="false" customHeight="false" outlineLevel="0" collapsed="false">
      <c r="A1921" s="4" t="s">
        <v>2438</v>
      </c>
      <c r="B1921" s="5" t="n">
        <v>0.141</v>
      </c>
      <c r="C1921" s="5" t="n">
        <v>0.141</v>
      </c>
      <c r="D1921" s="5" t="n">
        <f aca="false">IF(AND(ISNUMBER(B1921),ISNUMBER(C1921)),C1921-B1921,"")</f>
        <v>0</v>
      </c>
      <c r="E1921" s="4" t="s">
        <v>531</v>
      </c>
    </row>
    <row r="1922" customFormat="false" ht="15" hidden="false" customHeight="false" outlineLevel="0" collapsed="false">
      <c r="A1922" s="4" t="s">
        <v>2439</v>
      </c>
      <c r="B1922" s="5" t="n">
        <v>0.14</v>
      </c>
      <c r="C1922" s="5" t="n">
        <v>0.14</v>
      </c>
      <c r="D1922" s="5" t="n">
        <f aca="false">IF(AND(ISNUMBER(B1922),ISNUMBER(C1922)),C1922-B1922,"")</f>
        <v>0</v>
      </c>
      <c r="E1922" s="4" t="s">
        <v>531</v>
      </c>
    </row>
    <row r="1923" customFormat="false" ht="15" hidden="false" customHeight="false" outlineLevel="0" collapsed="false">
      <c r="A1923" s="4" t="s">
        <v>2440</v>
      </c>
      <c r="B1923" s="5" t="n">
        <v>0.404</v>
      </c>
      <c r="C1923" s="5" t="n">
        <v>0.404</v>
      </c>
      <c r="D1923" s="5" t="n">
        <f aca="false">IF(AND(ISNUMBER(B1923),ISNUMBER(C1923)),C1923-B1923,"")</f>
        <v>0</v>
      </c>
      <c r="E1923" s="4" t="s">
        <v>531</v>
      </c>
    </row>
    <row r="1924" customFormat="false" ht="15" hidden="false" customHeight="false" outlineLevel="0" collapsed="false">
      <c r="A1924" s="4" t="s">
        <v>2441</v>
      </c>
      <c r="B1924" s="5" t="n">
        <v>0.996</v>
      </c>
      <c r="C1924" s="5" t="n">
        <v>0.998</v>
      </c>
      <c r="D1924" s="5" t="n">
        <f aca="false">IF(AND(ISNUMBER(B1924),ISNUMBER(C1924)),C1924-B1924,"")</f>
        <v>0.002</v>
      </c>
      <c r="E1924" s="4" t="s">
        <v>2252</v>
      </c>
    </row>
    <row r="1925" customFormat="false" ht="15" hidden="false" customHeight="false" outlineLevel="0" collapsed="false">
      <c r="A1925" s="4" t="s">
        <v>2442</v>
      </c>
      <c r="B1925" s="5" t="n">
        <v>210</v>
      </c>
      <c r="C1925" s="5" t="n">
        <v>210</v>
      </c>
      <c r="D1925" s="5" t="n">
        <f aca="false">IF(AND(ISNUMBER(B1925),ISNUMBER(C1925)),C1925-B1925,"")</f>
        <v>0</v>
      </c>
      <c r="E1925" s="4" t="s">
        <v>531</v>
      </c>
    </row>
    <row r="1926" customFormat="false" ht="15" hidden="false" customHeight="false" outlineLevel="0" collapsed="false">
      <c r="A1926" s="4" t="s">
        <v>2443</v>
      </c>
      <c r="B1926" s="5" t="n">
        <v>0.395</v>
      </c>
      <c r="C1926" s="5" t="n">
        <v>0.395</v>
      </c>
      <c r="D1926" s="5" t="n">
        <f aca="false">IF(AND(ISNUMBER(B1926),ISNUMBER(C1926)),C1926-B1926,"")</f>
        <v>0</v>
      </c>
      <c r="E1926" s="4" t="s">
        <v>531</v>
      </c>
    </row>
    <row r="1927" customFormat="false" ht="15" hidden="false" customHeight="false" outlineLevel="0" collapsed="false">
      <c r="A1927" s="4" t="s">
        <v>2444</v>
      </c>
      <c r="B1927" s="5" t="n">
        <v>0.008</v>
      </c>
      <c r="C1927" s="5" t="n">
        <v>0.008</v>
      </c>
      <c r="D1927" s="5" t="n">
        <f aca="false">IF(AND(ISNUMBER(B1927),ISNUMBER(C1927)),C1927-B1927,"")</f>
        <v>0</v>
      </c>
      <c r="E1927" s="4" t="s">
        <v>531</v>
      </c>
    </row>
    <row r="1928" customFormat="false" ht="15" hidden="false" customHeight="false" outlineLevel="0" collapsed="false">
      <c r="A1928" s="4" t="s">
        <v>2445</v>
      </c>
      <c r="B1928" s="5" t="n">
        <v>0.148</v>
      </c>
      <c r="C1928" s="5" t="n">
        <v>0.148</v>
      </c>
      <c r="D1928" s="5" t="n">
        <f aca="false">IF(AND(ISNUMBER(B1928),ISNUMBER(C1928)),C1928-B1928,"")</f>
        <v>0</v>
      </c>
      <c r="E1928" s="4" t="s">
        <v>531</v>
      </c>
    </row>
    <row r="1929" customFormat="false" ht="15" hidden="false" customHeight="false" outlineLevel="0" collapsed="false">
      <c r="A1929" s="4" t="s">
        <v>2446</v>
      </c>
      <c r="B1929" s="5" t="n">
        <v>0.148</v>
      </c>
      <c r="C1929" s="5" t="n">
        <v>0.148</v>
      </c>
      <c r="D1929" s="5" t="n">
        <f aca="false">IF(AND(ISNUMBER(B1929),ISNUMBER(C1929)),C1929-B1929,"")</f>
        <v>0</v>
      </c>
      <c r="E1929" s="4" t="s">
        <v>531</v>
      </c>
    </row>
    <row r="1930" customFormat="false" ht="15" hidden="false" customHeight="false" outlineLevel="0" collapsed="false">
      <c r="A1930" s="4" t="s">
        <v>2447</v>
      </c>
      <c r="B1930" s="5" t="n">
        <v>0.956</v>
      </c>
      <c r="C1930" s="5" t="n">
        <v>0.956</v>
      </c>
      <c r="D1930" s="5" t="n">
        <f aca="false">IF(AND(ISNUMBER(B1930),ISNUMBER(C1930)),C1930-B1930,"")</f>
        <v>0</v>
      </c>
      <c r="E1930" s="4" t="s">
        <v>531</v>
      </c>
    </row>
    <row r="1931" customFormat="false" ht="15" hidden="false" customHeight="false" outlineLevel="0" collapsed="false">
      <c r="A1931" s="4" t="s">
        <v>2448</v>
      </c>
      <c r="B1931" s="5" t="n">
        <v>1</v>
      </c>
      <c r="C1931" s="5" t="n">
        <v>1</v>
      </c>
      <c r="D1931" s="5" t="n">
        <f aca="false">IF(AND(ISNUMBER(B1931),ISNUMBER(C1931)),C1931-B1931,"")</f>
        <v>0</v>
      </c>
      <c r="E1931" s="4" t="s">
        <v>531</v>
      </c>
    </row>
    <row r="1932" customFormat="false" ht="15" hidden="false" customHeight="false" outlineLevel="0" collapsed="false">
      <c r="A1932" s="4" t="s">
        <v>2449</v>
      </c>
      <c r="B1932" s="5" t="n">
        <v>210</v>
      </c>
      <c r="C1932" s="5" t="n">
        <v>210</v>
      </c>
      <c r="D1932" s="5" t="n">
        <f aca="false">IF(AND(ISNUMBER(B1932),ISNUMBER(C1932)),C1932-B1932,"")</f>
        <v>0</v>
      </c>
      <c r="E1932" s="4" t="s">
        <v>531</v>
      </c>
    </row>
    <row r="1933" customFormat="false" ht="15" hidden="false" customHeight="false" outlineLevel="0" collapsed="false">
      <c r="A1933" s="4" t="s">
        <v>2450</v>
      </c>
      <c r="B1933" s="5" t="n">
        <v>0.414</v>
      </c>
      <c r="C1933" s="5" t="n">
        <v>0.414</v>
      </c>
      <c r="D1933" s="5" t="n">
        <f aca="false">IF(AND(ISNUMBER(B1933),ISNUMBER(C1933)),C1933-B1933,"")</f>
        <v>0</v>
      </c>
      <c r="E1933" s="4" t="s">
        <v>531</v>
      </c>
    </row>
    <row r="1934" customFormat="false" ht="15" hidden="false" customHeight="false" outlineLevel="0" collapsed="false">
      <c r="A1934" s="4" t="s">
        <v>2451</v>
      </c>
      <c r="B1934" s="5" t="n">
        <v>-0.042</v>
      </c>
      <c r="C1934" s="5" t="n">
        <v>-0.042</v>
      </c>
      <c r="D1934" s="5" t="n">
        <f aca="false">IF(AND(ISNUMBER(B1934),ISNUMBER(C1934)),C1934-B1934,"")</f>
        <v>0</v>
      </c>
      <c r="E1934" s="4" t="s">
        <v>531</v>
      </c>
    </row>
    <row r="1935" customFormat="false" ht="15" hidden="false" customHeight="false" outlineLevel="0" collapsed="false">
      <c r="A1935" s="4" t="s">
        <v>2452</v>
      </c>
      <c r="B1935" s="5" t="n">
        <v>0.118</v>
      </c>
      <c r="C1935" s="5" t="n">
        <v>0.118</v>
      </c>
      <c r="D1935" s="5" t="n">
        <f aca="false">IF(AND(ISNUMBER(B1935),ISNUMBER(C1935)),C1935-B1935,"")</f>
        <v>0</v>
      </c>
      <c r="E1935" s="4" t="s">
        <v>531</v>
      </c>
    </row>
    <row r="1936" customFormat="false" ht="15" hidden="false" customHeight="false" outlineLevel="0" collapsed="false">
      <c r="A1936" s="4" t="s">
        <v>2453</v>
      </c>
      <c r="B1936" s="5" t="n">
        <v>0.121</v>
      </c>
      <c r="C1936" s="5" t="n">
        <v>0.121</v>
      </c>
      <c r="D1936" s="5" t="n">
        <f aca="false">IF(AND(ISNUMBER(B1936),ISNUMBER(C1936)),C1936-B1936,"")</f>
        <v>0</v>
      </c>
      <c r="E1936" s="4" t="s">
        <v>531</v>
      </c>
    </row>
    <row r="1937" customFormat="false" ht="15" hidden="false" customHeight="false" outlineLevel="0" collapsed="false">
      <c r="A1937" s="4" t="s">
        <v>2454</v>
      </c>
      <c r="B1937" s="5" t="n">
        <v>0.723</v>
      </c>
      <c r="C1937" s="5" t="n">
        <v>0.723</v>
      </c>
      <c r="D1937" s="5" t="n">
        <f aca="false">IF(AND(ISNUMBER(B1937),ISNUMBER(C1937)),C1937-B1937,"")</f>
        <v>0</v>
      </c>
      <c r="E1937" s="4" t="s">
        <v>531</v>
      </c>
    </row>
    <row r="1938" customFormat="false" ht="15" hidden="false" customHeight="false" outlineLevel="0" collapsed="false">
      <c r="A1938" s="4" t="s">
        <v>2455</v>
      </c>
      <c r="B1938" s="5" t="n">
        <v>0.999</v>
      </c>
      <c r="C1938" s="5" t="n">
        <v>1</v>
      </c>
      <c r="D1938" s="5" t="n">
        <f aca="false">IF(AND(ISNUMBER(B1938),ISNUMBER(C1938)),C1938-B1938,"")</f>
        <v>0.001</v>
      </c>
      <c r="E1938" s="4" t="s">
        <v>2252</v>
      </c>
    </row>
    <row r="1939" customFormat="false" ht="15" hidden="false" customHeight="false" outlineLevel="0" collapsed="false">
      <c r="A1939" s="4" t="s">
        <v>2456</v>
      </c>
      <c r="B1939" s="5" t="n">
        <v>210</v>
      </c>
      <c r="C1939" s="5" t="n">
        <v>210</v>
      </c>
      <c r="D1939" s="5" t="n">
        <f aca="false">IF(AND(ISNUMBER(B1939),ISNUMBER(C1939)),C1939-B1939,"")</f>
        <v>0</v>
      </c>
      <c r="E1939" s="4" t="s">
        <v>531</v>
      </c>
    </row>
    <row r="1940" customFormat="false" ht="23.85" hidden="false" customHeight="false" outlineLevel="0" collapsed="false">
      <c r="A1940" s="4" t="s">
        <v>2457</v>
      </c>
      <c r="B1940" s="5" t="n">
        <v>0.33</v>
      </c>
      <c r="C1940" s="5" t="n">
        <v>0.33</v>
      </c>
      <c r="D1940" s="5" t="n">
        <f aca="false">IF(AND(ISNUMBER(B1940),ISNUMBER(C1940)),C1940-B1940,"")</f>
        <v>0</v>
      </c>
      <c r="E1940" s="4" t="s">
        <v>531</v>
      </c>
    </row>
    <row r="1941" customFormat="false" ht="15" hidden="false" customHeight="false" outlineLevel="0" collapsed="false">
      <c r="A1941" s="4" t="s">
        <v>2458</v>
      </c>
      <c r="B1941" s="5" t="n">
        <v>0.25</v>
      </c>
      <c r="C1941" s="5" t="n">
        <v>0.25</v>
      </c>
      <c r="D1941" s="5" t="n">
        <f aca="false">IF(AND(ISNUMBER(B1941),ISNUMBER(C1941)),C1941-B1941,"")</f>
        <v>0</v>
      </c>
      <c r="E1941" s="4" t="s">
        <v>531</v>
      </c>
    </row>
    <row r="1942" customFormat="false" ht="15" hidden="false" customHeight="false" outlineLevel="0" collapsed="false">
      <c r="A1942" s="4" t="s">
        <v>2459</v>
      </c>
      <c r="B1942" s="5" t="n">
        <v>0.15</v>
      </c>
      <c r="C1942" s="5" t="n">
        <v>0.15</v>
      </c>
      <c r="D1942" s="5" t="n">
        <f aca="false">IF(AND(ISNUMBER(B1942),ISNUMBER(C1942)),C1942-B1942,"")</f>
        <v>0</v>
      </c>
      <c r="E1942" s="4" t="s">
        <v>531</v>
      </c>
    </row>
    <row r="1943" customFormat="false" ht="15" hidden="false" customHeight="false" outlineLevel="0" collapsed="false">
      <c r="A1943" s="4" t="s">
        <v>2460</v>
      </c>
      <c r="B1943" s="5" t="n">
        <v>0.15</v>
      </c>
      <c r="C1943" s="5" t="n">
        <v>0.15</v>
      </c>
      <c r="D1943" s="5" t="n">
        <f aca="false">IF(AND(ISNUMBER(B1943),ISNUMBER(C1943)),C1943-B1943,"")</f>
        <v>0</v>
      </c>
      <c r="E1943" s="4" t="s">
        <v>531</v>
      </c>
    </row>
    <row r="1944" customFormat="false" ht="15" hidden="false" customHeight="false" outlineLevel="0" collapsed="false">
      <c r="A1944" s="4" t="s">
        <v>2461</v>
      </c>
      <c r="B1944" s="5" t="n">
        <v>0.094</v>
      </c>
      <c r="C1944" s="5" t="n">
        <v>0.094</v>
      </c>
      <c r="D1944" s="5" t="n">
        <f aca="false">IF(AND(ISNUMBER(B1944),ISNUMBER(C1944)),C1944-B1944,"")</f>
        <v>0</v>
      </c>
      <c r="E1944" s="4" t="s">
        <v>531</v>
      </c>
    </row>
    <row r="1945" customFormat="false" ht="15" hidden="false" customHeight="false" outlineLevel="0" collapsed="false">
      <c r="A1945" s="4" t="s">
        <v>2462</v>
      </c>
      <c r="B1945" s="5" t="n">
        <v>0.706</v>
      </c>
      <c r="C1945" s="5" t="n">
        <v>0.704</v>
      </c>
      <c r="D1945" s="5" t="n">
        <f aca="false">IF(AND(ISNUMBER(B1945),ISNUMBER(C1945)),C1945-B1945,"")</f>
        <v>-0.002</v>
      </c>
      <c r="E1945" s="4" t="s">
        <v>2252</v>
      </c>
    </row>
    <row r="1946" customFormat="false" ht="15" hidden="false" customHeight="false" outlineLevel="0" collapsed="false">
      <c r="A1946" s="4" t="s">
        <v>2463</v>
      </c>
      <c r="B1946" s="5" t="n">
        <v>210</v>
      </c>
      <c r="C1946" s="5" t="n">
        <v>210</v>
      </c>
      <c r="D1946" s="5" t="n">
        <f aca="false">IF(AND(ISNUMBER(B1946),ISNUMBER(C1946)),C1946-B1946,"")</f>
        <v>0</v>
      </c>
      <c r="E1946" s="4" t="s">
        <v>531</v>
      </c>
    </row>
    <row r="1947" customFormat="false" ht="15" hidden="false" customHeight="false" outlineLevel="0" collapsed="false">
      <c r="A1947" s="4" t="s">
        <v>2464</v>
      </c>
      <c r="B1947" s="5" t="n">
        <v>0.419</v>
      </c>
      <c r="C1947" s="5" t="n">
        <v>0.419</v>
      </c>
      <c r="D1947" s="5" t="n">
        <f aca="false">IF(AND(ISNUMBER(B1947),ISNUMBER(C1947)),C1947-B1947,"")</f>
        <v>0</v>
      </c>
      <c r="E1947" s="4" t="s">
        <v>531</v>
      </c>
    </row>
    <row r="1948" customFormat="false" ht="15" hidden="false" customHeight="false" outlineLevel="0" collapsed="false">
      <c r="A1948" s="4" t="s">
        <v>2465</v>
      </c>
      <c r="B1948" s="5" t="n">
        <v>0.103</v>
      </c>
      <c r="C1948" s="5" t="n">
        <v>0.103</v>
      </c>
      <c r="D1948" s="5" t="n">
        <f aca="false">IF(AND(ISNUMBER(B1948),ISNUMBER(C1948)),C1948-B1948,"")</f>
        <v>0</v>
      </c>
      <c r="E1948" s="4" t="s">
        <v>531</v>
      </c>
    </row>
    <row r="1949" customFormat="false" ht="15" hidden="false" customHeight="false" outlineLevel="0" collapsed="false">
      <c r="A1949" s="4" t="s">
        <v>2466</v>
      </c>
      <c r="B1949" s="5" t="n">
        <v>0.154</v>
      </c>
      <c r="C1949" s="5" t="n">
        <v>0.154</v>
      </c>
      <c r="D1949" s="5" t="n">
        <f aca="false">IF(AND(ISNUMBER(B1949),ISNUMBER(C1949)),C1949-B1949,"")</f>
        <v>0</v>
      </c>
      <c r="E1949" s="4" t="s">
        <v>531</v>
      </c>
    </row>
    <row r="1950" customFormat="false" ht="15" hidden="false" customHeight="false" outlineLevel="0" collapsed="false">
      <c r="A1950" s="4" t="s">
        <v>2467</v>
      </c>
      <c r="B1950" s="5" t="n">
        <v>0.152</v>
      </c>
      <c r="C1950" s="5" t="n">
        <v>0.152</v>
      </c>
      <c r="D1950" s="5" t="n">
        <f aca="false">IF(AND(ISNUMBER(B1950),ISNUMBER(C1950)),C1950-B1950,"")</f>
        <v>0</v>
      </c>
      <c r="E1950" s="4" t="s">
        <v>531</v>
      </c>
    </row>
    <row r="1951" customFormat="false" ht="15" hidden="false" customHeight="false" outlineLevel="0" collapsed="false">
      <c r="A1951" s="4" t="s">
        <v>2468</v>
      </c>
      <c r="B1951" s="5" t="n">
        <v>0.505</v>
      </c>
      <c r="C1951" s="5" t="n">
        <v>0.505</v>
      </c>
      <c r="D1951" s="5" t="n">
        <f aca="false">IF(AND(ISNUMBER(B1951),ISNUMBER(C1951)),C1951-B1951,"")</f>
        <v>0</v>
      </c>
      <c r="E1951" s="4" t="s">
        <v>531</v>
      </c>
    </row>
    <row r="1952" customFormat="false" ht="15" hidden="false" customHeight="false" outlineLevel="0" collapsed="false">
      <c r="A1952" s="4" t="s">
        <v>2469</v>
      </c>
      <c r="B1952" s="5" t="n">
        <v>0.998</v>
      </c>
      <c r="C1952" s="5" t="n">
        <v>0.998</v>
      </c>
      <c r="D1952" s="5" t="n">
        <f aca="false">IF(AND(ISNUMBER(B1952),ISNUMBER(C1952)),C1952-B1952,"")</f>
        <v>0</v>
      </c>
      <c r="E1952" s="4" t="s">
        <v>531</v>
      </c>
    </row>
    <row r="1953" customFormat="false" ht="15" hidden="false" customHeight="false" outlineLevel="0" collapsed="false">
      <c r="A1953" s="4" t="s">
        <v>2470</v>
      </c>
      <c r="B1953" s="5" t="n">
        <v>210</v>
      </c>
      <c r="C1953" s="5" t="n">
        <v>210</v>
      </c>
      <c r="D1953" s="5" t="n">
        <f aca="false">IF(AND(ISNUMBER(B1953),ISNUMBER(C1953)),C1953-B1953,"")</f>
        <v>0</v>
      </c>
      <c r="E1953" s="4" t="s">
        <v>531</v>
      </c>
    </row>
    <row r="1954" customFormat="false" ht="23.85" hidden="false" customHeight="false" outlineLevel="0" collapsed="false">
      <c r="A1954" s="4" t="s">
        <v>2471</v>
      </c>
      <c r="B1954" s="5" t="n">
        <v>0.432</v>
      </c>
      <c r="C1954" s="5" t="n">
        <v>0.432</v>
      </c>
      <c r="D1954" s="5" t="n">
        <f aca="false">IF(AND(ISNUMBER(B1954),ISNUMBER(C1954)),C1954-B1954,"")</f>
        <v>0</v>
      </c>
      <c r="E1954" s="4" t="s">
        <v>531</v>
      </c>
    </row>
    <row r="1955" customFormat="false" ht="15" hidden="false" customHeight="false" outlineLevel="0" collapsed="false">
      <c r="A1955" s="4" t="s">
        <v>2472</v>
      </c>
      <c r="B1955" s="5" t="n">
        <v>-0.123</v>
      </c>
      <c r="C1955" s="5" t="n">
        <v>-0.123</v>
      </c>
      <c r="D1955" s="5" t="n">
        <f aca="false">IF(AND(ISNUMBER(B1955),ISNUMBER(C1955)),C1955-B1955,"")</f>
        <v>0</v>
      </c>
      <c r="E1955" s="4" t="s">
        <v>531</v>
      </c>
    </row>
    <row r="1956" customFormat="false" ht="15" hidden="false" customHeight="false" outlineLevel="0" collapsed="false">
      <c r="A1956" s="4" t="s">
        <v>2473</v>
      </c>
      <c r="B1956" s="5" t="n">
        <v>0.148</v>
      </c>
      <c r="C1956" s="5" t="n">
        <v>0.148</v>
      </c>
      <c r="D1956" s="5" t="n">
        <f aca="false">IF(AND(ISNUMBER(B1956),ISNUMBER(C1956)),C1956-B1956,"")</f>
        <v>0</v>
      </c>
      <c r="E1956" s="4" t="s">
        <v>531</v>
      </c>
    </row>
    <row r="1957" customFormat="false" ht="15" hidden="false" customHeight="false" outlineLevel="0" collapsed="false">
      <c r="A1957" s="4" t="s">
        <v>2474</v>
      </c>
      <c r="B1957" s="5" t="n">
        <v>0.149</v>
      </c>
      <c r="C1957" s="5" t="n">
        <v>0.149</v>
      </c>
      <c r="D1957" s="5" t="n">
        <f aca="false">IF(AND(ISNUMBER(B1957),ISNUMBER(C1957)),C1957-B1957,"")</f>
        <v>0</v>
      </c>
      <c r="E1957" s="4" t="s">
        <v>531</v>
      </c>
    </row>
    <row r="1958" customFormat="false" ht="15" hidden="false" customHeight="false" outlineLevel="0" collapsed="false">
      <c r="A1958" s="4" t="s">
        <v>2475</v>
      </c>
      <c r="B1958" s="5" t="n">
        <v>0.405</v>
      </c>
      <c r="C1958" s="5" t="n">
        <v>0.405</v>
      </c>
      <c r="D1958" s="5" t="n">
        <f aca="false">IF(AND(ISNUMBER(B1958),ISNUMBER(C1958)),C1958-B1958,"")</f>
        <v>0</v>
      </c>
      <c r="E1958" s="4" t="s">
        <v>531</v>
      </c>
    </row>
    <row r="1959" customFormat="false" ht="15" hidden="false" customHeight="false" outlineLevel="0" collapsed="false">
      <c r="A1959" s="4" t="s">
        <v>2476</v>
      </c>
      <c r="B1959" s="5" t="n">
        <v>0.996</v>
      </c>
      <c r="C1959" s="5" t="n">
        <v>0.998</v>
      </c>
      <c r="D1959" s="5" t="n">
        <f aca="false">IF(AND(ISNUMBER(B1959),ISNUMBER(C1959)),C1959-B1959,"")</f>
        <v>0.002</v>
      </c>
      <c r="E1959" s="4" t="s">
        <v>2252</v>
      </c>
    </row>
    <row r="1960" customFormat="false" ht="15" hidden="false" customHeight="false" outlineLevel="0" collapsed="false">
      <c r="A1960" s="4" t="s">
        <v>2477</v>
      </c>
      <c r="B1960" s="5" t="n">
        <v>210</v>
      </c>
      <c r="C1960" s="5" t="n">
        <v>210</v>
      </c>
      <c r="D1960" s="5" t="n">
        <f aca="false">IF(AND(ISNUMBER(B1960),ISNUMBER(C1960)),C1960-B1960,"")</f>
        <v>0</v>
      </c>
      <c r="E1960" s="4" t="s">
        <v>531</v>
      </c>
    </row>
    <row r="1961" customFormat="false" ht="23.85" hidden="false" customHeight="false" outlineLevel="0" collapsed="false">
      <c r="A1961" s="4" t="s">
        <v>2478</v>
      </c>
      <c r="B1961" s="5" t="n">
        <v>0.415</v>
      </c>
      <c r="C1961" s="5" t="n">
        <v>0.415</v>
      </c>
      <c r="D1961" s="5" t="n">
        <f aca="false">IF(AND(ISNUMBER(B1961),ISNUMBER(C1961)),C1961-B1961,"")</f>
        <v>0</v>
      </c>
      <c r="E1961" s="4" t="s">
        <v>531</v>
      </c>
    </row>
    <row r="1962" customFormat="false" ht="15" hidden="false" customHeight="false" outlineLevel="0" collapsed="false">
      <c r="A1962" s="4" t="s">
        <v>2479</v>
      </c>
      <c r="B1962" s="5" t="n">
        <v>0.023</v>
      </c>
      <c r="C1962" s="5" t="n">
        <v>0.023</v>
      </c>
      <c r="D1962" s="5" t="n">
        <f aca="false">IF(AND(ISNUMBER(B1962),ISNUMBER(C1962)),C1962-B1962,"")</f>
        <v>0</v>
      </c>
      <c r="E1962" s="4" t="s">
        <v>531</v>
      </c>
    </row>
    <row r="1963" customFormat="false" ht="15" hidden="false" customHeight="false" outlineLevel="0" collapsed="false">
      <c r="A1963" s="4" t="s">
        <v>2480</v>
      </c>
      <c r="B1963" s="5" t="n">
        <v>0.137</v>
      </c>
      <c r="C1963" s="5" t="n">
        <v>0.137</v>
      </c>
      <c r="D1963" s="5" t="n">
        <f aca="false">IF(AND(ISNUMBER(B1963),ISNUMBER(C1963)),C1963-B1963,"")</f>
        <v>0</v>
      </c>
      <c r="E1963" s="4" t="s">
        <v>531</v>
      </c>
    </row>
    <row r="1964" customFormat="false" ht="15" hidden="false" customHeight="false" outlineLevel="0" collapsed="false">
      <c r="A1964" s="4" t="s">
        <v>2481</v>
      </c>
      <c r="B1964" s="5" t="n">
        <v>0.136</v>
      </c>
      <c r="C1964" s="5" t="n">
        <v>0.136</v>
      </c>
      <c r="D1964" s="5" t="n">
        <f aca="false">IF(AND(ISNUMBER(B1964),ISNUMBER(C1964)),C1964-B1964,"")</f>
        <v>0</v>
      </c>
      <c r="E1964" s="4" t="s">
        <v>531</v>
      </c>
    </row>
    <row r="1965" customFormat="false" ht="15" hidden="false" customHeight="false" outlineLevel="0" collapsed="false">
      <c r="A1965" s="4" t="s">
        <v>2482</v>
      </c>
      <c r="B1965" s="5" t="n">
        <v>0.866</v>
      </c>
      <c r="C1965" s="5" t="n">
        <v>0.866</v>
      </c>
      <c r="D1965" s="5" t="n">
        <f aca="false">IF(AND(ISNUMBER(B1965),ISNUMBER(C1965)),C1965-B1965,"")</f>
        <v>0</v>
      </c>
      <c r="E1965" s="4" t="s">
        <v>531</v>
      </c>
    </row>
    <row r="1966" customFormat="false" ht="15" hidden="false" customHeight="false" outlineLevel="0" collapsed="false">
      <c r="A1966" s="4" t="s">
        <v>2483</v>
      </c>
      <c r="B1966" s="5" t="n">
        <v>1</v>
      </c>
      <c r="C1966" s="5" t="n">
        <v>1</v>
      </c>
      <c r="D1966" s="5" t="n">
        <f aca="false">IF(AND(ISNUMBER(B1966),ISNUMBER(C1966)),C1966-B1966,"")</f>
        <v>0</v>
      </c>
      <c r="E1966" s="4" t="s">
        <v>531</v>
      </c>
    </row>
    <row r="1967" customFormat="false" ht="15" hidden="false" customHeight="false" outlineLevel="0" collapsed="false">
      <c r="A1967" s="4" t="s">
        <v>2484</v>
      </c>
      <c r="B1967" s="5" t="n">
        <v>210</v>
      </c>
      <c r="C1967" s="5" t="n">
        <v>210</v>
      </c>
      <c r="D1967" s="5" t="n">
        <f aca="false">IF(AND(ISNUMBER(B1967),ISNUMBER(C1967)),C1967-B1967,"")</f>
        <v>0</v>
      </c>
      <c r="E1967" s="4" t="s">
        <v>531</v>
      </c>
    </row>
    <row r="1968" customFormat="false" ht="23.85" hidden="false" customHeight="false" outlineLevel="0" collapsed="false">
      <c r="A1968" s="4" t="s">
        <v>2485</v>
      </c>
      <c r="B1968" s="5" t="n">
        <v>0.383</v>
      </c>
      <c r="C1968" s="5" t="n">
        <v>0.383</v>
      </c>
      <c r="D1968" s="5" t="n">
        <f aca="false">IF(AND(ISNUMBER(B1968),ISNUMBER(C1968)),C1968-B1968,"")</f>
        <v>0</v>
      </c>
      <c r="E1968" s="4" t="s">
        <v>531</v>
      </c>
    </row>
    <row r="1969" customFormat="false" ht="15" hidden="false" customHeight="false" outlineLevel="0" collapsed="false">
      <c r="A1969" s="4" t="s">
        <v>2486</v>
      </c>
      <c r="B1969" s="5" t="n">
        <v>0.108</v>
      </c>
      <c r="C1969" s="5" t="n">
        <v>0.108</v>
      </c>
      <c r="D1969" s="5" t="n">
        <f aca="false">IF(AND(ISNUMBER(B1969),ISNUMBER(C1969)),C1969-B1969,"")</f>
        <v>0</v>
      </c>
      <c r="E1969" s="4" t="s">
        <v>531</v>
      </c>
    </row>
    <row r="1970" customFormat="false" ht="15" hidden="false" customHeight="false" outlineLevel="0" collapsed="false">
      <c r="A1970" s="4" t="s">
        <v>2487</v>
      </c>
      <c r="B1970" s="5" t="n">
        <v>0.129</v>
      </c>
      <c r="C1970" s="5" t="n">
        <v>0.129</v>
      </c>
      <c r="D1970" s="5" t="n">
        <f aca="false">IF(AND(ISNUMBER(B1970),ISNUMBER(C1970)),C1970-B1970,"")</f>
        <v>0</v>
      </c>
      <c r="E1970" s="4" t="s">
        <v>531</v>
      </c>
    </row>
    <row r="1971" customFormat="false" ht="15" hidden="false" customHeight="false" outlineLevel="0" collapsed="false">
      <c r="A1971" s="4" t="s">
        <v>2488</v>
      </c>
      <c r="B1971" s="5" t="n">
        <v>0.128</v>
      </c>
      <c r="C1971" s="5" t="n">
        <v>0.128</v>
      </c>
      <c r="D1971" s="5" t="n">
        <f aca="false">IF(AND(ISNUMBER(B1971),ISNUMBER(C1971)),C1971-B1971,"")</f>
        <v>0</v>
      </c>
      <c r="E1971" s="4" t="s">
        <v>531</v>
      </c>
    </row>
    <row r="1972" customFormat="false" ht="15" hidden="false" customHeight="false" outlineLevel="0" collapsed="false">
      <c r="A1972" s="4" t="s">
        <v>2489</v>
      </c>
      <c r="B1972" s="5" t="n">
        <v>0.403</v>
      </c>
      <c r="C1972" s="5" t="n">
        <v>0.403</v>
      </c>
      <c r="D1972" s="5" t="n">
        <f aca="false">IF(AND(ISNUMBER(B1972),ISNUMBER(C1972)),C1972-B1972,"")</f>
        <v>0</v>
      </c>
      <c r="E1972" s="4" t="s">
        <v>531</v>
      </c>
    </row>
    <row r="1973" customFormat="false" ht="15" hidden="false" customHeight="false" outlineLevel="0" collapsed="false">
      <c r="A1973" s="4" t="s">
        <v>2490</v>
      </c>
      <c r="B1973" s="5" t="n">
        <v>0.996</v>
      </c>
      <c r="C1973" s="5" t="n">
        <v>0.998</v>
      </c>
      <c r="D1973" s="5" t="n">
        <f aca="false">IF(AND(ISNUMBER(B1973),ISNUMBER(C1973)),C1973-B1973,"")</f>
        <v>0.002</v>
      </c>
      <c r="E1973" s="4" t="s">
        <v>2252</v>
      </c>
    </row>
    <row r="1974" customFormat="false" ht="15" hidden="false" customHeight="false" outlineLevel="0" collapsed="false">
      <c r="A1974" s="4" t="s">
        <v>2491</v>
      </c>
      <c r="B1974" s="5" t="n">
        <v>210</v>
      </c>
      <c r="C1974" s="5" t="n">
        <v>210</v>
      </c>
      <c r="D1974" s="5" t="n">
        <f aca="false">IF(AND(ISNUMBER(B1974),ISNUMBER(C1974)),C1974-B1974,"")</f>
        <v>0</v>
      </c>
      <c r="E1974" s="4" t="s">
        <v>531</v>
      </c>
    </row>
    <row r="1975" customFormat="false" ht="23.85" hidden="false" customHeight="false" outlineLevel="0" collapsed="false">
      <c r="A1975" s="4" t="s">
        <v>2492</v>
      </c>
      <c r="B1975" s="5" t="n">
        <v>0.362</v>
      </c>
      <c r="C1975" s="5" t="n">
        <v>0.362</v>
      </c>
      <c r="D1975" s="5" t="n">
        <f aca="false">IF(AND(ISNUMBER(B1975),ISNUMBER(C1975)),C1975-B1975,"")</f>
        <v>0</v>
      </c>
      <c r="E1975" s="4" t="s">
        <v>531</v>
      </c>
    </row>
    <row r="1976" customFormat="false" ht="15" hidden="false" customHeight="false" outlineLevel="0" collapsed="false">
      <c r="A1976" s="4" t="s">
        <v>2493</v>
      </c>
      <c r="B1976" s="5" t="n">
        <v>0.012</v>
      </c>
      <c r="C1976" s="5" t="n">
        <v>0.012</v>
      </c>
      <c r="D1976" s="5" t="n">
        <f aca="false">IF(AND(ISNUMBER(B1976),ISNUMBER(C1976)),C1976-B1976,"")</f>
        <v>0</v>
      </c>
      <c r="E1976" s="4" t="s">
        <v>531</v>
      </c>
    </row>
    <row r="1977" customFormat="false" ht="15" hidden="false" customHeight="false" outlineLevel="0" collapsed="false">
      <c r="A1977" s="4" t="s">
        <v>2494</v>
      </c>
      <c r="B1977" s="5" t="n">
        <v>0.256</v>
      </c>
      <c r="C1977" s="5" t="n">
        <v>0.256</v>
      </c>
      <c r="D1977" s="5" t="n">
        <f aca="false">IF(AND(ISNUMBER(B1977),ISNUMBER(C1977)),C1977-B1977,"")</f>
        <v>0</v>
      </c>
      <c r="E1977" s="4" t="s">
        <v>531</v>
      </c>
    </row>
    <row r="1978" customFormat="false" ht="15" hidden="false" customHeight="false" outlineLevel="0" collapsed="false">
      <c r="A1978" s="4" t="s">
        <v>2495</v>
      </c>
      <c r="B1978" s="5" t="n">
        <v>0.255</v>
      </c>
      <c r="C1978" s="5" t="n">
        <v>0.255</v>
      </c>
      <c r="D1978" s="5" t="n">
        <f aca="false">IF(AND(ISNUMBER(B1978),ISNUMBER(C1978)),C1978-B1978,"")</f>
        <v>0</v>
      </c>
      <c r="E1978" s="4" t="s">
        <v>531</v>
      </c>
    </row>
    <row r="1979" customFormat="false" ht="15" hidden="false" customHeight="false" outlineLevel="0" collapsed="false">
      <c r="A1979" s="4" t="s">
        <v>2496</v>
      </c>
      <c r="B1979" s="5" t="n">
        <v>0.963</v>
      </c>
      <c r="C1979" s="5" t="n">
        <v>0.963</v>
      </c>
      <c r="D1979" s="5" t="n">
        <f aca="false">IF(AND(ISNUMBER(B1979),ISNUMBER(C1979)),C1979-B1979,"")</f>
        <v>0</v>
      </c>
      <c r="E1979" s="4" t="s">
        <v>531</v>
      </c>
    </row>
    <row r="1980" customFormat="false" ht="15" hidden="false" customHeight="false" outlineLevel="0" collapsed="false">
      <c r="A1980" s="4" t="s">
        <v>2497</v>
      </c>
      <c r="B1980" s="5" t="n">
        <v>1</v>
      </c>
      <c r="C1980" s="5" t="n">
        <v>1</v>
      </c>
      <c r="D1980" s="5" t="n">
        <f aca="false">IF(AND(ISNUMBER(B1980),ISNUMBER(C1980)),C1980-B1980,"")</f>
        <v>0</v>
      </c>
      <c r="E1980" s="4" t="s">
        <v>531</v>
      </c>
    </row>
    <row r="1981" customFormat="false" ht="15" hidden="false" customHeight="false" outlineLevel="0" collapsed="false">
      <c r="A1981" s="4" t="s">
        <v>2498</v>
      </c>
      <c r="B1981" s="5" t="n">
        <v>210</v>
      </c>
      <c r="C1981" s="5" t="n">
        <v>210</v>
      </c>
      <c r="D1981" s="5" t="n">
        <f aca="false">IF(AND(ISNUMBER(B1981),ISNUMBER(C1981)),C1981-B1981,"")</f>
        <v>0</v>
      </c>
      <c r="E1981" s="4" t="s">
        <v>531</v>
      </c>
    </row>
    <row r="1982" customFormat="false" ht="15" hidden="false" customHeight="false" outlineLevel="0" collapsed="false">
      <c r="A1982" s="4" t="s">
        <v>2499</v>
      </c>
      <c r="B1982" s="5" t="n">
        <v>0.718</v>
      </c>
      <c r="C1982" s="5" t="n">
        <v>0.718</v>
      </c>
      <c r="D1982" s="5" t="n">
        <f aca="false">IF(AND(ISNUMBER(B1982),ISNUMBER(C1982)),C1982-B1982,"")</f>
        <v>0</v>
      </c>
      <c r="E1982" s="4" t="s">
        <v>531</v>
      </c>
    </row>
    <row r="1983" customFormat="false" ht="15" hidden="false" customHeight="false" outlineLevel="0" collapsed="false">
      <c r="A1983" s="4" t="s">
        <v>2500</v>
      </c>
      <c r="B1983" s="5" t="n">
        <v>0.069</v>
      </c>
      <c r="C1983" s="5" t="n">
        <v>0.069</v>
      </c>
      <c r="D1983" s="5" t="n">
        <f aca="false">IF(AND(ISNUMBER(B1983),ISNUMBER(C1983)),C1983-B1983,"")</f>
        <v>0</v>
      </c>
      <c r="E1983" s="4" t="s">
        <v>531</v>
      </c>
    </row>
    <row r="1984" customFormat="false" ht="15" hidden="false" customHeight="false" outlineLevel="0" collapsed="false">
      <c r="A1984" s="4" t="s">
        <v>2501</v>
      </c>
      <c r="B1984" s="5" t="n">
        <v>0.29</v>
      </c>
      <c r="C1984" s="5" t="n">
        <v>0.29</v>
      </c>
      <c r="D1984" s="5" t="n">
        <f aca="false">IF(AND(ISNUMBER(B1984),ISNUMBER(C1984)),C1984-B1984,"")</f>
        <v>0</v>
      </c>
      <c r="E1984" s="4" t="s">
        <v>531</v>
      </c>
    </row>
    <row r="1985" customFormat="false" ht="15" hidden="false" customHeight="false" outlineLevel="0" collapsed="false">
      <c r="A1985" s="4" t="s">
        <v>2502</v>
      </c>
      <c r="B1985" s="5" t="n">
        <v>0.293</v>
      </c>
      <c r="C1985" s="5" t="n">
        <v>0.293</v>
      </c>
      <c r="D1985" s="5" t="n">
        <f aca="false">IF(AND(ISNUMBER(B1985),ISNUMBER(C1985)),C1985-B1985,"")</f>
        <v>0</v>
      </c>
      <c r="E1985" s="4" t="s">
        <v>531</v>
      </c>
    </row>
    <row r="1986" customFormat="false" ht="15" hidden="false" customHeight="false" outlineLevel="0" collapsed="false">
      <c r="A1986" s="4" t="s">
        <v>2503</v>
      </c>
      <c r="B1986" s="5" t="n">
        <v>0.812</v>
      </c>
      <c r="C1986" s="5" t="n">
        <v>0.812</v>
      </c>
      <c r="D1986" s="5" t="n">
        <f aca="false">IF(AND(ISNUMBER(B1986),ISNUMBER(C1986)),C1986-B1986,"")</f>
        <v>0</v>
      </c>
      <c r="E1986" s="4" t="s">
        <v>531</v>
      </c>
    </row>
    <row r="1987" customFormat="false" ht="15" hidden="false" customHeight="false" outlineLevel="0" collapsed="false">
      <c r="A1987" s="4" t="s">
        <v>2504</v>
      </c>
      <c r="B1987" s="5" t="n">
        <v>1</v>
      </c>
      <c r="C1987" s="5" t="n">
        <v>1</v>
      </c>
      <c r="D1987" s="5" t="n">
        <f aca="false">IF(AND(ISNUMBER(B1987),ISNUMBER(C1987)),C1987-B1987,"")</f>
        <v>0</v>
      </c>
      <c r="E1987" s="4" t="s">
        <v>531</v>
      </c>
    </row>
    <row r="1988" customFormat="false" ht="15" hidden="false" customHeight="false" outlineLevel="0" collapsed="false">
      <c r="A1988" s="4" t="s">
        <v>2505</v>
      </c>
      <c r="B1988" s="5" t="n">
        <v>210</v>
      </c>
      <c r="C1988" s="5" t="n">
        <v>210</v>
      </c>
      <c r="D1988" s="5" t="n">
        <f aca="false">IF(AND(ISNUMBER(B1988),ISNUMBER(C1988)),C1988-B1988,"")</f>
        <v>0</v>
      </c>
      <c r="E1988" s="4" t="s">
        <v>531</v>
      </c>
    </row>
    <row r="1989" customFormat="false" ht="15" hidden="false" customHeight="false" outlineLevel="0" collapsed="false">
      <c r="A1989" s="4" t="s">
        <v>2506</v>
      </c>
      <c r="B1989" s="5" t="n">
        <v>0.812</v>
      </c>
      <c r="C1989" s="5" t="n">
        <v>0.812</v>
      </c>
      <c r="D1989" s="5" t="n">
        <f aca="false">IF(AND(ISNUMBER(B1989),ISNUMBER(C1989)),C1989-B1989,"")</f>
        <v>0</v>
      </c>
      <c r="E1989" s="4" t="s">
        <v>531</v>
      </c>
    </row>
    <row r="1990" customFormat="false" ht="15" hidden="false" customHeight="false" outlineLevel="0" collapsed="false">
      <c r="A1990" s="4" t="s">
        <v>2507</v>
      </c>
      <c r="B1990" s="5" t="n">
        <v>0.33</v>
      </c>
      <c r="C1990" s="5" t="n">
        <v>0.33</v>
      </c>
      <c r="D1990" s="5" t="n">
        <f aca="false">IF(AND(ISNUMBER(B1990),ISNUMBER(C1990)),C1990-B1990,"")</f>
        <v>0</v>
      </c>
      <c r="E1990" s="4" t="s">
        <v>531</v>
      </c>
    </row>
    <row r="1991" customFormat="false" ht="15" hidden="false" customHeight="false" outlineLevel="0" collapsed="false">
      <c r="A1991" s="4" t="s">
        <v>2508</v>
      </c>
      <c r="B1991" s="5" t="n">
        <v>0.294</v>
      </c>
      <c r="C1991" s="5" t="n">
        <v>0.294</v>
      </c>
      <c r="D1991" s="5" t="n">
        <f aca="false">IF(AND(ISNUMBER(B1991),ISNUMBER(C1991)),C1991-B1991,"")</f>
        <v>0</v>
      </c>
      <c r="E1991" s="4" t="s">
        <v>531</v>
      </c>
    </row>
    <row r="1992" customFormat="false" ht="15" hidden="false" customHeight="false" outlineLevel="0" collapsed="false">
      <c r="A1992" s="4" t="s">
        <v>2509</v>
      </c>
      <c r="B1992" s="5" t="n">
        <v>0.296</v>
      </c>
      <c r="C1992" s="5" t="n">
        <v>0.296</v>
      </c>
      <c r="D1992" s="5" t="n">
        <f aca="false">IF(AND(ISNUMBER(B1992),ISNUMBER(C1992)),C1992-B1992,"")</f>
        <v>0</v>
      </c>
      <c r="E1992" s="4" t="s">
        <v>531</v>
      </c>
    </row>
    <row r="1993" customFormat="false" ht="15" hidden="false" customHeight="false" outlineLevel="0" collapsed="false">
      <c r="A1993" s="4" t="s">
        <v>2510</v>
      </c>
      <c r="B1993" s="5" t="n">
        <v>0.262</v>
      </c>
      <c r="C1993" s="5" t="n">
        <v>0.262</v>
      </c>
      <c r="D1993" s="5" t="n">
        <f aca="false">IF(AND(ISNUMBER(B1993),ISNUMBER(C1993)),C1993-B1993,"")</f>
        <v>0</v>
      </c>
      <c r="E1993" s="4" t="s">
        <v>531</v>
      </c>
    </row>
    <row r="1994" customFormat="false" ht="15" hidden="false" customHeight="false" outlineLevel="0" collapsed="false">
      <c r="A1994" s="4" t="s">
        <v>2511</v>
      </c>
      <c r="B1994" s="5" t="n">
        <v>0.959</v>
      </c>
      <c r="C1994" s="5" t="n">
        <v>0.976</v>
      </c>
      <c r="D1994" s="5" t="n">
        <f aca="false">IF(AND(ISNUMBER(B1994),ISNUMBER(C1994)),C1994-B1994,"")</f>
        <v>0.017</v>
      </c>
      <c r="E1994" s="4" t="s">
        <v>2252</v>
      </c>
    </row>
    <row r="1995" customFormat="false" ht="15" hidden="false" customHeight="false" outlineLevel="0" collapsed="false">
      <c r="A1995" s="4" t="s">
        <v>2512</v>
      </c>
      <c r="B1995" s="5" t="n">
        <v>210</v>
      </c>
      <c r="C1995" s="5" t="n">
        <v>210</v>
      </c>
      <c r="D1995" s="5" t="n">
        <f aca="false">IF(AND(ISNUMBER(B1995),ISNUMBER(C1995)),C1995-B1995,"")</f>
        <v>0</v>
      </c>
      <c r="E1995" s="4" t="s">
        <v>531</v>
      </c>
    </row>
    <row r="1996" customFormat="false" ht="23.85" hidden="false" customHeight="false" outlineLevel="0" collapsed="false">
      <c r="A1996" s="4" t="s">
        <v>2513</v>
      </c>
      <c r="B1996" s="5" t="n">
        <v>0.823</v>
      </c>
      <c r="C1996" s="5" t="n">
        <v>0.823</v>
      </c>
      <c r="D1996" s="5" t="n">
        <f aca="false">IF(AND(ISNUMBER(B1996),ISNUMBER(C1996)),C1996-B1996,"")</f>
        <v>0</v>
      </c>
      <c r="E1996" s="4" t="s">
        <v>531</v>
      </c>
    </row>
    <row r="1997" customFormat="false" ht="15" hidden="false" customHeight="false" outlineLevel="0" collapsed="false">
      <c r="A1997" s="4" t="s">
        <v>2514</v>
      </c>
      <c r="B1997" s="5" t="n">
        <v>0.094</v>
      </c>
      <c r="C1997" s="5" t="n">
        <v>0.094</v>
      </c>
      <c r="D1997" s="5" t="n">
        <f aca="false">IF(AND(ISNUMBER(B1997),ISNUMBER(C1997)),C1997-B1997,"")</f>
        <v>0</v>
      </c>
      <c r="E1997" s="4" t="s">
        <v>531</v>
      </c>
    </row>
    <row r="1998" customFormat="false" ht="15" hidden="false" customHeight="false" outlineLevel="0" collapsed="false">
      <c r="A1998" s="4" t="s">
        <v>2515</v>
      </c>
      <c r="B1998" s="5" t="n">
        <v>0.253</v>
      </c>
      <c r="C1998" s="5" t="n">
        <v>0.253</v>
      </c>
      <c r="D1998" s="5" t="n">
        <f aca="false">IF(AND(ISNUMBER(B1998),ISNUMBER(C1998)),C1998-B1998,"")</f>
        <v>0</v>
      </c>
      <c r="E1998" s="4" t="s">
        <v>531</v>
      </c>
    </row>
    <row r="1999" customFormat="false" ht="15" hidden="false" customHeight="false" outlineLevel="0" collapsed="false">
      <c r="A1999" s="4" t="s">
        <v>2516</v>
      </c>
      <c r="B1999" s="5" t="n">
        <v>0.262</v>
      </c>
      <c r="C1999" s="5" t="n">
        <v>0.262</v>
      </c>
      <c r="D1999" s="5" t="n">
        <f aca="false">IF(AND(ISNUMBER(B1999),ISNUMBER(C1999)),C1999-B1999,"")</f>
        <v>0</v>
      </c>
      <c r="E1999" s="4" t="s">
        <v>531</v>
      </c>
    </row>
    <row r="2000" customFormat="false" ht="15" hidden="false" customHeight="false" outlineLevel="0" collapsed="false">
      <c r="A2000" s="4" t="s">
        <v>2517</v>
      </c>
      <c r="B2000" s="5" t="n">
        <v>0.71</v>
      </c>
      <c r="C2000" s="5" t="n">
        <v>0.71</v>
      </c>
      <c r="D2000" s="5" t="n">
        <f aca="false">IF(AND(ISNUMBER(B2000),ISNUMBER(C2000)),C2000-B2000,"")</f>
        <v>0</v>
      </c>
      <c r="E2000" s="4" t="s">
        <v>531</v>
      </c>
    </row>
    <row r="2001" customFormat="false" ht="15" hidden="false" customHeight="false" outlineLevel="0" collapsed="false">
      <c r="A2001" s="4" t="s">
        <v>2518</v>
      </c>
      <c r="B2001" s="5" t="n">
        <v>0.999</v>
      </c>
      <c r="C2001" s="5" t="n">
        <v>1</v>
      </c>
      <c r="D2001" s="5" t="n">
        <f aca="false">IF(AND(ISNUMBER(B2001),ISNUMBER(C2001)),C2001-B2001,"")</f>
        <v>0.001</v>
      </c>
      <c r="E2001" s="4" t="s">
        <v>2252</v>
      </c>
    </row>
    <row r="2002" customFormat="false" ht="15" hidden="false" customHeight="false" outlineLevel="0" collapsed="false">
      <c r="A2002" s="4" t="s">
        <v>2519</v>
      </c>
      <c r="B2002" s="5" t="n">
        <v>210</v>
      </c>
      <c r="C2002" s="5" t="n">
        <v>210</v>
      </c>
      <c r="D2002" s="5" t="n">
        <f aca="false">IF(AND(ISNUMBER(B2002),ISNUMBER(C2002)),C2002-B2002,"")</f>
        <v>0</v>
      </c>
      <c r="E2002" s="4" t="s">
        <v>531</v>
      </c>
    </row>
    <row r="2003" customFormat="false" ht="15" hidden="false" customHeight="false" outlineLevel="0" collapsed="false">
      <c r="A2003" s="4" t="s">
        <v>2520</v>
      </c>
      <c r="B2003" s="5" t="n">
        <v>0.71</v>
      </c>
      <c r="C2003" s="5" t="n">
        <v>0.71</v>
      </c>
      <c r="D2003" s="5" t="n">
        <f aca="false">IF(AND(ISNUMBER(B2003),ISNUMBER(C2003)),C2003-B2003,"")</f>
        <v>0</v>
      </c>
      <c r="E2003" s="4" t="s">
        <v>531</v>
      </c>
    </row>
    <row r="2004" customFormat="false" ht="15" hidden="false" customHeight="false" outlineLevel="0" collapsed="false">
      <c r="A2004" s="4" t="s">
        <v>2521</v>
      </c>
      <c r="B2004" s="5" t="n">
        <v>0.084</v>
      </c>
      <c r="C2004" s="5" t="n">
        <v>0.084</v>
      </c>
      <c r="D2004" s="5" t="n">
        <f aca="false">IF(AND(ISNUMBER(B2004),ISNUMBER(C2004)),C2004-B2004,"")</f>
        <v>0</v>
      </c>
      <c r="E2004" s="4" t="s">
        <v>531</v>
      </c>
    </row>
    <row r="2005" customFormat="false" ht="15" hidden="false" customHeight="false" outlineLevel="0" collapsed="false">
      <c r="A2005" s="4" t="s">
        <v>2522</v>
      </c>
      <c r="B2005" s="5" t="n">
        <v>0.062</v>
      </c>
      <c r="C2005" s="5" t="n">
        <v>0.062</v>
      </c>
      <c r="D2005" s="5" t="n">
        <f aca="false">IF(AND(ISNUMBER(B2005),ISNUMBER(C2005)),C2005-B2005,"")</f>
        <v>0</v>
      </c>
      <c r="E2005" s="4" t="s">
        <v>531</v>
      </c>
    </row>
    <row r="2006" customFormat="false" ht="15" hidden="false" customHeight="false" outlineLevel="0" collapsed="false">
      <c r="A2006" s="4" t="s">
        <v>2523</v>
      </c>
      <c r="B2006" s="5" t="n">
        <v>0.061</v>
      </c>
      <c r="C2006" s="5" t="n">
        <v>0.061</v>
      </c>
      <c r="D2006" s="5" t="n">
        <f aca="false">IF(AND(ISNUMBER(B2006),ISNUMBER(C2006)),C2006-B2006,"")</f>
        <v>0</v>
      </c>
      <c r="E2006" s="4" t="s">
        <v>531</v>
      </c>
    </row>
    <row r="2007" customFormat="false" ht="15" hidden="false" customHeight="false" outlineLevel="0" collapsed="false">
      <c r="A2007" s="4" t="s">
        <v>2524</v>
      </c>
      <c r="B2007" s="5" t="n">
        <v>0.173</v>
      </c>
      <c r="C2007" s="5" t="n">
        <v>0.173</v>
      </c>
      <c r="D2007" s="5" t="n">
        <f aca="false">IF(AND(ISNUMBER(B2007),ISNUMBER(C2007)),C2007-B2007,"")</f>
        <v>0</v>
      </c>
      <c r="E2007" s="4" t="s">
        <v>531</v>
      </c>
    </row>
    <row r="2008" customFormat="false" ht="15" hidden="false" customHeight="false" outlineLevel="0" collapsed="false">
      <c r="A2008" s="4" t="s">
        <v>2525</v>
      </c>
      <c r="B2008" s="5" t="n">
        <v>0.763</v>
      </c>
      <c r="C2008" s="5" t="n">
        <v>0.764</v>
      </c>
      <c r="D2008" s="5" t="n">
        <f aca="false">IF(AND(ISNUMBER(B2008),ISNUMBER(C2008)),C2008-B2008,"")</f>
        <v>0.001</v>
      </c>
      <c r="E2008" s="4" t="s">
        <v>2252</v>
      </c>
    </row>
    <row r="2009" customFormat="false" ht="15" hidden="false" customHeight="false" outlineLevel="0" collapsed="false">
      <c r="A2009" s="4" t="s">
        <v>2526</v>
      </c>
      <c r="B2009" s="5" t="s">
        <v>216</v>
      </c>
      <c r="C2009" s="5" t="s">
        <v>216</v>
      </c>
      <c r="D2009" s="5" t="str">
        <f aca="false">IF(AND(ISNUMBER(B2009),ISNUMBER(C2009)),C2009-B2009,"")</f>
        <v/>
      </c>
      <c r="E2009" s="4" t="s">
        <v>531</v>
      </c>
    </row>
    <row r="2010" customFormat="false" ht="15" hidden="false" customHeight="false" outlineLevel="0" collapsed="false">
      <c r="A2010" s="4" t="s">
        <v>2527</v>
      </c>
      <c r="B2010" s="5" t="n">
        <v>-0.048</v>
      </c>
      <c r="C2010" s="5" t="n">
        <v>-0.048</v>
      </c>
      <c r="D2010" s="5" t="n">
        <f aca="false">IF(AND(ISNUMBER(B2010),ISNUMBER(C2010)),C2010-B2010,"")</f>
        <v>0</v>
      </c>
      <c r="E2010" s="4" t="s">
        <v>531</v>
      </c>
    </row>
    <row r="2011" customFormat="false" ht="15" hidden="false" customHeight="false" outlineLevel="0" collapsed="false">
      <c r="A2011" s="4" t="s">
        <v>2528</v>
      </c>
      <c r="B2011" s="5" t="n">
        <v>0.066</v>
      </c>
      <c r="C2011" s="5" t="n">
        <v>0.066</v>
      </c>
      <c r="D2011" s="5" t="n">
        <f aca="false">IF(AND(ISNUMBER(B2011),ISNUMBER(C2011)),C2011-B2011,"")</f>
        <v>0</v>
      </c>
      <c r="E2011" s="4" t="s">
        <v>531</v>
      </c>
    </row>
    <row r="2012" customFormat="false" ht="15" hidden="false" customHeight="false" outlineLevel="0" collapsed="false">
      <c r="A2012" s="4" t="s">
        <v>2529</v>
      </c>
      <c r="B2012" s="5" t="n">
        <v>0.066</v>
      </c>
      <c r="C2012" s="5" t="n">
        <v>0.066</v>
      </c>
      <c r="D2012" s="5" t="n">
        <f aca="false">IF(AND(ISNUMBER(B2012),ISNUMBER(C2012)),C2012-B2012,"")</f>
        <v>0</v>
      </c>
      <c r="E2012" s="4" t="s">
        <v>531</v>
      </c>
    </row>
    <row r="2013" customFormat="false" ht="15" hidden="false" customHeight="false" outlineLevel="0" collapsed="false">
      <c r="A2013" s="4" t="s">
        <v>2530</v>
      </c>
      <c r="B2013" s="5" t="n">
        <v>0.464</v>
      </c>
      <c r="C2013" s="5" t="n">
        <v>0.464</v>
      </c>
      <c r="D2013" s="5" t="n">
        <f aca="false">IF(AND(ISNUMBER(B2013),ISNUMBER(C2013)),C2013-B2013,"")</f>
        <v>0</v>
      </c>
      <c r="E2013" s="4" t="s">
        <v>531</v>
      </c>
    </row>
    <row r="2014" customFormat="false" ht="15" hidden="false" customHeight="false" outlineLevel="0" collapsed="false">
      <c r="A2014" s="4" t="s">
        <v>2531</v>
      </c>
      <c r="B2014" s="5" t="n">
        <v>0.922</v>
      </c>
      <c r="C2014" s="5" t="n">
        <v>0.921</v>
      </c>
      <c r="D2014" s="5" t="n">
        <f aca="false">IF(AND(ISNUMBER(B2014),ISNUMBER(C2014)),C2014-B2014,"")</f>
        <v>-0.001</v>
      </c>
      <c r="E2014" s="4" t="s">
        <v>2252</v>
      </c>
    </row>
    <row r="2015" customFormat="false" ht="15" hidden="false" customHeight="false" outlineLevel="0" collapsed="false">
      <c r="A2015" s="4" t="s">
        <v>2532</v>
      </c>
      <c r="B2015" s="5" t="s">
        <v>216</v>
      </c>
      <c r="C2015" s="5" t="s">
        <v>216</v>
      </c>
      <c r="D2015" s="5" t="str">
        <f aca="false">IF(AND(ISNUMBER(B2015),ISNUMBER(C2015)),C2015-B2015,"")</f>
        <v/>
      </c>
      <c r="E2015" s="4" t="s">
        <v>531</v>
      </c>
    </row>
    <row r="2016" customFormat="false" ht="15" hidden="false" customHeight="false" outlineLevel="0" collapsed="false">
      <c r="A2016" s="4" t="s">
        <v>2533</v>
      </c>
      <c r="B2016" s="5" t="n">
        <v>0.079</v>
      </c>
      <c r="C2016" s="5" t="n">
        <v>0.079</v>
      </c>
      <c r="D2016" s="5" t="n">
        <f aca="false">IF(AND(ISNUMBER(B2016),ISNUMBER(C2016)),C2016-B2016,"")</f>
        <v>0</v>
      </c>
      <c r="E2016" s="4" t="s">
        <v>531</v>
      </c>
    </row>
    <row r="2017" customFormat="false" ht="15" hidden="false" customHeight="false" outlineLevel="0" collapsed="false">
      <c r="A2017" s="4" t="s">
        <v>2534</v>
      </c>
      <c r="B2017" s="5" t="n">
        <v>0.058</v>
      </c>
      <c r="C2017" s="5" t="n">
        <v>0.058</v>
      </c>
      <c r="D2017" s="5" t="n">
        <f aca="false">IF(AND(ISNUMBER(B2017),ISNUMBER(C2017)),C2017-B2017,"")</f>
        <v>0</v>
      </c>
      <c r="E2017" s="4" t="s">
        <v>531</v>
      </c>
    </row>
    <row r="2018" customFormat="false" ht="15" hidden="false" customHeight="false" outlineLevel="0" collapsed="false">
      <c r="A2018" s="4" t="s">
        <v>2535</v>
      </c>
      <c r="B2018" s="5" t="n">
        <v>0.059</v>
      </c>
      <c r="C2018" s="5" t="n">
        <v>0.059</v>
      </c>
      <c r="D2018" s="5" t="n">
        <f aca="false">IF(AND(ISNUMBER(B2018),ISNUMBER(C2018)),C2018-B2018,"")</f>
        <v>0</v>
      </c>
      <c r="E2018" s="4" t="s">
        <v>531</v>
      </c>
    </row>
    <row r="2019" customFormat="false" ht="15" hidden="false" customHeight="false" outlineLevel="0" collapsed="false">
      <c r="A2019" s="4" t="s">
        <v>2536</v>
      </c>
      <c r="B2019" s="5" t="n">
        <v>0.173</v>
      </c>
      <c r="C2019" s="5" t="n">
        <v>0.173</v>
      </c>
      <c r="D2019" s="5" t="n">
        <f aca="false">IF(AND(ISNUMBER(B2019),ISNUMBER(C2019)),C2019-B2019,"")</f>
        <v>0</v>
      </c>
      <c r="E2019" s="4" t="s">
        <v>531</v>
      </c>
    </row>
    <row r="2020" customFormat="false" ht="15" hidden="false" customHeight="false" outlineLevel="0" collapsed="false">
      <c r="A2020" s="4" t="s">
        <v>2537</v>
      </c>
      <c r="B2020" s="5" t="n">
        <v>0.763</v>
      </c>
      <c r="C2020" s="5" t="n">
        <v>0.764</v>
      </c>
      <c r="D2020" s="5" t="n">
        <f aca="false">IF(AND(ISNUMBER(B2020),ISNUMBER(C2020)),C2020-B2020,"")</f>
        <v>0.001</v>
      </c>
      <c r="E2020" s="4" t="s">
        <v>2252</v>
      </c>
    </row>
    <row r="2021" customFormat="false" ht="15" hidden="false" customHeight="false" outlineLevel="0" collapsed="false">
      <c r="A2021" s="4" t="s">
        <v>2538</v>
      </c>
      <c r="B2021" s="5" t="s">
        <v>216</v>
      </c>
      <c r="C2021" s="5" t="s">
        <v>216</v>
      </c>
      <c r="D2021" s="5" t="str">
        <f aca="false">IF(AND(ISNUMBER(B2021),ISNUMBER(C2021)),C2021-B2021,"")</f>
        <v/>
      </c>
      <c r="E2021" s="4" t="s">
        <v>531</v>
      </c>
    </row>
    <row r="2022" customFormat="false" ht="15" hidden="false" customHeight="false" outlineLevel="0" collapsed="false">
      <c r="A2022" s="4" t="s">
        <v>2539</v>
      </c>
      <c r="B2022" s="5" t="n">
        <v>-0.053</v>
      </c>
      <c r="C2022" s="5" t="n">
        <v>-0.053</v>
      </c>
      <c r="D2022" s="5" t="n">
        <f aca="false">IF(AND(ISNUMBER(B2022),ISNUMBER(C2022)),C2022-B2022,"")</f>
        <v>0</v>
      </c>
      <c r="E2022" s="4" t="s">
        <v>531</v>
      </c>
    </row>
    <row r="2023" customFormat="false" ht="15" hidden="false" customHeight="false" outlineLevel="0" collapsed="false">
      <c r="A2023" s="4" t="s">
        <v>2540</v>
      </c>
      <c r="B2023" s="5" t="n">
        <v>0.097</v>
      </c>
      <c r="C2023" s="5" t="n">
        <v>0.097</v>
      </c>
      <c r="D2023" s="5" t="n">
        <f aca="false">IF(AND(ISNUMBER(B2023),ISNUMBER(C2023)),C2023-B2023,"")</f>
        <v>0</v>
      </c>
      <c r="E2023" s="4" t="s">
        <v>531</v>
      </c>
    </row>
    <row r="2024" customFormat="false" ht="15" hidden="false" customHeight="false" outlineLevel="0" collapsed="false">
      <c r="A2024" s="4" t="s">
        <v>2541</v>
      </c>
      <c r="B2024" s="5" t="n">
        <v>0.097</v>
      </c>
      <c r="C2024" s="5" t="n">
        <v>0.097</v>
      </c>
      <c r="D2024" s="5" t="n">
        <f aca="false">IF(AND(ISNUMBER(B2024),ISNUMBER(C2024)),C2024-B2024,"")</f>
        <v>0</v>
      </c>
      <c r="E2024" s="4" t="s">
        <v>531</v>
      </c>
    </row>
    <row r="2025" customFormat="false" ht="15" hidden="false" customHeight="false" outlineLevel="0" collapsed="false">
      <c r="A2025" s="4" t="s">
        <v>2542</v>
      </c>
      <c r="B2025" s="5" t="n">
        <v>0.588</v>
      </c>
      <c r="C2025" s="5" t="n">
        <v>0.588</v>
      </c>
      <c r="D2025" s="5" t="n">
        <f aca="false">IF(AND(ISNUMBER(B2025),ISNUMBER(C2025)),C2025-B2025,"")</f>
        <v>0</v>
      </c>
      <c r="E2025" s="4" t="s">
        <v>531</v>
      </c>
    </row>
    <row r="2026" customFormat="false" ht="15" hidden="false" customHeight="false" outlineLevel="0" collapsed="false">
      <c r="A2026" s="4" t="s">
        <v>2543</v>
      </c>
      <c r="B2026" s="5" t="n">
        <v>0.922</v>
      </c>
      <c r="C2026" s="5" t="n">
        <v>0.921</v>
      </c>
      <c r="D2026" s="5" t="n">
        <f aca="false">IF(AND(ISNUMBER(B2026),ISNUMBER(C2026)),C2026-B2026,"")</f>
        <v>-0.001</v>
      </c>
      <c r="E2026" s="4" t="s">
        <v>2252</v>
      </c>
    </row>
    <row r="2027" customFormat="false" ht="15" hidden="false" customHeight="false" outlineLevel="0" collapsed="false">
      <c r="A2027" s="4" t="s">
        <v>2544</v>
      </c>
      <c r="B2027" s="5" t="s">
        <v>216</v>
      </c>
      <c r="C2027" s="5" t="s">
        <v>216</v>
      </c>
      <c r="D2027" s="5" t="str">
        <f aca="false">IF(AND(ISNUMBER(B2027),ISNUMBER(C2027)),C2027-B2027,"")</f>
        <v/>
      </c>
      <c r="E2027" s="4" t="s">
        <v>531</v>
      </c>
    </row>
    <row r="2028" customFormat="false" ht="15" hidden="false" customHeight="false" outlineLevel="0" collapsed="false">
      <c r="A2028" s="4" t="s">
        <v>2545</v>
      </c>
      <c r="B2028" s="5" t="n">
        <v>0.064</v>
      </c>
      <c r="C2028" s="5" t="n">
        <v>0.064</v>
      </c>
      <c r="D2028" s="5" t="n">
        <f aca="false">IF(AND(ISNUMBER(B2028),ISNUMBER(C2028)),C2028-B2028,"")</f>
        <v>0</v>
      </c>
      <c r="E2028" s="4" t="s">
        <v>531</v>
      </c>
    </row>
    <row r="2029" customFormat="false" ht="15" hidden="false" customHeight="false" outlineLevel="0" collapsed="false">
      <c r="A2029" s="4" t="s">
        <v>2546</v>
      </c>
      <c r="B2029" s="5" t="n">
        <v>0.041</v>
      </c>
      <c r="C2029" s="5" t="n">
        <v>0.041</v>
      </c>
      <c r="D2029" s="5" t="n">
        <f aca="false">IF(AND(ISNUMBER(B2029),ISNUMBER(C2029)),C2029-B2029,"")</f>
        <v>0</v>
      </c>
      <c r="E2029" s="4" t="s">
        <v>531</v>
      </c>
    </row>
    <row r="2030" customFormat="false" ht="15" hidden="false" customHeight="false" outlineLevel="0" collapsed="false">
      <c r="A2030" s="4" t="s">
        <v>2547</v>
      </c>
      <c r="B2030" s="5" t="n">
        <v>0.04</v>
      </c>
      <c r="C2030" s="5" t="n">
        <v>0.04</v>
      </c>
      <c r="D2030" s="5" t="n">
        <f aca="false">IF(AND(ISNUMBER(B2030),ISNUMBER(C2030)),C2030-B2030,"")</f>
        <v>0</v>
      </c>
      <c r="E2030" s="4" t="s">
        <v>531</v>
      </c>
    </row>
    <row r="2031" customFormat="false" ht="15" hidden="false" customHeight="false" outlineLevel="0" collapsed="false">
      <c r="A2031" s="4" t="s">
        <v>2548</v>
      </c>
      <c r="B2031" s="5" t="n">
        <v>0.114</v>
      </c>
      <c r="C2031" s="5" t="n">
        <v>0.114</v>
      </c>
      <c r="D2031" s="5" t="n">
        <f aca="false">IF(AND(ISNUMBER(B2031),ISNUMBER(C2031)),C2031-B2031,"")</f>
        <v>0</v>
      </c>
      <c r="E2031" s="4" t="s">
        <v>531</v>
      </c>
    </row>
    <row r="2032" customFormat="false" ht="15" hidden="false" customHeight="false" outlineLevel="0" collapsed="false">
      <c r="A2032" s="4" t="s">
        <v>2549</v>
      </c>
      <c r="B2032" s="5" t="n">
        <v>0.641</v>
      </c>
      <c r="C2032" s="5" t="n">
        <v>0.67</v>
      </c>
      <c r="D2032" s="5" t="n">
        <f aca="false">IF(AND(ISNUMBER(B2032),ISNUMBER(C2032)),C2032-B2032,"")</f>
        <v>0.029</v>
      </c>
      <c r="E2032" s="4" t="s">
        <v>2252</v>
      </c>
    </row>
    <row r="2033" customFormat="false" ht="15" hidden="false" customHeight="false" outlineLevel="0" collapsed="false">
      <c r="A2033" s="4" t="s">
        <v>2550</v>
      </c>
      <c r="B2033" s="5" t="s">
        <v>216</v>
      </c>
      <c r="C2033" s="5" t="s">
        <v>216</v>
      </c>
      <c r="D2033" s="5" t="str">
        <f aca="false">IF(AND(ISNUMBER(B2033),ISNUMBER(C2033)),C2033-B2033,"")</f>
        <v/>
      </c>
      <c r="E2033" s="4" t="s">
        <v>531</v>
      </c>
    </row>
    <row r="2034" customFormat="false" ht="15" hidden="false" customHeight="false" outlineLevel="0" collapsed="false">
      <c r="A2034" s="4" t="s">
        <v>2551</v>
      </c>
      <c r="B2034" s="5" t="n">
        <v>0.961</v>
      </c>
      <c r="C2034" s="5" t="n">
        <v>0.961</v>
      </c>
      <c r="D2034" s="5" t="n">
        <f aca="false">IF(AND(ISNUMBER(B2034),ISNUMBER(C2034)),C2034-B2034,"")</f>
        <v>0</v>
      </c>
      <c r="E2034" s="4" t="s">
        <v>531</v>
      </c>
    </row>
    <row r="2035" customFormat="false" ht="15" hidden="false" customHeight="false" outlineLevel="0" collapsed="false">
      <c r="A2035" s="4" t="s">
        <v>2552</v>
      </c>
      <c r="B2035" s="5" t="n">
        <v>0.309</v>
      </c>
      <c r="C2035" s="5" t="n">
        <v>0.309</v>
      </c>
      <c r="D2035" s="5" t="n">
        <f aca="false">IF(AND(ISNUMBER(B2035),ISNUMBER(C2035)),C2035-B2035,"")</f>
        <v>0</v>
      </c>
      <c r="E2035" s="4" t="s">
        <v>531</v>
      </c>
    </row>
    <row r="2036" customFormat="false" ht="15" hidden="false" customHeight="false" outlineLevel="0" collapsed="false">
      <c r="A2036" s="4" t="s">
        <v>2553</v>
      </c>
      <c r="B2036" s="5" t="n">
        <v>0.31</v>
      </c>
      <c r="C2036" s="5" t="n">
        <v>0.31</v>
      </c>
      <c r="D2036" s="5" t="n">
        <f aca="false">IF(AND(ISNUMBER(B2036),ISNUMBER(C2036)),C2036-B2036,"")</f>
        <v>0</v>
      </c>
      <c r="E2036" s="4" t="s">
        <v>531</v>
      </c>
    </row>
    <row r="2037" customFormat="false" ht="15" hidden="false" customHeight="false" outlineLevel="0" collapsed="false">
      <c r="A2037" s="4" t="s">
        <v>2554</v>
      </c>
      <c r="B2037" s="5" t="n">
        <v>0.002</v>
      </c>
      <c r="C2037" s="5" t="n">
        <v>0.002</v>
      </c>
      <c r="D2037" s="5" t="n">
        <f aca="false">IF(AND(ISNUMBER(B2037),ISNUMBER(C2037)),C2037-B2037,"")</f>
        <v>0</v>
      </c>
      <c r="E2037" s="4" t="s">
        <v>531</v>
      </c>
    </row>
    <row r="2038" customFormat="false" ht="15" hidden="false" customHeight="false" outlineLevel="0" collapsed="false">
      <c r="A2038" s="4" t="s">
        <v>2555</v>
      </c>
      <c r="B2038" s="5" t="n">
        <v>0.036</v>
      </c>
      <c r="C2038" s="5" t="n">
        <v>0.026</v>
      </c>
      <c r="D2038" s="5" t="n">
        <f aca="false">IF(AND(ISNUMBER(B2038),ISNUMBER(C2038)),C2038-B2038,"")</f>
        <v>-0.01</v>
      </c>
      <c r="E2038" s="4" t="s">
        <v>2252</v>
      </c>
    </row>
    <row r="2039" customFormat="false" ht="15" hidden="false" customHeight="false" outlineLevel="0" collapsed="false">
      <c r="A2039" s="4" t="s">
        <v>2556</v>
      </c>
      <c r="B2039" s="5" t="s">
        <v>216</v>
      </c>
      <c r="C2039" s="5" t="s">
        <v>216</v>
      </c>
      <c r="D2039" s="5" t="str">
        <f aca="false">IF(AND(ISNUMBER(B2039),ISNUMBER(C2039)),C2039-B2039,"")</f>
        <v/>
      </c>
      <c r="E2039" s="4" t="s">
        <v>531</v>
      </c>
    </row>
    <row r="2040" customFormat="false" ht="15" hidden="false" customHeight="false" outlineLevel="0" collapsed="false">
      <c r="A2040" s="4" t="s">
        <v>2557</v>
      </c>
      <c r="B2040" s="5" t="n">
        <v>0.147</v>
      </c>
      <c r="C2040" s="5" t="n">
        <v>0.147</v>
      </c>
      <c r="D2040" s="5" t="n">
        <f aca="false">IF(AND(ISNUMBER(B2040),ISNUMBER(C2040)),C2040-B2040,"")</f>
        <v>0</v>
      </c>
      <c r="E2040" s="4" t="s">
        <v>531</v>
      </c>
    </row>
    <row r="2041" customFormat="false" ht="15" hidden="false" customHeight="false" outlineLevel="0" collapsed="false">
      <c r="A2041" s="4" t="s">
        <v>2558</v>
      </c>
      <c r="B2041" s="5" t="n">
        <v>0.057</v>
      </c>
      <c r="C2041" s="5" t="n">
        <v>0.057</v>
      </c>
      <c r="D2041" s="5" t="n">
        <f aca="false">IF(AND(ISNUMBER(B2041),ISNUMBER(C2041)),C2041-B2041,"")</f>
        <v>0</v>
      </c>
      <c r="E2041" s="4" t="s">
        <v>531</v>
      </c>
    </row>
    <row r="2042" customFormat="false" ht="15" hidden="false" customHeight="false" outlineLevel="0" collapsed="false">
      <c r="A2042" s="4" t="s">
        <v>2559</v>
      </c>
      <c r="B2042" s="5" t="n">
        <v>0.057</v>
      </c>
      <c r="C2042" s="5" t="n">
        <v>0.057</v>
      </c>
      <c r="D2042" s="5" t="n">
        <f aca="false">IF(AND(ISNUMBER(B2042),ISNUMBER(C2042)),C2042-B2042,"")</f>
        <v>0</v>
      </c>
      <c r="E2042" s="4" t="s">
        <v>531</v>
      </c>
    </row>
    <row r="2043" customFormat="false" ht="15" hidden="false" customHeight="false" outlineLevel="0" collapsed="false">
      <c r="A2043" s="4" t="s">
        <v>2560</v>
      </c>
      <c r="B2043" s="5" t="n">
        <v>0.01</v>
      </c>
      <c r="C2043" s="5" t="n">
        <v>0.01</v>
      </c>
      <c r="D2043" s="5" t="n">
        <f aca="false">IF(AND(ISNUMBER(B2043),ISNUMBER(C2043)),C2043-B2043,"")</f>
        <v>0</v>
      </c>
      <c r="E2043" s="4" t="s">
        <v>531</v>
      </c>
    </row>
    <row r="2044" customFormat="false" ht="15" hidden="false" customHeight="false" outlineLevel="0" collapsed="false">
      <c r="A2044" s="4" t="s">
        <v>2561</v>
      </c>
      <c r="B2044" s="5" t="n">
        <v>0.141</v>
      </c>
      <c r="C2044" s="5" t="n">
        <v>0.131</v>
      </c>
      <c r="D2044" s="5" t="n">
        <f aca="false">IF(AND(ISNUMBER(B2044),ISNUMBER(C2044)),C2044-B2044,"")</f>
        <v>-0.00999999999999998</v>
      </c>
      <c r="E2044" s="4" t="s">
        <v>2252</v>
      </c>
    </row>
    <row r="2045" customFormat="false" ht="15" hidden="false" customHeight="false" outlineLevel="0" collapsed="false">
      <c r="A2045" s="4" t="s">
        <v>2562</v>
      </c>
      <c r="B2045" s="5" t="s">
        <v>216</v>
      </c>
      <c r="C2045" s="5" t="s">
        <v>216</v>
      </c>
      <c r="D2045" s="5" t="str">
        <f aca="false">IF(AND(ISNUMBER(B2045),ISNUMBER(C2045)),C2045-B2045,"")</f>
        <v/>
      </c>
      <c r="E2045" s="4" t="s">
        <v>531</v>
      </c>
    </row>
    <row r="2046" customFormat="false" ht="15" hidden="false" customHeight="false" outlineLevel="0" collapsed="false">
      <c r="A2046" s="4" t="s">
        <v>2563</v>
      </c>
      <c r="B2046" s="5" t="n">
        <v>0.102</v>
      </c>
      <c r="C2046" s="5" t="n">
        <v>0.102</v>
      </c>
      <c r="D2046" s="5" t="n">
        <f aca="false">IF(AND(ISNUMBER(B2046),ISNUMBER(C2046)),C2046-B2046,"")</f>
        <v>0</v>
      </c>
      <c r="E2046" s="4" t="s">
        <v>531</v>
      </c>
    </row>
    <row r="2047" customFormat="false" ht="15" hidden="false" customHeight="false" outlineLevel="0" collapsed="false">
      <c r="A2047" s="4" t="s">
        <v>2564</v>
      </c>
      <c r="B2047" s="5" t="n">
        <v>0.058</v>
      </c>
      <c r="C2047" s="5" t="n">
        <v>0.058</v>
      </c>
      <c r="D2047" s="5" t="n">
        <f aca="false">IF(AND(ISNUMBER(B2047),ISNUMBER(C2047)),C2047-B2047,"")</f>
        <v>0</v>
      </c>
      <c r="E2047" s="4" t="s">
        <v>531</v>
      </c>
    </row>
    <row r="2048" customFormat="false" ht="15" hidden="false" customHeight="false" outlineLevel="0" collapsed="false">
      <c r="A2048" s="4" t="s">
        <v>2565</v>
      </c>
      <c r="B2048" s="5" t="n">
        <v>0.058</v>
      </c>
      <c r="C2048" s="5" t="n">
        <v>0.058</v>
      </c>
      <c r="D2048" s="5" t="n">
        <f aca="false">IF(AND(ISNUMBER(B2048),ISNUMBER(C2048)),C2048-B2048,"")</f>
        <v>0</v>
      </c>
      <c r="E2048" s="4" t="s">
        <v>531</v>
      </c>
    </row>
    <row r="2049" customFormat="false" ht="15" hidden="false" customHeight="false" outlineLevel="0" collapsed="false">
      <c r="A2049" s="4" t="s">
        <v>2566</v>
      </c>
      <c r="B2049" s="5" t="n">
        <v>0.076</v>
      </c>
      <c r="C2049" s="5" t="n">
        <v>0.076</v>
      </c>
      <c r="D2049" s="5" t="n">
        <f aca="false">IF(AND(ISNUMBER(B2049),ISNUMBER(C2049)),C2049-B2049,"")</f>
        <v>0</v>
      </c>
      <c r="E2049" s="4" t="s">
        <v>531</v>
      </c>
    </row>
    <row r="2050" customFormat="false" ht="15" hidden="false" customHeight="false" outlineLevel="0" collapsed="false">
      <c r="A2050" s="4" t="s">
        <v>2567</v>
      </c>
      <c r="B2050" s="5" t="n">
        <v>0.554</v>
      </c>
      <c r="C2050" s="5" t="n">
        <v>0.577</v>
      </c>
      <c r="D2050" s="5" t="n">
        <f aca="false">IF(AND(ISNUMBER(B2050),ISNUMBER(C2050)),C2050-B2050,"")</f>
        <v>0.0229999999999999</v>
      </c>
      <c r="E2050" s="4" t="s">
        <v>2252</v>
      </c>
    </row>
    <row r="2051" customFormat="false" ht="15" hidden="false" customHeight="false" outlineLevel="0" collapsed="false">
      <c r="A2051" s="4" t="s">
        <v>2568</v>
      </c>
      <c r="B2051" s="5" t="s">
        <v>216</v>
      </c>
      <c r="C2051" s="5" t="s">
        <v>216</v>
      </c>
      <c r="D2051" s="5" t="str">
        <f aca="false">IF(AND(ISNUMBER(B2051),ISNUMBER(C2051)),C2051-B2051,"")</f>
        <v/>
      </c>
      <c r="E2051" s="4" t="s">
        <v>531</v>
      </c>
    </row>
    <row r="2052" customFormat="false" ht="15" hidden="false" customHeight="false" outlineLevel="0" collapsed="false">
      <c r="A2052" s="4" t="s">
        <v>2569</v>
      </c>
      <c r="B2052" s="5" t="n">
        <v>0.064</v>
      </c>
      <c r="C2052" s="5" t="n">
        <v>0.064</v>
      </c>
      <c r="D2052" s="5" t="n">
        <f aca="false">IF(AND(ISNUMBER(B2052),ISNUMBER(C2052)),C2052-B2052,"")</f>
        <v>0</v>
      </c>
      <c r="E2052" s="4" t="s">
        <v>531</v>
      </c>
    </row>
    <row r="2053" customFormat="false" ht="15" hidden="false" customHeight="false" outlineLevel="0" collapsed="false">
      <c r="A2053" s="4" t="s">
        <v>2570</v>
      </c>
      <c r="B2053" s="5" t="n">
        <v>0.052</v>
      </c>
      <c r="C2053" s="5" t="n">
        <v>0.052</v>
      </c>
      <c r="D2053" s="5" t="n">
        <f aca="false">IF(AND(ISNUMBER(B2053),ISNUMBER(C2053)),C2053-B2053,"")</f>
        <v>0</v>
      </c>
      <c r="E2053" s="4" t="s">
        <v>531</v>
      </c>
    </row>
    <row r="2054" customFormat="false" ht="15" hidden="false" customHeight="false" outlineLevel="0" collapsed="false">
      <c r="A2054" s="4" t="s">
        <v>2571</v>
      </c>
      <c r="B2054" s="5" t="n">
        <v>0.052</v>
      </c>
      <c r="C2054" s="5" t="n">
        <v>0.052</v>
      </c>
      <c r="D2054" s="5" t="n">
        <f aca="false">IF(AND(ISNUMBER(B2054),ISNUMBER(C2054)),C2054-B2054,"")</f>
        <v>0</v>
      </c>
      <c r="E2054" s="4" t="s">
        <v>531</v>
      </c>
    </row>
    <row r="2055" customFormat="false" ht="15" hidden="false" customHeight="false" outlineLevel="0" collapsed="false">
      <c r="A2055" s="4" t="s">
        <v>2572</v>
      </c>
      <c r="B2055" s="5" t="n">
        <v>0.219</v>
      </c>
      <c r="C2055" s="5" t="n">
        <v>0.219</v>
      </c>
      <c r="D2055" s="5" t="n">
        <f aca="false">IF(AND(ISNUMBER(B2055),ISNUMBER(C2055)),C2055-B2055,"")</f>
        <v>0</v>
      </c>
      <c r="E2055" s="4" t="s">
        <v>531</v>
      </c>
    </row>
    <row r="2056" customFormat="false" ht="15" hidden="false" customHeight="false" outlineLevel="0" collapsed="false">
      <c r="A2056" s="4" t="s">
        <v>2573</v>
      </c>
      <c r="B2056" s="5" t="n">
        <v>0.788</v>
      </c>
      <c r="C2056" s="5" t="n">
        <v>0.783</v>
      </c>
      <c r="D2056" s="5" t="n">
        <f aca="false">IF(AND(ISNUMBER(B2056),ISNUMBER(C2056)),C2056-B2056,"")</f>
        <v>-0.005</v>
      </c>
      <c r="E2056" s="4" t="s">
        <v>2252</v>
      </c>
    </row>
    <row r="2057" customFormat="false" ht="15" hidden="false" customHeight="false" outlineLevel="0" collapsed="false">
      <c r="A2057" s="4" t="s">
        <v>2574</v>
      </c>
      <c r="B2057" s="5" t="s">
        <v>216</v>
      </c>
      <c r="C2057" s="5" t="s">
        <v>216</v>
      </c>
      <c r="D2057" s="5" t="str">
        <f aca="false">IF(AND(ISNUMBER(B2057),ISNUMBER(C2057)),C2057-B2057,"")</f>
        <v/>
      </c>
      <c r="E2057" s="4" t="s">
        <v>531</v>
      </c>
    </row>
    <row r="2058" customFormat="false" ht="15" hidden="false" customHeight="false" outlineLevel="0" collapsed="false">
      <c r="A2058" s="4" t="s">
        <v>2575</v>
      </c>
      <c r="B2058" s="5" t="n">
        <v>0.047</v>
      </c>
      <c r="C2058" s="5" t="n">
        <v>0.047</v>
      </c>
      <c r="D2058" s="5" t="n">
        <f aca="false">IF(AND(ISNUMBER(B2058),ISNUMBER(C2058)),C2058-B2058,"")</f>
        <v>0</v>
      </c>
      <c r="E2058" s="4" t="s">
        <v>531</v>
      </c>
    </row>
    <row r="2059" customFormat="false" ht="15" hidden="false" customHeight="false" outlineLevel="0" collapsed="false">
      <c r="A2059" s="4" t="s">
        <v>2576</v>
      </c>
      <c r="B2059" s="5" t="n">
        <v>0.054</v>
      </c>
      <c r="C2059" s="5" t="n">
        <v>0.054</v>
      </c>
      <c r="D2059" s="5" t="n">
        <f aca="false">IF(AND(ISNUMBER(B2059),ISNUMBER(C2059)),C2059-B2059,"")</f>
        <v>0</v>
      </c>
      <c r="E2059" s="4" t="s">
        <v>531</v>
      </c>
    </row>
    <row r="2060" customFormat="false" ht="15" hidden="false" customHeight="false" outlineLevel="0" collapsed="false">
      <c r="A2060" s="4" t="s">
        <v>2577</v>
      </c>
      <c r="B2060" s="5" t="n">
        <v>0.054</v>
      </c>
      <c r="C2060" s="5" t="n">
        <v>0.054</v>
      </c>
      <c r="D2060" s="5" t="n">
        <f aca="false">IF(AND(ISNUMBER(B2060),ISNUMBER(C2060)),C2060-B2060,"")</f>
        <v>0</v>
      </c>
      <c r="E2060" s="4" t="s">
        <v>531</v>
      </c>
    </row>
    <row r="2061" customFormat="false" ht="15" hidden="false" customHeight="false" outlineLevel="0" collapsed="false">
      <c r="A2061" s="4" t="s">
        <v>2578</v>
      </c>
      <c r="B2061" s="5" t="n">
        <v>0.389</v>
      </c>
      <c r="C2061" s="5" t="n">
        <v>0.389</v>
      </c>
      <c r="D2061" s="5" t="n">
        <f aca="false">IF(AND(ISNUMBER(B2061),ISNUMBER(C2061)),C2061-B2061,"")</f>
        <v>0</v>
      </c>
      <c r="E2061" s="4" t="s">
        <v>531</v>
      </c>
    </row>
    <row r="2062" customFormat="false" ht="15" hidden="false" customHeight="false" outlineLevel="0" collapsed="false">
      <c r="A2062" s="4" t="s">
        <v>2579</v>
      </c>
      <c r="B2062" s="5" t="n">
        <v>0.922</v>
      </c>
      <c r="C2062" s="5" t="n">
        <v>0.921</v>
      </c>
      <c r="D2062" s="5" t="n">
        <f aca="false">IF(AND(ISNUMBER(B2062),ISNUMBER(C2062)),C2062-B2062,"")</f>
        <v>-0.001</v>
      </c>
      <c r="E2062" s="4" t="s">
        <v>2252</v>
      </c>
    </row>
    <row r="2063" customFormat="false" ht="15" hidden="false" customHeight="false" outlineLevel="0" collapsed="false">
      <c r="A2063" s="4" t="s">
        <v>2580</v>
      </c>
      <c r="B2063" s="5" t="s">
        <v>216</v>
      </c>
      <c r="C2063" s="5" t="s">
        <v>216</v>
      </c>
      <c r="D2063" s="5" t="str">
        <f aca="false">IF(AND(ISNUMBER(B2063),ISNUMBER(C2063)),C2063-B2063,"")</f>
        <v/>
      </c>
      <c r="E2063" s="4" t="s">
        <v>531</v>
      </c>
    </row>
    <row r="2064" customFormat="false" ht="15" hidden="false" customHeight="false" outlineLevel="0" collapsed="false">
      <c r="A2064" s="4" t="s">
        <v>2581</v>
      </c>
      <c r="B2064" s="5" t="n">
        <v>0.131</v>
      </c>
      <c r="C2064" s="5" t="n">
        <v>0.131</v>
      </c>
      <c r="D2064" s="5" t="n">
        <f aca="false">IF(AND(ISNUMBER(B2064),ISNUMBER(C2064)),C2064-B2064,"")</f>
        <v>0</v>
      </c>
      <c r="E2064" s="4" t="s">
        <v>531</v>
      </c>
    </row>
    <row r="2065" customFormat="false" ht="15" hidden="false" customHeight="false" outlineLevel="0" collapsed="false">
      <c r="A2065" s="4" t="s">
        <v>2582</v>
      </c>
      <c r="B2065" s="5" t="n">
        <v>0.058</v>
      </c>
      <c r="C2065" s="5" t="n">
        <v>0.058</v>
      </c>
      <c r="D2065" s="5" t="n">
        <f aca="false">IF(AND(ISNUMBER(B2065),ISNUMBER(C2065)),C2065-B2065,"")</f>
        <v>0</v>
      </c>
      <c r="E2065" s="4" t="s">
        <v>531</v>
      </c>
    </row>
    <row r="2066" customFormat="false" ht="15" hidden="false" customHeight="false" outlineLevel="0" collapsed="false">
      <c r="A2066" s="4" t="s">
        <v>2583</v>
      </c>
      <c r="B2066" s="5" t="n">
        <v>0.058</v>
      </c>
      <c r="C2066" s="5" t="n">
        <v>0.058</v>
      </c>
      <c r="D2066" s="5" t="n">
        <f aca="false">IF(AND(ISNUMBER(B2066),ISNUMBER(C2066)),C2066-B2066,"")</f>
        <v>0</v>
      </c>
      <c r="E2066" s="4" t="s">
        <v>531</v>
      </c>
    </row>
    <row r="2067" customFormat="false" ht="15" hidden="false" customHeight="false" outlineLevel="0" collapsed="false">
      <c r="A2067" s="4" t="s">
        <v>2584</v>
      </c>
      <c r="B2067" s="5" t="n">
        <v>0.025</v>
      </c>
      <c r="C2067" s="5" t="n">
        <v>0.025</v>
      </c>
      <c r="D2067" s="5" t="n">
        <f aca="false">IF(AND(ISNUMBER(B2067),ISNUMBER(C2067)),C2067-B2067,"")</f>
        <v>0</v>
      </c>
      <c r="E2067" s="4" t="s">
        <v>531</v>
      </c>
    </row>
    <row r="2068" customFormat="false" ht="15" hidden="false" customHeight="false" outlineLevel="0" collapsed="false">
      <c r="A2068" s="4" t="s">
        <v>2585</v>
      </c>
      <c r="B2068" s="5" t="n">
        <v>0.287</v>
      </c>
      <c r="C2068" s="5" t="n">
        <v>0.289</v>
      </c>
      <c r="D2068" s="5" t="n">
        <f aca="false">IF(AND(ISNUMBER(B2068),ISNUMBER(C2068)),C2068-B2068,"")</f>
        <v>0.002</v>
      </c>
      <c r="E2068" s="4" t="s">
        <v>2252</v>
      </c>
    </row>
    <row r="2069" customFormat="false" ht="15" hidden="false" customHeight="false" outlineLevel="0" collapsed="false">
      <c r="A2069" s="4" t="s">
        <v>2586</v>
      </c>
      <c r="B2069" s="5" t="s">
        <v>216</v>
      </c>
      <c r="C2069" s="5" t="s">
        <v>216</v>
      </c>
      <c r="D2069" s="5" t="str">
        <f aca="false">IF(AND(ISNUMBER(B2069),ISNUMBER(C2069)),C2069-B2069,"")</f>
        <v/>
      </c>
      <c r="E2069" s="4" t="s">
        <v>531</v>
      </c>
    </row>
    <row r="2070" customFormat="false" ht="15" hidden="false" customHeight="false" outlineLevel="0" collapsed="false">
      <c r="A2070" s="4" t="s">
        <v>2587</v>
      </c>
      <c r="B2070" s="5" t="n">
        <v>0.125</v>
      </c>
      <c r="C2070" s="5" t="n">
        <v>0.125</v>
      </c>
      <c r="D2070" s="5" t="n">
        <f aca="false">IF(AND(ISNUMBER(B2070),ISNUMBER(C2070)),C2070-B2070,"")</f>
        <v>0</v>
      </c>
      <c r="E2070" s="4" t="s">
        <v>531</v>
      </c>
    </row>
    <row r="2071" customFormat="false" ht="15" hidden="false" customHeight="false" outlineLevel="0" collapsed="false">
      <c r="A2071" s="4" t="s">
        <v>2588</v>
      </c>
      <c r="B2071" s="5" t="n">
        <v>0.055</v>
      </c>
      <c r="C2071" s="5" t="n">
        <v>0.055</v>
      </c>
      <c r="D2071" s="5" t="n">
        <f aca="false">IF(AND(ISNUMBER(B2071),ISNUMBER(C2071)),C2071-B2071,"")</f>
        <v>0</v>
      </c>
      <c r="E2071" s="4" t="s">
        <v>531</v>
      </c>
    </row>
    <row r="2072" customFormat="false" ht="15" hidden="false" customHeight="false" outlineLevel="0" collapsed="false">
      <c r="A2072" s="4" t="s">
        <v>2589</v>
      </c>
      <c r="B2072" s="5" t="n">
        <v>0.056</v>
      </c>
      <c r="C2072" s="5" t="n">
        <v>0.056</v>
      </c>
      <c r="D2072" s="5" t="n">
        <f aca="false">IF(AND(ISNUMBER(B2072),ISNUMBER(C2072)),C2072-B2072,"")</f>
        <v>0</v>
      </c>
      <c r="E2072" s="4" t="s">
        <v>531</v>
      </c>
    </row>
    <row r="2073" customFormat="false" ht="15" hidden="false" customHeight="false" outlineLevel="0" collapsed="false">
      <c r="A2073" s="4" t="s">
        <v>2590</v>
      </c>
      <c r="B2073" s="5" t="n">
        <v>0.023</v>
      </c>
      <c r="C2073" s="5" t="n">
        <v>0.023</v>
      </c>
      <c r="D2073" s="5" t="n">
        <f aca="false">IF(AND(ISNUMBER(B2073),ISNUMBER(C2073)),C2073-B2073,"")</f>
        <v>0</v>
      </c>
      <c r="E2073" s="4" t="s">
        <v>531</v>
      </c>
    </row>
    <row r="2074" customFormat="false" ht="15" hidden="false" customHeight="false" outlineLevel="0" collapsed="false">
      <c r="A2074" s="4" t="s">
        <v>2591</v>
      </c>
      <c r="B2074" s="5" t="n">
        <v>0.287</v>
      </c>
      <c r="C2074" s="5" t="n">
        <v>0.289</v>
      </c>
      <c r="D2074" s="5" t="n">
        <f aca="false">IF(AND(ISNUMBER(B2074),ISNUMBER(C2074)),C2074-B2074,"")</f>
        <v>0.002</v>
      </c>
      <c r="E2074" s="4" t="s">
        <v>2252</v>
      </c>
    </row>
    <row r="2075" customFormat="false" ht="15" hidden="false" customHeight="false" outlineLevel="0" collapsed="false">
      <c r="A2075" s="4" t="s">
        <v>2592</v>
      </c>
      <c r="B2075" s="5" t="s">
        <v>216</v>
      </c>
      <c r="C2075" s="5" t="s">
        <v>216</v>
      </c>
      <c r="D2075" s="5" t="str">
        <f aca="false">IF(AND(ISNUMBER(B2075),ISNUMBER(C2075)),C2075-B2075,"")</f>
        <v/>
      </c>
      <c r="E2075" s="4" t="s">
        <v>531</v>
      </c>
    </row>
    <row r="2076" customFormat="false" ht="15" hidden="false" customHeight="false" outlineLevel="0" collapsed="false">
      <c r="A2076" s="4" t="s">
        <v>2593</v>
      </c>
      <c r="B2076" s="5" t="n">
        <v>0.096</v>
      </c>
      <c r="C2076" s="5" t="n">
        <v>0.096</v>
      </c>
      <c r="D2076" s="5" t="n">
        <f aca="false">IF(AND(ISNUMBER(B2076),ISNUMBER(C2076)),C2076-B2076,"")</f>
        <v>0</v>
      </c>
      <c r="E2076" s="4" t="s">
        <v>531</v>
      </c>
    </row>
    <row r="2077" customFormat="false" ht="15" hidden="false" customHeight="false" outlineLevel="0" collapsed="false">
      <c r="A2077" s="4" t="s">
        <v>2594</v>
      </c>
      <c r="B2077" s="5" t="n">
        <v>0.059</v>
      </c>
      <c r="C2077" s="5" t="n">
        <v>0.059</v>
      </c>
      <c r="D2077" s="5" t="n">
        <f aca="false">IF(AND(ISNUMBER(B2077),ISNUMBER(C2077)),C2077-B2077,"")</f>
        <v>0</v>
      </c>
      <c r="E2077" s="4" t="s">
        <v>531</v>
      </c>
    </row>
    <row r="2078" customFormat="false" ht="15" hidden="false" customHeight="false" outlineLevel="0" collapsed="false">
      <c r="A2078" s="4" t="s">
        <v>2595</v>
      </c>
      <c r="B2078" s="5" t="n">
        <v>0.059</v>
      </c>
      <c r="C2078" s="5" t="n">
        <v>0.059</v>
      </c>
      <c r="D2078" s="5" t="n">
        <f aca="false">IF(AND(ISNUMBER(B2078),ISNUMBER(C2078)),C2078-B2078,"")</f>
        <v>0</v>
      </c>
      <c r="E2078" s="4" t="s">
        <v>531</v>
      </c>
    </row>
    <row r="2079" customFormat="false" ht="15" hidden="false" customHeight="false" outlineLevel="0" collapsed="false">
      <c r="A2079" s="4" t="s">
        <v>2596</v>
      </c>
      <c r="B2079" s="5" t="n">
        <v>0.102</v>
      </c>
      <c r="C2079" s="5" t="n">
        <v>0.102</v>
      </c>
      <c r="D2079" s="5" t="n">
        <f aca="false">IF(AND(ISNUMBER(B2079),ISNUMBER(C2079)),C2079-B2079,"")</f>
        <v>0</v>
      </c>
      <c r="E2079" s="4" t="s">
        <v>531</v>
      </c>
    </row>
    <row r="2080" customFormat="false" ht="15" hidden="false" customHeight="false" outlineLevel="0" collapsed="false">
      <c r="A2080" s="4" t="s">
        <v>2597</v>
      </c>
      <c r="B2080" s="5" t="n">
        <v>0.633</v>
      </c>
      <c r="C2080" s="5" t="n">
        <v>0.664</v>
      </c>
      <c r="D2080" s="5" t="n">
        <f aca="false">IF(AND(ISNUMBER(B2080),ISNUMBER(C2080)),C2080-B2080,"")</f>
        <v>0.031</v>
      </c>
      <c r="E2080" s="4" t="s">
        <v>2252</v>
      </c>
    </row>
    <row r="2081" customFormat="false" ht="15" hidden="false" customHeight="false" outlineLevel="0" collapsed="false">
      <c r="A2081" s="4" t="s">
        <v>2598</v>
      </c>
      <c r="B2081" s="5" t="s">
        <v>216</v>
      </c>
      <c r="C2081" s="5" t="s">
        <v>216</v>
      </c>
      <c r="D2081" s="5" t="str">
        <f aca="false">IF(AND(ISNUMBER(B2081),ISNUMBER(C2081)),C2081-B2081,"")</f>
        <v/>
      </c>
      <c r="E2081" s="4" t="s">
        <v>531</v>
      </c>
    </row>
    <row r="2082" customFormat="false" ht="15" hidden="false" customHeight="false" outlineLevel="0" collapsed="false">
      <c r="A2082" s="4" t="s">
        <v>2599</v>
      </c>
      <c r="B2082" s="5" t="n">
        <v>0.196</v>
      </c>
      <c r="C2082" s="5" t="n">
        <v>0.196</v>
      </c>
      <c r="D2082" s="5" t="n">
        <f aca="false">IF(AND(ISNUMBER(B2082),ISNUMBER(C2082)),C2082-B2082,"")</f>
        <v>0</v>
      </c>
      <c r="E2082" s="4" t="s">
        <v>531</v>
      </c>
    </row>
    <row r="2083" customFormat="false" ht="15" hidden="false" customHeight="false" outlineLevel="0" collapsed="false">
      <c r="A2083" s="4" t="s">
        <v>2600</v>
      </c>
      <c r="B2083" s="5" t="n">
        <v>0.06</v>
      </c>
      <c r="C2083" s="5" t="n">
        <v>0.06</v>
      </c>
      <c r="D2083" s="5" t="n">
        <f aca="false">IF(AND(ISNUMBER(B2083),ISNUMBER(C2083)),C2083-B2083,"")</f>
        <v>0</v>
      </c>
      <c r="E2083" s="4" t="s">
        <v>531</v>
      </c>
    </row>
    <row r="2084" customFormat="false" ht="15" hidden="false" customHeight="false" outlineLevel="0" collapsed="false">
      <c r="A2084" s="4" t="s">
        <v>2601</v>
      </c>
      <c r="B2084" s="5" t="n">
        <v>0.06</v>
      </c>
      <c r="C2084" s="5" t="n">
        <v>0.06</v>
      </c>
      <c r="D2084" s="5" t="n">
        <f aca="false">IF(AND(ISNUMBER(B2084),ISNUMBER(C2084)),C2084-B2084,"")</f>
        <v>0</v>
      </c>
      <c r="E2084" s="4" t="s">
        <v>531</v>
      </c>
    </row>
    <row r="2085" customFormat="false" ht="15" hidden="false" customHeight="false" outlineLevel="0" collapsed="false">
      <c r="A2085" s="4" t="s">
        <v>2602</v>
      </c>
      <c r="B2085" s="5" t="n">
        <v>0.001</v>
      </c>
      <c r="C2085" s="5" t="n">
        <v>0.001</v>
      </c>
      <c r="D2085" s="5" t="n">
        <f aca="false">IF(AND(ISNUMBER(B2085),ISNUMBER(C2085)),C2085-B2085,"")</f>
        <v>0</v>
      </c>
      <c r="E2085" s="4" t="s">
        <v>531</v>
      </c>
    </row>
    <row r="2086" customFormat="false" ht="15" hidden="false" customHeight="false" outlineLevel="0" collapsed="false">
      <c r="A2086" s="4" t="s">
        <v>2603</v>
      </c>
      <c r="B2086" s="5" t="n">
        <v>0.018</v>
      </c>
      <c r="C2086" s="5" t="n">
        <v>0.02</v>
      </c>
      <c r="D2086" s="5" t="n">
        <f aca="false">IF(AND(ISNUMBER(B2086),ISNUMBER(C2086)),C2086-B2086,"")</f>
        <v>0.002</v>
      </c>
      <c r="E2086" s="4" t="s">
        <v>2252</v>
      </c>
    </row>
    <row r="2087" customFormat="false" ht="15" hidden="false" customHeight="false" outlineLevel="0" collapsed="false">
      <c r="A2087" s="4" t="s">
        <v>2604</v>
      </c>
      <c r="B2087" s="5" t="s">
        <v>216</v>
      </c>
      <c r="C2087" s="5" t="s">
        <v>216</v>
      </c>
      <c r="D2087" s="5" t="str">
        <f aca="false">IF(AND(ISNUMBER(B2087),ISNUMBER(C2087)),C2087-B2087,"")</f>
        <v/>
      </c>
      <c r="E2087" s="4" t="s">
        <v>531</v>
      </c>
    </row>
    <row r="2088" customFormat="false" ht="15" hidden="false" customHeight="false" outlineLevel="0" collapsed="false">
      <c r="A2088" s="4" t="s">
        <v>2605</v>
      </c>
      <c r="B2088" s="5" t="n">
        <v>0.04</v>
      </c>
      <c r="C2088" s="5" t="n">
        <v>0.04</v>
      </c>
      <c r="D2088" s="5" t="n">
        <f aca="false">IF(AND(ISNUMBER(B2088),ISNUMBER(C2088)),C2088-B2088,"")</f>
        <v>0</v>
      </c>
      <c r="E2088" s="4" t="s">
        <v>531</v>
      </c>
    </row>
    <row r="2089" customFormat="false" ht="15" hidden="false" customHeight="false" outlineLevel="0" collapsed="false">
      <c r="A2089" s="4" t="s">
        <v>2606</v>
      </c>
      <c r="B2089" s="5" t="n">
        <v>0.059</v>
      </c>
      <c r="C2089" s="5" t="n">
        <v>0.059</v>
      </c>
      <c r="D2089" s="5" t="n">
        <f aca="false">IF(AND(ISNUMBER(B2089),ISNUMBER(C2089)),C2089-B2089,"")</f>
        <v>0</v>
      </c>
      <c r="E2089" s="4" t="s">
        <v>531</v>
      </c>
    </row>
    <row r="2090" customFormat="false" ht="15" hidden="false" customHeight="false" outlineLevel="0" collapsed="false">
      <c r="A2090" s="4" t="s">
        <v>2607</v>
      </c>
      <c r="B2090" s="5" t="n">
        <v>0.059</v>
      </c>
      <c r="C2090" s="5" t="n">
        <v>0.059</v>
      </c>
      <c r="D2090" s="5" t="n">
        <f aca="false">IF(AND(ISNUMBER(B2090),ISNUMBER(C2090)),C2090-B2090,"")</f>
        <v>0</v>
      </c>
      <c r="E2090" s="4" t="s">
        <v>531</v>
      </c>
    </row>
    <row r="2091" customFormat="false" ht="15" hidden="false" customHeight="false" outlineLevel="0" collapsed="false">
      <c r="A2091" s="4" t="s">
        <v>2608</v>
      </c>
      <c r="B2091" s="5" t="n">
        <v>0.498</v>
      </c>
      <c r="C2091" s="5" t="n">
        <v>0.498</v>
      </c>
      <c r="D2091" s="5" t="n">
        <f aca="false">IF(AND(ISNUMBER(B2091),ISNUMBER(C2091)),C2091-B2091,"")</f>
        <v>0</v>
      </c>
      <c r="E2091" s="4" t="s">
        <v>531</v>
      </c>
    </row>
    <row r="2092" customFormat="false" ht="15" hidden="false" customHeight="false" outlineLevel="0" collapsed="false">
      <c r="A2092" s="4" t="s">
        <v>2609</v>
      </c>
      <c r="B2092" s="5" t="n">
        <v>0.922</v>
      </c>
      <c r="C2092" s="5" t="n">
        <v>0.921</v>
      </c>
      <c r="D2092" s="5" t="n">
        <f aca="false">IF(AND(ISNUMBER(B2092),ISNUMBER(C2092)),C2092-B2092,"")</f>
        <v>-0.001</v>
      </c>
      <c r="E2092" s="4" t="s">
        <v>2252</v>
      </c>
    </row>
    <row r="2093" customFormat="false" ht="15" hidden="false" customHeight="false" outlineLevel="0" collapsed="false">
      <c r="A2093" s="4" t="s">
        <v>2610</v>
      </c>
      <c r="B2093" s="5" t="s">
        <v>216</v>
      </c>
      <c r="C2093" s="5" t="s">
        <v>216</v>
      </c>
      <c r="D2093" s="5" t="str">
        <f aca="false">IF(AND(ISNUMBER(B2093),ISNUMBER(C2093)),C2093-B2093,"")</f>
        <v/>
      </c>
      <c r="E2093" s="4" t="s">
        <v>531</v>
      </c>
    </row>
    <row r="2094" customFormat="false" ht="15" hidden="false" customHeight="false" outlineLevel="0" collapsed="false">
      <c r="A2094" s="4" t="s">
        <v>2611</v>
      </c>
      <c r="B2094" s="5" t="n">
        <v>-0.029</v>
      </c>
      <c r="C2094" s="5" t="n">
        <v>-0.029</v>
      </c>
      <c r="D2094" s="5" t="n">
        <f aca="false">IF(AND(ISNUMBER(B2094),ISNUMBER(C2094)),C2094-B2094,"")</f>
        <v>0</v>
      </c>
      <c r="E2094" s="4" t="s">
        <v>531</v>
      </c>
    </row>
    <row r="2095" customFormat="false" ht="15" hidden="false" customHeight="false" outlineLevel="0" collapsed="false">
      <c r="A2095" s="4" t="s">
        <v>2612</v>
      </c>
      <c r="B2095" s="5" t="n">
        <v>0.055</v>
      </c>
      <c r="C2095" s="5" t="n">
        <v>0.055</v>
      </c>
      <c r="D2095" s="5" t="n">
        <f aca="false">IF(AND(ISNUMBER(B2095),ISNUMBER(C2095)),C2095-B2095,"")</f>
        <v>0</v>
      </c>
      <c r="E2095" s="4" t="s">
        <v>531</v>
      </c>
    </row>
    <row r="2096" customFormat="false" ht="15" hidden="false" customHeight="false" outlineLevel="0" collapsed="false">
      <c r="A2096" s="4" t="s">
        <v>2613</v>
      </c>
      <c r="B2096" s="5" t="n">
        <v>0.054</v>
      </c>
      <c r="C2096" s="5" t="n">
        <v>0.054</v>
      </c>
      <c r="D2096" s="5" t="n">
        <f aca="false">IF(AND(ISNUMBER(B2096),ISNUMBER(C2096)),C2096-B2096,"")</f>
        <v>0</v>
      </c>
      <c r="E2096" s="4" t="s">
        <v>531</v>
      </c>
    </row>
    <row r="2097" customFormat="false" ht="15" hidden="false" customHeight="false" outlineLevel="0" collapsed="false">
      <c r="A2097" s="4" t="s">
        <v>2614</v>
      </c>
      <c r="B2097" s="5" t="n">
        <v>0.6</v>
      </c>
      <c r="C2097" s="5" t="n">
        <v>0.6</v>
      </c>
      <c r="D2097" s="5" t="n">
        <f aca="false">IF(AND(ISNUMBER(B2097),ISNUMBER(C2097)),C2097-B2097,"")</f>
        <v>0</v>
      </c>
      <c r="E2097" s="4" t="s">
        <v>531</v>
      </c>
    </row>
    <row r="2098" customFormat="false" ht="15" hidden="false" customHeight="false" outlineLevel="0" collapsed="false">
      <c r="A2098" s="4" t="s">
        <v>2615</v>
      </c>
      <c r="B2098" s="5" t="n">
        <v>0.922</v>
      </c>
      <c r="C2098" s="5" t="n">
        <v>0.921</v>
      </c>
      <c r="D2098" s="5" t="n">
        <f aca="false">IF(AND(ISNUMBER(B2098),ISNUMBER(C2098)),C2098-B2098,"")</f>
        <v>-0.001</v>
      </c>
      <c r="E2098" s="4" t="s">
        <v>2252</v>
      </c>
    </row>
    <row r="2099" customFormat="false" ht="15" hidden="false" customHeight="false" outlineLevel="0" collapsed="false">
      <c r="A2099" s="4" t="s">
        <v>2616</v>
      </c>
      <c r="B2099" s="5" t="s">
        <v>216</v>
      </c>
      <c r="C2099" s="5" t="s">
        <v>216</v>
      </c>
      <c r="D2099" s="5" t="str">
        <f aca="false">IF(AND(ISNUMBER(B2099),ISNUMBER(C2099)),C2099-B2099,"")</f>
        <v/>
      </c>
      <c r="E2099" s="4" t="s">
        <v>531</v>
      </c>
    </row>
    <row r="2100" customFormat="false" ht="15" hidden="false" customHeight="false" outlineLevel="0" collapsed="false">
      <c r="A2100" s="4" t="s">
        <v>2617</v>
      </c>
      <c r="B2100" s="5" t="n">
        <v>0.043</v>
      </c>
      <c r="C2100" s="5" t="n">
        <v>0.043</v>
      </c>
      <c r="D2100" s="5" t="n">
        <f aca="false">IF(AND(ISNUMBER(B2100),ISNUMBER(C2100)),C2100-B2100,"")</f>
        <v>0</v>
      </c>
      <c r="E2100" s="4" t="s">
        <v>531</v>
      </c>
    </row>
    <row r="2101" customFormat="false" ht="15" hidden="false" customHeight="false" outlineLevel="0" collapsed="false">
      <c r="A2101" s="4" t="s">
        <v>2618</v>
      </c>
      <c r="B2101" s="5" t="n">
        <v>0.051</v>
      </c>
      <c r="C2101" s="5" t="n">
        <v>0.051</v>
      </c>
      <c r="D2101" s="5" t="n">
        <f aca="false">IF(AND(ISNUMBER(B2101),ISNUMBER(C2101)),C2101-B2101,"")</f>
        <v>0</v>
      </c>
      <c r="E2101" s="4" t="s">
        <v>531</v>
      </c>
    </row>
    <row r="2102" customFormat="false" ht="15" hidden="false" customHeight="false" outlineLevel="0" collapsed="false">
      <c r="A2102" s="4" t="s">
        <v>2619</v>
      </c>
      <c r="B2102" s="5" t="n">
        <v>0.051</v>
      </c>
      <c r="C2102" s="5" t="n">
        <v>0.051</v>
      </c>
      <c r="D2102" s="5" t="n">
        <f aca="false">IF(AND(ISNUMBER(B2102),ISNUMBER(C2102)),C2102-B2102,"")</f>
        <v>0</v>
      </c>
      <c r="E2102" s="4" t="s">
        <v>531</v>
      </c>
    </row>
    <row r="2103" customFormat="false" ht="15" hidden="false" customHeight="false" outlineLevel="0" collapsed="false">
      <c r="A2103" s="4" t="s">
        <v>2620</v>
      </c>
      <c r="B2103" s="5" t="n">
        <v>0.401</v>
      </c>
      <c r="C2103" s="5" t="n">
        <v>0.401</v>
      </c>
      <c r="D2103" s="5" t="n">
        <f aca="false">IF(AND(ISNUMBER(B2103),ISNUMBER(C2103)),C2103-B2103,"")</f>
        <v>0</v>
      </c>
      <c r="E2103" s="4" t="s">
        <v>531</v>
      </c>
    </row>
    <row r="2104" customFormat="false" ht="15" hidden="false" customHeight="false" outlineLevel="0" collapsed="false">
      <c r="A2104" s="4" t="s">
        <v>2621</v>
      </c>
      <c r="B2104" s="5" t="n">
        <v>0.922</v>
      </c>
      <c r="C2104" s="5" t="n">
        <v>0.921</v>
      </c>
      <c r="D2104" s="5" t="n">
        <f aca="false">IF(AND(ISNUMBER(B2104),ISNUMBER(C2104)),C2104-B2104,"")</f>
        <v>-0.001</v>
      </c>
      <c r="E2104" s="4" t="s">
        <v>2252</v>
      </c>
    </row>
    <row r="2105" customFormat="false" ht="15" hidden="false" customHeight="false" outlineLevel="0" collapsed="false">
      <c r="A2105" s="4" t="s">
        <v>2622</v>
      </c>
      <c r="B2105" s="5" t="s">
        <v>216</v>
      </c>
      <c r="C2105" s="5" t="s">
        <v>216</v>
      </c>
      <c r="D2105" s="5" t="str">
        <f aca="false">IF(AND(ISNUMBER(B2105),ISNUMBER(C2105)),C2105-B2105,"")</f>
        <v/>
      </c>
      <c r="E2105" s="4" t="s">
        <v>531</v>
      </c>
    </row>
    <row r="2106" customFormat="false" ht="15" hidden="false" customHeight="false" outlineLevel="0" collapsed="false">
      <c r="A2106" s="4" t="s">
        <v>2623</v>
      </c>
      <c r="B2106" s="5" t="n">
        <v>0.249</v>
      </c>
      <c r="C2106" s="5" t="n">
        <v>0.249</v>
      </c>
      <c r="D2106" s="5" t="n">
        <f aca="false">IF(AND(ISNUMBER(B2106),ISNUMBER(C2106)),C2106-B2106,"")</f>
        <v>0</v>
      </c>
      <c r="E2106" s="4" t="s">
        <v>531</v>
      </c>
    </row>
    <row r="2107" customFormat="false" ht="15" hidden="false" customHeight="false" outlineLevel="0" collapsed="false">
      <c r="A2107" s="4" t="s">
        <v>2624</v>
      </c>
      <c r="B2107" s="5" t="n">
        <v>0.11</v>
      </c>
      <c r="C2107" s="5" t="n">
        <v>0.11</v>
      </c>
      <c r="D2107" s="5" t="n">
        <f aca="false">IF(AND(ISNUMBER(B2107),ISNUMBER(C2107)),C2107-B2107,"")</f>
        <v>0</v>
      </c>
      <c r="E2107" s="4" t="s">
        <v>531</v>
      </c>
    </row>
    <row r="2108" customFormat="false" ht="15" hidden="false" customHeight="false" outlineLevel="0" collapsed="false">
      <c r="A2108" s="4" t="s">
        <v>2625</v>
      </c>
      <c r="B2108" s="5" t="n">
        <v>0.109</v>
      </c>
      <c r="C2108" s="5" t="n">
        <v>0.109</v>
      </c>
      <c r="D2108" s="5" t="n">
        <f aca="false">IF(AND(ISNUMBER(B2108),ISNUMBER(C2108)),C2108-B2108,"")</f>
        <v>0</v>
      </c>
      <c r="E2108" s="4" t="s">
        <v>531</v>
      </c>
    </row>
    <row r="2109" customFormat="false" ht="15" hidden="false" customHeight="false" outlineLevel="0" collapsed="false">
      <c r="A2109" s="4" t="s">
        <v>2626</v>
      </c>
      <c r="B2109" s="5" t="n">
        <v>0.023</v>
      </c>
      <c r="C2109" s="5" t="n">
        <v>0.023</v>
      </c>
      <c r="D2109" s="5" t="n">
        <f aca="false">IF(AND(ISNUMBER(B2109),ISNUMBER(C2109)),C2109-B2109,"")</f>
        <v>0</v>
      </c>
      <c r="E2109" s="4" t="s">
        <v>531</v>
      </c>
    </row>
    <row r="2110" customFormat="false" ht="15" hidden="false" customHeight="false" outlineLevel="0" collapsed="false">
      <c r="A2110" s="4" t="s">
        <v>2627</v>
      </c>
      <c r="B2110" s="5" t="n">
        <v>0.276</v>
      </c>
      <c r="C2110" s="5" t="n">
        <v>0.276</v>
      </c>
      <c r="D2110" s="5" t="n">
        <f aca="false">IF(AND(ISNUMBER(B2110),ISNUMBER(C2110)),C2110-B2110,"")</f>
        <v>0</v>
      </c>
      <c r="E2110" s="4" t="s">
        <v>531</v>
      </c>
    </row>
    <row r="2111" customFormat="false" ht="15" hidden="false" customHeight="false" outlineLevel="0" collapsed="false">
      <c r="A2111" s="4" t="s">
        <v>2628</v>
      </c>
      <c r="B2111" s="5" t="s">
        <v>216</v>
      </c>
      <c r="C2111" s="5" t="s">
        <v>216</v>
      </c>
      <c r="D2111" s="5" t="str">
        <f aca="false">IF(AND(ISNUMBER(B2111),ISNUMBER(C2111)),C2111-B2111,"")</f>
        <v/>
      </c>
      <c r="E2111" s="4" t="s">
        <v>531</v>
      </c>
    </row>
    <row r="2112" customFormat="false" ht="15" hidden="false" customHeight="false" outlineLevel="0" collapsed="false">
      <c r="A2112" s="4" t="s">
        <v>2629</v>
      </c>
      <c r="B2112" s="5" t="n">
        <v>0.451</v>
      </c>
      <c r="C2112" s="5" t="n">
        <v>0.451</v>
      </c>
      <c r="D2112" s="5" t="n">
        <f aca="false">IF(AND(ISNUMBER(B2112),ISNUMBER(C2112)),C2112-B2112,"")</f>
        <v>0</v>
      </c>
      <c r="E2112" s="4" t="s">
        <v>531</v>
      </c>
    </row>
    <row r="2113" customFormat="false" ht="15" hidden="false" customHeight="false" outlineLevel="0" collapsed="false">
      <c r="A2113" s="4" t="s">
        <v>2630</v>
      </c>
      <c r="B2113" s="5" t="n">
        <v>0.12</v>
      </c>
      <c r="C2113" s="5" t="n">
        <v>0.12</v>
      </c>
      <c r="D2113" s="5" t="n">
        <f aca="false">IF(AND(ISNUMBER(B2113),ISNUMBER(C2113)),C2113-B2113,"")</f>
        <v>0</v>
      </c>
      <c r="E2113" s="4" t="s">
        <v>531</v>
      </c>
    </row>
    <row r="2114" customFormat="false" ht="15" hidden="false" customHeight="false" outlineLevel="0" collapsed="false">
      <c r="A2114" s="4" t="s">
        <v>2631</v>
      </c>
      <c r="B2114" s="5" t="n">
        <v>0.121</v>
      </c>
      <c r="C2114" s="5" t="n">
        <v>0.121</v>
      </c>
      <c r="D2114" s="5" t="n">
        <f aca="false">IF(AND(ISNUMBER(B2114),ISNUMBER(C2114)),C2114-B2114,"")</f>
        <v>0</v>
      </c>
      <c r="E2114" s="4" t="s">
        <v>531</v>
      </c>
    </row>
    <row r="2115" customFormat="false" ht="15" hidden="false" customHeight="false" outlineLevel="0" collapsed="false">
      <c r="A2115" s="4" t="s">
        <v>2632</v>
      </c>
      <c r="B2115" s="5" t="n">
        <v>0</v>
      </c>
      <c r="C2115" s="5" t="n">
        <v>0</v>
      </c>
      <c r="D2115" s="5" t="n">
        <f aca="false">IF(AND(ISNUMBER(B2115),ISNUMBER(C2115)),C2115-B2115,"")</f>
        <v>0</v>
      </c>
      <c r="E2115" s="4" t="s">
        <v>531</v>
      </c>
    </row>
    <row r="2116" customFormat="false" ht="15" hidden="false" customHeight="false" outlineLevel="0" collapsed="false">
      <c r="A2116" s="4" t="s">
        <v>2633</v>
      </c>
      <c r="B2116" s="5" t="n">
        <v>0.011</v>
      </c>
      <c r="C2116" s="5" t="n">
        <v>0.007</v>
      </c>
      <c r="D2116" s="5" t="n">
        <f aca="false">IF(AND(ISNUMBER(B2116),ISNUMBER(C2116)),C2116-B2116,"")</f>
        <v>-0.004</v>
      </c>
      <c r="E2116" s="4" t="s">
        <v>2252</v>
      </c>
    </row>
    <row r="2117" customFormat="false" ht="15" hidden="false" customHeight="false" outlineLevel="0" collapsed="false">
      <c r="A2117" s="4" t="s">
        <v>2634</v>
      </c>
      <c r="B2117" s="5" t="s">
        <v>216</v>
      </c>
      <c r="C2117" s="5" t="s">
        <v>216</v>
      </c>
      <c r="D2117" s="5" t="str">
        <f aca="false">IF(AND(ISNUMBER(B2117),ISNUMBER(C2117)),C2117-B2117,"")</f>
        <v/>
      </c>
      <c r="E2117" s="4" t="s">
        <v>531</v>
      </c>
    </row>
    <row r="2118" customFormat="false" ht="15" hidden="false" customHeight="false" outlineLevel="0" collapsed="false">
      <c r="A2118" s="4" t="s">
        <v>2635</v>
      </c>
      <c r="B2118" s="5" t="n">
        <v>0.207</v>
      </c>
      <c r="C2118" s="5" t="n">
        <v>0.207</v>
      </c>
      <c r="D2118" s="5" t="n">
        <f aca="false">IF(AND(ISNUMBER(B2118),ISNUMBER(C2118)),C2118-B2118,"")</f>
        <v>0</v>
      </c>
      <c r="E2118" s="4" t="s">
        <v>531</v>
      </c>
    </row>
    <row r="2119" customFormat="false" ht="15" hidden="false" customHeight="false" outlineLevel="0" collapsed="false">
      <c r="A2119" s="4" t="s">
        <v>2636</v>
      </c>
      <c r="B2119" s="5" t="n">
        <v>0.114</v>
      </c>
      <c r="C2119" s="5" t="n">
        <v>0.114</v>
      </c>
      <c r="D2119" s="5" t="n">
        <f aca="false">IF(AND(ISNUMBER(B2119),ISNUMBER(C2119)),C2119-B2119,"")</f>
        <v>0</v>
      </c>
      <c r="E2119" s="4" t="s">
        <v>531</v>
      </c>
    </row>
    <row r="2120" customFormat="false" ht="15" hidden="false" customHeight="false" outlineLevel="0" collapsed="false">
      <c r="A2120" s="4" t="s">
        <v>2637</v>
      </c>
      <c r="B2120" s="5" t="n">
        <v>0.113</v>
      </c>
      <c r="C2120" s="5" t="n">
        <v>0.113</v>
      </c>
      <c r="D2120" s="5" t="n">
        <f aca="false">IF(AND(ISNUMBER(B2120),ISNUMBER(C2120)),C2120-B2120,"")</f>
        <v>0</v>
      </c>
      <c r="E2120" s="4" t="s">
        <v>531</v>
      </c>
    </row>
    <row r="2121" customFormat="false" ht="15" hidden="false" customHeight="false" outlineLevel="0" collapsed="false">
      <c r="A2121" s="4" t="s">
        <v>2638</v>
      </c>
      <c r="B2121" s="5" t="n">
        <v>0.069</v>
      </c>
      <c r="C2121" s="5" t="n">
        <v>0.069</v>
      </c>
      <c r="D2121" s="5" t="n">
        <f aca="false">IF(AND(ISNUMBER(B2121),ISNUMBER(C2121)),C2121-B2121,"")</f>
        <v>0</v>
      </c>
      <c r="E2121" s="4" t="s">
        <v>531</v>
      </c>
    </row>
    <row r="2122" customFormat="false" ht="15" hidden="false" customHeight="false" outlineLevel="0" collapsed="false">
      <c r="A2122" s="4" t="s">
        <v>2639</v>
      </c>
      <c r="B2122" s="5" t="n">
        <v>0.52</v>
      </c>
      <c r="C2122" s="5" t="n">
        <v>0.54</v>
      </c>
      <c r="D2122" s="5" t="n">
        <f aca="false">IF(AND(ISNUMBER(B2122),ISNUMBER(C2122)),C2122-B2122,"")</f>
        <v>0.02</v>
      </c>
      <c r="E2122" s="4" t="s">
        <v>2252</v>
      </c>
    </row>
    <row r="2123" customFormat="false" ht="15" hidden="false" customHeight="false" outlineLevel="0" collapsed="false">
      <c r="A2123" s="4" t="s">
        <v>2640</v>
      </c>
      <c r="B2123" s="5" t="s">
        <v>216</v>
      </c>
      <c r="C2123" s="5" t="s">
        <v>216</v>
      </c>
      <c r="D2123" s="5" t="str">
        <f aca="false">IF(AND(ISNUMBER(B2123),ISNUMBER(C2123)),C2123-B2123,"")</f>
        <v/>
      </c>
      <c r="E2123" s="4" t="s">
        <v>531</v>
      </c>
    </row>
    <row r="2124" customFormat="false" ht="15" hidden="false" customHeight="false" outlineLevel="0" collapsed="false">
      <c r="A2124" s="4" t="s">
        <v>2641</v>
      </c>
      <c r="B2124" s="5" t="n">
        <v>0.219</v>
      </c>
      <c r="C2124" s="5" t="n">
        <v>0.219</v>
      </c>
      <c r="D2124" s="5" t="n">
        <f aca="false">IF(AND(ISNUMBER(B2124),ISNUMBER(C2124)),C2124-B2124,"")</f>
        <v>0</v>
      </c>
      <c r="E2124" s="4" t="s">
        <v>531</v>
      </c>
    </row>
    <row r="2125" customFormat="false" ht="15" hidden="false" customHeight="false" outlineLevel="0" collapsed="false">
      <c r="A2125" s="4" t="s">
        <v>2642</v>
      </c>
      <c r="B2125" s="5" t="n">
        <v>0.108</v>
      </c>
      <c r="C2125" s="5" t="n">
        <v>0.108</v>
      </c>
      <c r="D2125" s="5" t="n">
        <f aca="false">IF(AND(ISNUMBER(B2125),ISNUMBER(C2125)),C2125-B2125,"")</f>
        <v>0</v>
      </c>
      <c r="E2125" s="4" t="s">
        <v>531</v>
      </c>
    </row>
    <row r="2126" customFormat="false" ht="15" hidden="false" customHeight="false" outlineLevel="0" collapsed="false">
      <c r="A2126" s="4" t="s">
        <v>2643</v>
      </c>
      <c r="B2126" s="5" t="n">
        <v>0.108</v>
      </c>
      <c r="C2126" s="5" t="n">
        <v>0.108</v>
      </c>
      <c r="D2126" s="5" t="n">
        <f aca="false">IF(AND(ISNUMBER(B2126),ISNUMBER(C2126)),C2126-B2126,"")</f>
        <v>0</v>
      </c>
      <c r="E2126" s="4" t="s">
        <v>531</v>
      </c>
    </row>
    <row r="2127" customFormat="false" ht="15" hidden="false" customHeight="false" outlineLevel="0" collapsed="false">
      <c r="A2127" s="4" t="s">
        <v>2644</v>
      </c>
      <c r="B2127" s="5" t="n">
        <v>0.043</v>
      </c>
      <c r="C2127" s="5" t="n">
        <v>0.043</v>
      </c>
      <c r="D2127" s="5" t="n">
        <f aca="false">IF(AND(ISNUMBER(B2127),ISNUMBER(C2127)),C2127-B2127,"")</f>
        <v>0</v>
      </c>
      <c r="E2127" s="4" t="s">
        <v>531</v>
      </c>
    </row>
    <row r="2128" customFormat="false" ht="15" hidden="false" customHeight="false" outlineLevel="0" collapsed="false">
      <c r="A2128" s="4" t="s">
        <v>2645</v>
      </c>
      <c r="B2128" s="5" t="n">
        <v>0.377</v>
      </c>
      <c r="C2128" s="5" t="n">
        <v>0.397</v>
      </c>
      <c r="D2128" s="5" t="n">
        <f aca="false">IF(AND(ISNUMBER(B2128),ISNUMBER(C2128)),C2128-B2128,"")</f>
        <v>0.02</v>
      </c>
      <c r="E2128" s="4" t="s">
        <v>2252</v>
      </c>
    </row>
    <row r="2129" customFormat="false" ht="15" hidden="false" customHeight="false" outlineLevel="0" collapsed="false">
      <c r="A2129" s="4" t="s">
        <v>2646</v>
      </c>
      <c r="B2129" s="5" t="s">
        <v>216</v>
      </c>
      <c r="C2129" s="5" t="s">
        <v>216</v>
      </c>
      <c r="D2129" s="5" t="str">
        <f aca="false">IF(AND(ISNUMBER(B2129),ISNUMBER(C2129)),C2129-B2129,"")</f>
        <v/>
      </c>
      <c r="E2129" s="4" t="s">
        <v>531</v>
      </c>
    </row>
    <row r="2130" customFormat="false" ht="15" hidden="false" customHeight="false" outlineLevel="0" collapsed="false">
      <c r="A2130" s="4" t="s">
        <v>2647</v>
      </c>
      <c r="B2130" s="5" t="n">
        <v>0.004</v>
      </c>
      <c r="C2130" s="5" t="n">
        <v>0.004</v>
      </c>
      <c r="D2130" s="5" t="n">
        <f aca="false">IF(AND(ISNUMBER(B2130),ISNUMBER(C2130)),C2130-B2130,"")</f>
        <v>0</v>
      </c>
      <c r="E2130" s="4" t="s">
        <v>531</v>
      </c>
    </row>
    <row r="2131" customFormat="false" ht="15" hidden="false" customHeight="false" outlineLevel="0" collapsed="false">
      <c r="A2131" s="4" t="s">
        <v>2648</v>
      </c>
      <c r="B2131" s="5" t="n">
        <v>0.12</v>
      </c>
      <c r="C2131" s="5" t="n">
        <v>0.12</v>
      </c>
      <c r="D2131" s="5" t="n">
        <f aca="false">IF(AND(ISNUMBER(B2131),ISNUMBER(C2131)),C2131-B2131,"")</f>
        <v>0</v>
      </c>
      <c r="E2131" s="4" t="s">
        <v>531</v>
      </c>
    </row>
    <row r="2132" customFormat="false" ht="15" hidden="false" customHeight="false" outlineLevel="0" collapsed="false">
      <c r="A2132" s="4" t="s">
        <v>2649</v>
      </c>
      <c r="B2132" s="5" t="n">
        <v>0.119</v>
      </c>
      <c r="C2132" s="5" t="n">
        <v>0.119</v>
      </c>
      <c r="D2132" s="5" t="n">
        <f aca="false">IF(AND(ISNUMBER(B2132),ISNUMBER(C2132)),C2132-B2132,"")</f>
        <v>0</v>
      </c>
      <c r="E2132" s="4" t="s">
        <v>531</v>
      </c>
    </row>
    <row r="2133" customFormat="false" ht="15" hidden="false" customHeight="false" outlineLevel="0" collapsed="false">
      <c r="A2133" s="4" t="s">
        <v>2650</v>
      </c>
      <c r="B2133" s="5" t="n">
        <v>0.976</v>
      </c>
      <c r="C2133" s="5" t="n">
        <v>0.976</v>
      </c>
      <c r="D2133" s="5" t="n">
        <f aca="false">IF(AND(ISNUMBER(B2133),ISNUMBER(C2133)),C2133-B2133,"")</f>
        <v>0</v>
      </c>
      <c r="E2133" s="4" t="s">
        <v>531</v>
      </c>
    </row>
    <row r="2134" customFormat="false" ht="15" hidden="false" customHeight="false" outlineLevel="0" collapsed="false">
      <c r="A2134" s="4" t="s">
        <v>2651</v>
      </c>
      <c r="B2134" s="5" t="n">
        <v>1</v>
      </c>
      <c r="C2134" s="5" t="n">
        <v>1</v>
      </c>
      <c r="D2134" s="5" t="n">
        <f aca="false">IF(AND(ISNUMBER(B2134),ISNUMBER(C2134)),C2134-B2134,"")</f>
        <v>0</v>
      </c>
      <c r="E2134" s="4" t="s">
        <v>531</v>
      </c>
    </row>
    <row r="2135" customFormat="false" ht="15" hidden="false" customHeight="false" outlineLevel="0" collapsed="false">
      <c r="A2135" s="4" t="s">
        <v>2652</v>
      </c>
      <c r="B2135" s="5" t="s">
        <v>216</v>
      </c>
      <c r="C2135" s="5" t="s">
        <v>216</v>
      </c>
      <c r="D2135" s="5" t="str">
        <f aca="false">IF(AND(ISNUMBER(B2135),ISNUMBER(C2135)),C2135-B2135,"")</f>
        <v/>
      </c>
      <c r="E2135" s="4" t="s">
        <v>531</v>
      </c>
    </row>
    <row r="2136" customFormat="false" ht="23.85" hidden="false" customHeight="false" outlineLevel="0" collapsed="false">
      <c r="A2136" s="4" t="s">
        <v>2653</v>
      </c>
      <c r="B2136" s="5" t="n">
        <v>0.336</v>
      </c>
      <c r="C2136" s="5" t="n">
        <v>0.336</v>
      </c>
      <c r="D2136" s="5" t="n">
        <f aca="false">IF(AND(ISNUMBER(B2136),ISNUMBER(C2136)),C2136-B2136,"")</f>
        <v>0</v>
      </c>
      <c r="E2136" s="4" t="s">
        <v>531</v>
      </c>
    </row>
    <row r="2137" customFormat="false" ht="15" hidden="false" customHeight="false" outlineLevel="0" collapsed="false">
      <c r="A2137" s="4" t="s">
        <v>2654</v>
      </c>
      <c r="B2137" s="5" t="n">
        <v>0.124</v>
      </c>
      <c r="C2137" s="5" t="n">
        <v>0.124</v>
      </c>
      <c r="D2137" s="5" t="n">
        <f aca="false">IF(AND(ISNUMBER(B2137),ISNUMBER(C2137)),C2137-B2137,"")</f>
        <v>0</v>
      </c>
      <c r="E2137" s="4" t="s">
        <v>531</v>
      </c>
    </row>
    <row r="2138" customFormat="false" ht="15" hidden="false" customHeight="false" outlineLevel="0" collapsed="false">
      <c r="A2138" s="4" t="s">
        <v>2655</v>
      </c>
      <c r="B2138" s="5" t="n">
        <v>0.131</v>
      </c>
      <c r="C2138" s="5" t="n">
        <v>0.131</v>
      </c>
      <c r="D2138" s="5" t="n">
        <f aca="false">IF(AND(ISNUMBER(B2138),ISNUMBER(C2138)),C2138-B2138,"")</f>
        <v>0</v>
      </c>
      <c r="E2138" s="4" t="s">
        <v>531</v>
      </c>
    </row>
    <row r="2139" customFormat="false" ht="15" hidden="false" customHeight="false" outlineLevel="0" collapsed="false">
      <c r="A2139" s="4" t="s">
        <v>2656</v>
      </c>
      <c r="B2139" s="5" t="n">
        <v>0.131</v>
      </c>
      <c r="C2139" s="5" t="n">
        <v>0.131</v>
      </c>
      <c r="D2139" s="5" t="n">
        <f aca="false">IF(AND(ISNUMBER(B2139),ISNUMBER(C2139)),C2139-B2139,"")</f>
        <v>0</v>
      </c>
      <c r="E2139" s="4" t="s">
        <v>531</v>
      </c>
    </row>
    <row r="2140" customFormat="false" ht="15" hidden="false" customHeight="false" outlineLevel="0" collapsed="false">
      <c r="A2140" s="4" t="s">
        <v>2657</v>
      </c>
      <c r="B2140" s="5" t="n">
        <v>0.344</v>
      </c>
      <c r="C2140" s="5" t="n">
        <v>0.344</v>
      </c>
      <c r="D2140" s="5" t="n">
        <f aca="false">IF(AND(ISNUMBER(B2140),ISNUMBER(C2140)),C2140-B2140,"")</f>
        <v>0</v>
      </c>
      <c r="E2140" s="4" t="s">
        <v>531</v>
      </c>
    </row>
    <row r="2141" customFormat="false" ht="15" hidden="false" customHeight="false" outlineLevel="0" collapsed="false">
      <c r="A2141" s="4" t="s">
        <v>2658</v>
      </c>
      <c r="B2141" s="5" t="n">
        <v>0.988</v>
      </c>
      <c r="C2141" s="5" t="n">
        <v>0.99</v>
      </c>
      <c r="D2141" s="5" t="n">
        <f aca="false">IF(AND(ISNUMBER(B2141),ISNUMBER(C2141)),C2141-B2141,"")</f>
        <v>0.002</v>
      </c>
      <c r="E2141" s="4" t="s">
        <v>2252</v>
      </c>
    </row>
    <row r="2142" customFormat="false" ht="15" hidden="false" customHeight="false" outlineLevel="0" collapsed="false">
      <c r="A2142" s="4" t="s">
        <v>2659</v>
      </c>
      <c r="B2142" s="5" t="s">
        <v>216</v>
      </c>
      <c r="C2142" s="5" t="s">
        <v>216</v>
      </c>
      <c r="D2142" s="5" t="str">
        <f aca="false">IF(AND(ISNUMBER(B2142),ISNUMBER(C2142)),C2142-B2142,"")</f>
        <v/>
      </c>
      <c r="E2142" s="4" t="s">
        <v>531</v>
      </c>
    </row>
    <row r="2143" customFormat="false" ht="23.85" hidden="false" customHeight="false" outlineLevel="0" collapsed="false">
      <c r="A2143" s="4" t="s">
        <v>2660</v>
      </c>
      <c r="B2143" s="5" t="n">
        <v>0.366</v>
      </c>
      <c r="C2143" s="5" t="n">
        <v>0.366</v>
      </c>
      <c r="D2143" s="5" t="n">
        <f aca="false">IF(AND(ISNUMBER(B2143),ISNUMBER(C2143)),C2143-B2143,"")</f>
        <v>0</v>
      </c>
      <c r="E2143" s="4" t="s">
        <v>531</v>
      </c>
    </row>
    <row r="2144" customFormat="false" ht="15" hidden="false" customHeight="false" outlineLevel="0" collapsed="false">
      <c r="A2144" s="4" t="s">
        <v>2661</v>
      </c>
      <c r="B2144" s="5" t="n">
        <v>0.337</v>
      </c>
      <c r="C2144" s="5" t="n">
        <v>0.337</v>
      </c>
      <c r="D2144" s="5" t="n">
        <f aca="false">IF(AND(ISNUMBER(B2144),ISNUMBER(C2144)),C2144-B2144,"")</f>
        <v>0</v>
      </c>
      <c r="E2144" s="4" t="s">
        <v>531</v>
      </c>
    </row>
    <row r="2145" customFormat="false" ht="15" hidden="false" customHeight="false" outlineLevel="0" collapsed="false">
      <c r="A2145" s="4" t="s">
        <v>2662</v>
      </c>
      <c r="B2145" s="5" t="n">
        <v>0.114</v>
      </c>
      <c r="C2145" s="5" t="n">
        <v>0.114</v>
      </c>
      <c r="D2145" s="5" t="n">
        <f aca="false">IF(AND(ISNUMBER(B2145),ISNUMBER(C2145)),C2145-B2145,"")</f>
        <v>0</v>
      </c>
      <c r="E2145" s="4" t="s">
        <v>531</v>
      </c>
    </row>
    <row r="2146" customFormat="false" ht="15" hidden="false" customHeight="false" outlineLevel="0" collapsed="false">
      <c r="A2146" s="4" t="s">
        <v>2663</v>
      </c>
      <c r="B2146" s="5" t="n">
        <v>0.114</v>
      </c>
      <c r="C2146" s="5" t="n">
        <v>0.114</v>
      </c>
      <c r="D2146" s="5" t="n">
        <f aca="false">IF(AND(ISNUMBER(B2146),ISNUMBER(C2146)),C2146-B2146,"")</f>
        <v>0</v>
      </c>
      <c r="E2146" s="4" t="s">
        <v>531</v>
      </c>
    </row>
    <row r="2147" customFormat="false" ht="15" hidden="false" customHeight="false" outlineLevel="0" collapsed="false">
      <c r="A2147" s="4" t="s">
        <v>2664</v>
      </c>
      <c r="B2147" s="5" t="n">
        <v>0.003</v>
      </c>
      <c r="C2147" s="5" t="n">
        <v>0.003</v>
      </c>
      <c r="D2147" s="5" t="n">
        <f aca="false">IF(AND(ISNUMBER(B2147),ISNUMBER(C2147)),C2147-B2147,"")</f>
        <v>0</v>
      </c>
      <c r="E2147" s="4" t="s">
        <v>531</v>
      </c>
    </row>
    <row r="2148" customFormat="false" ht="15" hidden="false" customHeight="false" outlineLevel="0" collapsed="false">
      <c r="A2148" s="4" t="s">
        <v>2665</v>
      </c>
      <c r="B2148" s="5" t="n">
        <v>0.06</v>
      </c>
      <c r="C2148" s="5" t="n">
        <v>0.053</v>
      </c>
      <c r="D2148" s="5" t="n">
        <f aca="false">IF(AND(ISNUMBER(B2148),ISNUMBER(C2148)),C2148-B2148,"")</f>
        <v>-0.007</v>
      </c>
      <c r="E2148" s="4" t="s">
        <v>2252</v>
      </c>
    </row>
    <row r="2149" customFormat="false" ht="15" hidden="false" customHeight="false" outlineLevel="0" collapsed="false">
      <c r="A2149" s="4" t="s">
        <v>2666</v>
      </c>
      <c r="B2149" s="5" t="s">
        <v>216</v>
      </c>
      <c r="C2149" s="5" t="s">
        <v>216</v>
      </c>
      <c r="D2149" s="5" t="str">
        <f aca="false">IF(AND(ISNUMBER(B2149),ISNUMBER(C2149)),C2149-B2149,"")</f>
        <v/>
      </c>
      <c r="E2149" s="4" t="s">
        <v>531</v>
      </c>
    </row>
    <row r="2150" customFormat="false" ht="15" hidden="false" customHeight="false" outlineLevel="0" collapsed="false">
      <c r="A2150" s="4" t="s">
        <v>2667</v>
      </c>
      <c r="B2150" s="5" t="n">
        <v>0.32</v>
      </c>
      <c r="C2150" s="5" t="n">
        <v>0.32</v>
      </c>
      <c r="D2150" s="5" t="n">
        <f aca="false">IF(AND(ISNUMBER(B2150),ISNUMBER(C2150)),C2150-B2150,"")</f>
        <v>0</v>
      </c>
      <c r="E2150" s="4" t="s">
        <v>531</v>
      </c>
    </row>
    <row r="2151" customFormat="false" ht="15" hidden="false" customHeight="false" outlineLevel="0" collapsed="false">
      <c r="A2151" s="4" t="s">
        <v>2668</v>
      </c>
      <c r="B2151" s="5" t="n">
        <v>-0.029</v>
      </c>
      <c r="C2151" s="5" t="n">
        <v>-0.029</v>
      </c>
      <c r="D2151" s="5" t="n">
        <f aca="false">IF(AND(ISNUMBER(B2151),ISNUMBER(C2151)),C2151-B2151,"")</f>
        <v>0</v>
      </c>
      <c r="E2151" s="4" t="s">
        <v>531</v>
      </c>
    </row>
    <row r="2152" customFormat="false" ht="15" hidden="false" customHeight="false" outlineLevel="0" collapsed="false">
      <c r="A2152" s="4" t="s">
        <v>2669</v>
      </c>
      <c r="B2152" s="5" t="n">
        <v>0.191</v>
      </c>
      <c r="C2152" s="5" t="n">
        <v>0.191</v>
      </c>
      <c r="D2152" s="5" t="n">
        <f aca="false">IF(AND(ISNUMBER(B2152),ISNUMBER(C2152)),C2152-B2152,"")</f>
        <v>0</v>
      </c>
      <c r="E2152" s="4" t="s">
        <v>531</v>
      </c>
    </row>
    <row r="2153" customFormat="false" ht="15" hidden="false" customHeight="false" outlineLevel="0" collapsed="false">
      <c r="A2153" s="4" t="s">
        <v>2670</v>
      </c>
      <c r="B2153" s="5" t="n">
        <v>0.19</v>
      </c>
      <c r="C2153" s="5" t="n">
        <v>0.19</v>
      </c>
      <c r="D2153" s="5" t="n">
        <f aca="false">IF(AND(ISNUMBER(B2153),ISNUMBER(C2153)),C2153-B2153,"")</f>
        <v>0</v>
      </c>
      <c r="E2153" s="4" t="s">
        <v>531</v>
      </c>
    </row>
    <row r="2154" customFormat="false" ht="15" hidden="false" customHeight="false" outlineLevel="0" collapsed="false">
      <c r="A2154" s="4" t="s">
        <v>2671</v>
      </c>
      <c r="B2154" s="5" t="n">
        <v>0.879</v>
      </c>
      <c r="C2154" s="5" t="n">
        <v>0.879</v>
      </c>
      <c r="D2154" s="5" t="n">
        <f aca="false">IF(AND(ISNUMBER(B2154),ISNUMBER(C2154)),C2154-B2154,"")</f>
        <v>0</v>
      </c>
      <c r="E2154" s="4" t="s">
        <v>531</v>
      </c>
    </row>
    <row r="2155" customFormat="false" ht="15" hidden="false" customHeight="false" outlineLevel="0" collapsed="false">
      <c r="A2155" s="4" t="s">
        <v>2672</v>
      </c>
      <c r="B2155" s="5" t="n">
        <v>1</v>
      </c>
      <c r="C2155" s="5" t="n">
        <v>1</v>
      </c>
      <c r="D2155" s="5" t="n">
        <f aca="false">IF(AND(ISNUMBER(B2155),ISNUMBER(C2155)),C2155-B2155,"")</f>
        <v>0</v>
      </c>
      <c r="E2155" s="4" t="s">
        <v>531</v>
      </c>
    </row>
    <row r="2156" customFormat="false" ht="15" hidden="false" customHeight="false" outlineLevel="0" collapsed="false">
      <c r="A2156" s="4" t="s">
        <v>2673</v>
      </c>
      <c r="B2156" s="5" t="s">
        <v>216</v>
      </c>
      <c r="C2156" s="5" t="s">
        <v>216</v>
      </c>
      <c r="D2156" s="5" t="str">
        <f aca="false">IF(AND(ISNUMBER(B2156),ISNUMBER(C2156)),C2156-B2156,"")</f>
        <v/>
      </c>
      <c r="E2156" s="4" t="s">
        <v>531</v>
      </c>
    </row>
    <row r="2157" customFormat="false" ht="23.85" hidden="false" customHeight="false" outlineLevel="0" collapsed="false">
      <c r="A2157" s="4" t="s">
        <v>2674</v>
      </c>
      <c r="B2157" s="5" t="n">
        <v>0.534</v>
      </c>
      <c r="C2157" s="5" t="n">
        <v>0.534</v>
      </c>
      <c r="D2157" s="5" t="n">
        <f aca="false">IF(AND(ISNUMBER(B2157),ISNUMBER(C2157)),C2157-B2157,"")</f>
        <v>0</v>
      </c>
      <c r="E2157" s="4" t="s">
        <v>531</v>
      </c>
    </row>
    <row r="2158" customFormat="false" ht="15" hidden="false" customHeight="false" outlineLevel="0" collapsed="false">
      <c r="A2158" s="4" t="s">
        <v>2675</v>
      </c>
      <c r="B2158" s="5" t="n">
        <v>0.036</v>
      </c>
      <c r="C2158" s="5" t="n">
        <v>0.036</v>
      </c>
      <c r="D2158" s="5" t="n">
        <f aca="false">IF(AND(ISNUMBER(B2158),ISNUMBER(C2158)),C2158-B2158,"")</f>
        <v>0</v>
      </c>
      <c r="E2158" s="4" t="s">
        <v>531</v>
      </c>
    </row>
    <row r="2159" customFormat="false" ht="15" hidden="false" customHeight="false" outlineLevel="0" collapsed="false">
      <c r="A2159" s="4" t="s">
        <v>2676</v>
      </c>
      <c r="B2159" s="5" t="n">
        <v>0.085</v>
      </c>
      <c r="C2159" s="5" t="n">
        <v>0.085</v>
      </c>
      <c r="D2159" s="5" t="n">
        <f aca="false">IF(AND(ISNUMBER(B2159),ISNUMBER(C2159)),C2159-B2159,"")</f>
        <v>0</v>
      </c>
      <c r="E2159" s="4" t="s">
        <v>531</v>
      </c>
    </row>
    <row r="2160" customFormat="false" ht="15" hidden="false" customHeight="false" outlineLevel="0" collapsed="false">
      <c r="A2160" s="4" t="s">
        <v>2677</v>
      </c>
      <c r="B2160" s="5" t="n">
        <v>0.084</v>
      </c>
      <c r="C2160" s="5" t="n">
        <v>0.084</v>
      </c>
      <c r="D2160" s="5" t="n">
        <f aca="false">IF(AND(ISNUMBER(B2160),ISNUMBER(C2160)),C2160-B2160,"")</f>
        <v>0</v>
      </c>
      <c r="E2160" s="4" t="s">
        <v>531</v>
      </c>
    </row>
    <row r="2161" customFormat="false" ht="15" hidden="false" customHeight="false" outlineLevel="0" collapsed="false">
      <c r="A2161" s="4" t="s">
        <v>2678</v>
      </c>
      <c r="B2161" s="5" t="n">
        <v>0.672</v>
      </c>
      <c r="C2161" s="5" t="n">
        <v>0.672</v>
      </c>
      <c r="D2161" s="5" t="n">
        <f aca="false">IF(AND(ISNUMBER(B2161),ISNUMBER(C2161)),C2161-B2161,"")</f>
        <v>0</v>
      </c>
      <c r="E2161" s="4" t="s">
        <v>531</v>
      </c>
    </row>
    <row r="2162" customFormat="false" ht="15" hidden="false" customHeight="false" outlineLevel="0" collapsed="false">
      <c r="A2162" s="4" t="s">
        <v>2679</v>
      </c>
      <c r="B2162" s="5" t="n">
        <v>1</v>
      </c>
      <c r="C2162" s="5" t="n">
        <v>1</v>
      </c>
      <c r="D2162" s="5" t="n">
        <f aca="false">IF(AND(ISNUMBER(B2162),ISNUMBER(C2162)),C2162-B2162,"")</f>
        <v>0</v>
      </c>
      <c r="E2162" s="4" t="s">
        <v>531</v>
      </c>
    </row>
    <row r="2163" customFormat="false" ht="15" hidden="false" customHeight="false" outlineLevel="0" collapsed="false">
      <c r="A2163" s="4" t="s">
        <v>2680</v>
      </c>
      <c r="B2163" s="5" t="s">
        <v>216</v>
      </c>
      <c r="C2163" s="5" t="s">
        <v>216</v>
      </c>
      <c r="D2163" s="5" t="str">
        <f aca="false">IF(AND(ISNUMBER(B2163),ISNUMBER(C2163)),C2163-B2163,"")</f>
        <v/>
      </c>
      <c r="E2163" s="4" t="s">
        <v>531</v>
      </c>
    </row>
    <row r="2164" customFormat="false" ht="15" hidden="false" customHeight="false" outlineLevel="0" collapsed="false">
      <c r="A2164" s="4" t="s">
        <v>2681</v>
      </c>
      <c r="B2164" s="5" t="n">
        <v>0.237</v>
      </c>
      <c r="C2164" s="5" t="n">
        <v>0.237</v>
      </c>
      <c r="D2164" s="5" t="n">
        <f aca="false">IF(AND(ISNUMBER(B2164),ISNUMBER(C2164)),C2164-B2164,"")</f>
        <v>0</v>
      </c>
      <c r="E2164" s="4" t="s">
        <v>531</v>
      </c>
    </row>
    <row r="2165" customFormat="false" ht="15" hidden="false" customHeight="false" outlineLevel="0" collapsed="false">
      <c r="A2165" s="4" t="s">
        <v>2682</v>
      </c>
      <c r="B2165" s="5" t="n">
        <v>-0.197</v>
      </c>
      <c r="C2165" s="5" t="n">
        <v>-0.197</v>
      </c>
      <c r="D2165" s="5" t="n">
        <f aca="false">IF(AND(ISNUMBER(B2165),ISNUMBER(C2165)),C2165-B2165,"")</f>
        <v>0</v>
      </c>
      <c r="E2165" s="4" t="s">
        <v>531</v>
      </c>
    </row>
    <row r="2166" customFormat="false" ht="15" hidden="false" customHeight="false" outlineLevel="0" collapsed="false">
      <c r="A2166" s="4" t="s">
        <v>2683</v>
      </c>
      <c r="B2166" s="5" t="n">
        <v>0.637</v>
      </c>
      <c r="C2166" s="5" t="n">
        <v>0.637</v>
      </c>
      <c r="D2166" s="5" t="n">
        <f aca="false">IF(AND(ISNUMBER(B2166),ISNUMBER(C2166)),C2166-B2166,"")</f>
        <v>0</v>
      </c>
      <c r="E2166" s="4" t="s">
        <v>531</v>
      </c>
    </row>
    <row r="2167" customFormat="false" ht="15" hidden="false" customHeight="false" outlineLevel="0" collapsed="false">
      <c r="A2167" s="4" t="s">
        <v>2684</v>
      </c>
      <c r="B2167" s="5" t="n">
        <v>0.639</v>
      </c>
      <c r="C2167" s="5" t="n">
        <v>0.639</v>
      </c>
      <c r="D2167" s="5" t="n">
        <f aca="false">IF(AND(ISNUMBER(B2167),ISNUMBER(C2167)),C2167-B2167,"")</f>
        <v>0</v>
      </c>
      <c r="E2167" s="4" t="s">
        <v>531</v>
      </c>
    </row>
    <row r="2168" customFormat="false" ht="15" hidden="false" customHeight="false" outlineLevel="0" collapsed="false">
      <c r="A2168" s="4" t="s">
        <v>2685</v>
      </c>
      <c r="B2168" s="5" t="n">
        <v>0.757</v>
      </c>
      <c r="C2168" s="5" t="n">
        <v>0.757</v>
      </c>
      <c r="D2168" s="5" t="n">
        <f aca="false">IF(AND(ISNUMBER(B2168),ISNUMBER(C2168)),C2168-B2168,"")</f>
        <v>0</v>
      </c>
      <c r="E2168" s="4" t="s">
        <v>531</v>
      </c>
    </row>
    <row r="2169" customFormat="false" ht="15" hidden="false" customHeight="false" outlineLevel="0" collapsed="false">
      <c r="A2169" s="4" t="s">
        <v>2686</v>
      </c>
      <c r="B2169" s="5" t="n">
        <v>1</v>
      </c>
      <c r="C2169" s="5" t="n">
        <v>1</v>
      </c>
      <c r="D2169" s="5" t="n">
        <f aca="false">IF(AND(ISNUMBER(B2169),ISNUMBER(C2169)),C2169-B2169,"")</f>
        <v>0</v>
      </c>
      <c r="E2169" s="4" t="s">
        <v>531</v>
      </c>
    </row>
    <row r="2170" customFormat="false" ht="15" hidden="false" customHeight="false" outlineLevel="0" collapsed="false">
      <c r="A2170" s="4" t="s">
        <v>2687</v>
      </c>
      <c r="B2170" s="5" t="s">
        <v>216</v>
      </c>
      <c r="C2170" s="5" t="s">
        <v>216</v>
      </c>
      <c r="D2170" s="5" t="str">
        <f aca="false">IF(AND(ISNUMBER(B2170),ISNUMBER(C2170)),C2170-B2170,"")</f>
        <v/>
      </c>
      <c r="E2170" s="4" t="s">
        <v>531</v>
      </c>
    </row>
    <row r="2171" customFormat="false" ht="23.85" hidden="false" customHeight="false" outlineLevel="0" collapsed="false">
      <c r="A2171" s="4" t="s">
        <v>2688</v>
      </c>
      <c r="B2171" s="5" t="n">
        <v>1.785</v>
      </c>
      <c r="C2171" s="5" t="n">
        <v>1.785</v>
      </c>
      <c r="D2171" s="5" t="n">
        <f aca="false">IF(AND(ISNUMBER(B2171),ISNUMBER(C2171)),C2171-B2171,"")</f>
        <v>0</v>
      </c>
      <c r="E2171" s="4" t="s">
        <v>531</v>
      </c>
    </row>
    <row r="2172" customFormat="false" ht="15" hidden="false" customHeight="false" outlineLevel="0" collapsed="false">
      <c r="A2172" s="4" t="s">
        <v>2689</v>
      </c>
      <c r="B2172" s="5" t="n">
        <v>-0.087</v>
      </c>
      <c r="C2172" s="5" t="n">
        <v>-0.087</v>
      </c>
      <c r="D2172" s="5" t="n">
        <f aca="false">IF(AND(ISNUMBER(B2172),ISNUMBER(C2172)),C2172-B2172,"")</f>
        <v>0</v>
      </c>
      <c r="E2172" s="4" t="s">
        <v>531</v>
      </c>
    </row>
    <row r="2173" customFormat="false" ht="15" hidden="false" customHeight="false" outlineLevel="0" collapsed="false">
      <c r="A2173" s="4" t="s">
        <v>2690</v>
      </c>
      <c r="B2173" s="5" t="n">
        <v>0.114</v>
      </c>
      <c r="C2173" s="5" t="n">
        <v>0.114</v>
      </c>
      <c r="D2173" s="5" t="n">
        <f aca="false">IF(AND(ISNUMBER(B2173),ISNUMBER(C2173)),C2173-B2173,"")</f>
        <v>0</v>
      </c>
      <c r="E2173" s="4" t="s">
        <v>531</v>
      </c>
    </row>
    <row r="2174" customFormat="false" ht="15" hidden="false" customHeight="false" outlineLevel="0" collapsed="false">
      <c r="A2174" s="4" t="s">
        <v>2691</v>
      </c>
      <c r="B2174" s="5" t="n">
        <v>0.115</v>
      </c>
      <c r="C2174" s="5" t="n">
        <v>0.115</v>
      </c>
      <c r="D2174" s="5" t="n">
        <f aca="false">IF(AND(ISNUMBER(B2174),ISNUMBER(C2174)),C2174-B2174,"")</f>
        <v>0</v>
      </c>
      <c r="E2174" s="4" t="s">
        <v>531</v>
      </c>
    </row>
    <row r="2175" customFormat="false" ht="15" hidden="false" customHeight="false" outlineLevel="0" collapsed="false">
      <c r="A2175" s="4" t="s">
        <v>2692</v>
      </c>
      <c r="B2175" s="5" t="n">
        <v>0.448</v>
      </c>
      <c r="C2175" s="5" t="n">
        <v>0.448</v>
      </c>
      <c r="D2175" s="5" t="n">
        <f aca="false">IF(AND(ISNUMBER(B2175),ISNUMBER(C2175)),C2175-B2175,"")</f>
        <v>0</v>
      </c>
      <c r="E2175" s="4" t="s">
        <v>531</v>
      </c>
    </row>
    <row r="2176" customFormat="false" ht="15" hidden="false" customHeight="false" outlineLevel="0" collapsed="false">
      <c r="A2176" s="4" t="s">
        <v>2693</v>
      </c>
      <c r="B2176" s="5" t="n">
        <v>0.995</v>
      </c>
      <c r="C2176" s="5" t="n">
        <v>0.999</v>
      </c>
      <c r="D2176" s="5" t="n">
        <f aca="false">IF(AND(ISNUMBER(B2176),ISNUMBER(C2176)),C2176-B2176,"")</f>
        <v>0.004</v>
      </c>
      <c r="E2176" s="4" t="s">
        <v>2252</v>
      </c>
    </row>
    <row r="2177" customFormat="false" ht="15" hidden="false" customHeight="false" outlineLevel="0" collapsed="false">
      <c r="A2177" s="4" t="s">
        <v>2694</v>
      </c>
      <c r="B2177" s="5" t="s">
        <v>216</v>
      </c>
      <c r="C2177" s="5" t="s">
        <v>216</v>
      </c>
      <c r="D2177" s="5" t="str">
        <f aca="false">IF(AND(ISNUMBER(B2177),ISNUMBER(C2177)),C2177-B2177,"")</f>
        <v/>
      </c>
      <c r="E2177" s="4" t="s">
        <v>531</v>
      </c>
    </row>
    <row r="2178" customFormat="false" ht="15" hidden="false" customHeight="false" outlineLevel="0" collapsed="false">
      <c r="A2178" s="4" t="s">
        <v>2695</v>
      </c>
      <c r="B2178" s="5" t="n">
        <v>0.32</v>
      </c>
      <c r="C2178" s="5" t="n">
        <v>0.32</v>
      </c>
      <c r="D2178" s="5" t="n">
        <f aca="false">IF(AND(ISNUMBER(B2178),ISNUMBER(C2178)),C2178-B2178,"")</f>
        <v>0</v>
      </c>
      <c r="E2178" s="4" t="s">
        <v>531</v>
      </c>
    </row>
    <row r="2179" customFormat="false" ht="15" hidden="false" customHeight="false" outlineLevel="0" collapsed="false">
      <c r="A2179" s="4" t="s">
        <v>2696</v>
      </c>
      <c r="B2179" s="5" t="n">
        <v>-0.205</v>
      </c>
      <c r="C2179" s="5" t="n">
        <v>-0.205</v>
      </c>
      <c r="D2179" s="5" t="n">
        <f aca="false">IF(AND(ISNUMBER(B2179),ISNUMBER(C2179)),C2179-B2179,"")</f>
        <v>0</v>
      </c>
      <c r="E2179" s="4" t="s">
        <v>531</v>
      </c>
    </row>
    <row r="2180" customFormat="false" ht="15" hidden="false" customHeight="false" outlineLevel="0" collapsed="false">
      <c r="A2180" s="4" t="s">
        <v>2697</v>
      </c>
      <c r="B2180" s="5" t="n">
        <v>0.114</v>
      </c>
      <c r="C2180" s="5" t="n">
        <v>0.114</v>
      </c>
      <c r="D2180" s="5" t="n">
        <f aca="false">IF(AND(ISNUMBER(B2180),ISNUMBER(C2180)),C2180-B2180,"")</f>
        <v>0</v>
      </c>
      <c r="E2180" s="4" t="s">
        <v>531</v>
      </c>
    </row>
    <row r="2181" customFormat="false" ht="15" hidden="false" customHeight="false" outlineLevel="0" collapsed="false">
      <c r="A2181" s="4" t="s">
        <v>2698</v>
      </c>
      <c r="B2181" s="5" t="n">
        <v>0.113</v>
      </c>
      <c r="C2181" s="5" t="n">
        <v>0.113</v>
      </c>
      <c r="D2181" s="5" t="n">
        <f aca="false">IF(AND(ISNUMBER(B2181),ISNUMBER(C2181)),C2181-B2181,"")</f>
        <v>0</v>
      </c>
      <c r="E2181" s="4" t="s">
        <v>531</v>
      </c>
    </row>
    <row r="2182" customFormat="false" ht="15" hidden="false" customHeight="false" outlineLevel="0" collapsed="false">
      <c r="A2182" s="4" t="s">
        <v>2699</v>
      </c>
      <c r="B2182" s="5" t="n">
        <v>0.072</v>
      </c>
      <c r="C2182" s="5" t="n">
        <v>0.072</v>
      </c>
      <c r="D2182" s="5" t="n">
        <f aca="false">IF(AND(ISNUMBER(B2182),ISNUMBER(C2182)),C2182-B2182,"")</f>
        <v>0</v>
      </c>
      <c r="E2182" s="4" t="s">
        <v>531</v>
      </c>
    </row>
    <row r="2183" customFormat="false" ht="15" hidden="false" customHeight="false" outlineLevel="0" collapsed="false">
      <c r="A2183" s="4" t="s">
        <v>2700</v>
      </c>
      <c r="B2183" s="5" t="n">
        <v>0.584</v>
      </c>
      <c r="C2183" s="5" t="n">
        <v>0.593</v>
      </c>
      <c r="D2183" s="5" t="n">
        <f aca="false">IF(AND(ISNUMBER(B2183),ISNUMBER(C2183)),C2183-B2183,"")</f>
        <v>0.00900000000000001</v>
      </c>
      <c r="E2183" s="4" t="s">
        <v>2252</v>
      </c>
    </row>
    <row r="2184" customFormat="false" ht="15" hidden="false" customHeight="false" outlineLevel="0" collapsed="false">
      <c r="A2184" s="4" t="s">
        <v>2701</v>
      </c>
      <c r="B2184" s="5" t="s">
        <v>216</v>
      </c>
      <c r="C2184" s="5" t="s">
        <v>216</v>
      </c>
      <c r="D2184" s="5" t="str">
        <f aca="false">IF(AND(ISNUMBER(B2184),ISNUMBER(C2184)),C2184-B2184,"")</f>
        <v/>
      </c>
      <c r="E2184" s="4" t="s">
        <v>531</v>
      </c>
    </row>
    <row r="2185" customFormat="false" ht="15" hidden="false" customHeight="false" outlineLevel="0" collapsed="false">
      <c r="A2185" s="4" t="s">
        <v>2702</v>
      </c>
      <c r="B2185" s="5" t="n">
        <v>0.319</v>
      </c>
      <c r="C2185" s="5" t="n">
        <v>0.319</v>
      </c>
      <c r="D2185" s="5" t="n">
        <f aca="false">IF(AND(ISNUMBER(B2185),ISNUMBER(C2185)),C2185-B2185,"")</f>
        <v>0</v>
      </c>
      <c r="E2185" s="4" t="s">
        <v>531</v>
      </c>
    </row>
    <row r="2186" customFormat="false" ht="15" hidden="false" customHeight="false" outlineLevel="0" collapsed="false">
      <c r="A2186" s="4" t="s">
        <v>2703</v>
      </c>
      <c r="B2186" s="5" t="n">
        <v>-0.011</v>
      </c>
      <c r="C2186" s="5" t="n">
        <v>-0.011</v>
      </c>
      <c r="D2186" s="5" t="n">
        <f aca="false">IF(AND(ISNUMBER(B2186),ISNUMBER(C2186)),C2186-B2186,"")</f>
        <v>0</v>
      </c>
      <c r="E2186" s="4" t="s">
        <v>531</v>
      </c>
    </row>
    <row r="2187" customFormat="false" ht="15" hidden="false" customHeight="false" outlineLevel="0" collapsed="false">
      <c r="A2187" s="4" t="s">
        <v>2704</v>
      </c>
      <c r="B2187" s="5" t="n">
        <v>0.099</v>
      </c>
      <c r="C2187" s="5" t="n">
        <v>0.099</v>
      </c>
      <c r="D2187" s="5" t="n">
        <f aca="false">IF(AND(ISNUMBER(B2187),ISNUMBER(C2187)),C2187-B2187,"")</f>
        <v>0</v>
      </c>
      <c r="E2187" s="4" t="s">
        <v>531</v>
      </c>
    </row>
    <row r="2188" customFormat="false" ht="15" hidden="false" customHeight="false" outlineLevel="0" collapsed="false">
      <c r="A2188" s="4" t="s">
        <v>2705</v>
      </c>
      <c r="B2188" s="5" t="n">
        <v>0.1</v>
      </c>
      <c r="C2188" s="5" t="n">
        <v>0.1</v>
      </c>
      <c r="D2188" s="5" t="n">
        <f aca="false">IF(AND(ISNUMBER(B2188),ISNUMBER(C2188)),C2188-B2188,"")</f>
        <v>0</v>
      </c>
      <c r="E2188" s="4" t="s">
        <v>531</v>
      </c>
    </row>
    <row r="2189" customFormat="false" ht="15" hidden="false" customHeight="false" outlineLevel="0" collapsed="false">
      <c r="A2189" s="4" t="s">
        <v>2706</v>
      </c>
      <c r="B2189" s="5" t="n">
        <v>0.913</v>
      </c>
      <c r="C2189" s="5" t="n">
        <v>0.913</v>
      </c>
      <c r="D2189" s="5" t="n">
        <f aca="false">IF(AND(ISNUMBER(B2189),ISNUMBER(C2189)),C2189-B2189,"")</f>
        <v>0</v>
      </c>
      <c r="E2189" s="4" t="s">
        <v>531</v>
      </c>
    </row>
    <row r="2190" customFormat="false" ht="15" hidden="false" customHeight="false" outlineLevel="0" collapsed="false">
      <c r="A2190" s="4" t="s">
        <v>2707</v>
      </c>
      <c r="B2190" s="5" t="n">
        <v>1</v>
      </c>
      <c r="C2190" s="5" t="n">
        <v>1</v>
      </c>
      <c r="D2190" s="5" t="n">
        <f aca="false">IF(AND(ISNUMBER(B2190),ISNUMBER(C2190)),C2190-B2190,"")</f>
        <v>0</v>
      </c>
      <c r="E2190" s="4" t="s">
        <v>531</v>
      </c>
    </row>
    <row r="2191" customFormat="false" ht="15" hidden="false" customHeight="false" outlineLevel="0" collapsed="false">
      <c r="A2191" s="4" t="s">
        <v>2708</v>
      </c>
      <c r="B2191" s="5" t="s">
        <v>216</v>
      </c>
      <c r="C2191" s="5" t="s">
        <v>216</v>
      </c>
      <c r="D2191" s="5" t="str">
        <f aca="false">IF(AND(ISNUMBER(B2191),ISNUMBER(C2191)),C2191-B2191,"")</f>
        <v/>
      </c>
      <c r="E2191" s="4" t="s">
        <v>531</v>
      </c>
    </row>
    <row r="2192" customFormat="false" ht="15" hidden="false" customHeight="false" outlineLevel="0" collapsed="false">
      <c r="A2192" s="4" t="s">
        <v>2709</v>
      </c>
      <c r="B2192" s="5" t="n">
        <v>0.278</v>
      </c>
      <c r="C2192" s="5" t="n">
        <v>0.278</v>
      </c>
      <c r="D2192" s="5" t="n">
        <f aca="false">IF(AND(ISNUMBER(B2192),ISNUMBER(C2192)),C2192-B2192,"")</f>
        <v>0</v>
      </c>
      <c r="E2192" s="4" t="s">
        <v>531</v>
      </c>
    </row>
    <row r="2193" customFormat="false" ht="15" hidden="false" customHeight="false" outlineLevel="0" collapsed="false">
      <c r="A2193" s="4" t="s">
        <v>2710</v>
      </c>
      <c r="B2193" s="5" t="n">
        <v>0.058</v>
      </c>
      <c r="C2193" s="5" t="n">
        <v>0.058</v>
      </c>
      <c r="D2193" s="5" t="n">
        <f aca="false">IF(AND(ISNUMBER(B2193),ISNUMBER(C2193)),C2193-B2193,"")</f>
        <v>0</v>
      </c>
      <c r="E2193" s="4" t="s">
        <v>531</v>
      </c>
    </row>
    <row r="2194" customFormat="false" ht="15" hidden="false" customHeight="false" outlineLevel="0" collapsed="false">
      <c r="A2194" s="4" t="s">
        <v>2711</v>
      </c>
      <c r="B2194" s="5" t="n">
        <v>0.108</v>
      </c>
      <c r="C2194" s="5" t="n">
        <v>0.108</v>
      </c>
      <c r="D2194" s="5" t="n">
        <f aca="false">IF(AND(ISNUMBER(B2194),ISNUMBER(C2194)),C2194-B2194,"")</f>
        <v>0</v>
      </c>
      <c r="E2194" s="4" t="s">
        <v>531</v>
      </c>
    </row>
    <row r="2195" customFormat="false" ht="15" hidden="false" customHeight="false" outlineLevel="0" collapsed="false">
      <c r="A2195" s="4" t="s">
        <v>2712</v>
      </c>
      <c r="B2195" s="5" t="n">
        <v>0.107</v>
      </c>
      <c r="C2195" s="5" t="n">
        <v>0.107</v>
      </c>
      <c r="D2195" s="5" t="n">
        <f aca="false">IF(AND(ISNUMBER(B2195),ISNUMBER(C2195)),C2195-B2195,"")</f>
        <v>0</v>
      </c>
      <c r="E2195" s="4" t="s">
        <v>531</v>
      </c>
    </row>
    <row r="2196" customFormat="false" ht="15" hidden="false" customHeight="false" outlineLevel="0" collapsed="false">
      <c r="A2196" s="4" t="s">
        <v>2713</v>
      </c>
      <c r="B2196" s="5" t="n">
        <v>0.589</v>
      </c>
      <c r="C2196" s="5" t="n">
        <v>0.589</v>
      </c>
      <c r="D2196" s="5" t="n">
        <f aca="false">IF(AND(ISNUMBER(B2196),ISNUMBER(C2196)),C2196-B2196,"")</f>
        <v>0</v>
      </c>
      <c r="E2196" s="4" t="s">
        <v>531</v>
      </c>
    </row>
    <row r="2197" customFormat="false" ht="15" hidden="false" customHeight="false" outlineLevel="0" collapsed="false">
      <c r="A2197" s="4" t="s">
        <v>2714</v>
      </c>
      <c r="B2197" s="5" t="n">
        <v>0.999</v>
      </c>
      <c r="C2197" s="5" t="n">
        <v>1</v>
      </c>
      <c r="D2197" s="5" t="n">
        <f aca="false">IF(AND(ISNUMBER(B2197),ISNUMBER(C2197)),C2197-B2197,"")</f>
        <v>0.001</v>
      </c>
      <c r="E2197" s="4" t="s">
        <v>2252</v>
      </c>
    </row>
    <row r="2198" customFormat="false" ht="15" hidden="false" customHeight="false" outlineLevel="0" collapsed="false">
      <c r="A2198" s="4" t="s">
        <v>2715</v>
      </c>
      <c r="B2198" s="5" t="s">
        <v>216</v>
      </c>
      <c r="C2198" s="5" t="s">
        <v>216</v>
      </c>
      <c r="D2198" s="5" t="str">
        <f aca="false">IF(AND(ISNUMBER(B2198),ISNUMBER(C2198)),C2198-B2198,"")</f>
        <v/>
      </c>
      <c r="E2198" s="4" t="s">
        <v>531</v>
      </c>
    </row>
    <row r="2199" customFormat="false" ht="15" hidden="false" customHeight="false" outlineLevel="0" collapsed="false">
      <c r="A2199" s="4" t="s">
        <v>2716</v>
      </c>
      <c r="B2199" s="5" t="n">
        <v>0.303</v>
      </c>
      <c r="C2199" s="5" t="n">
        <v>0.303</v>
      </c>
      <c r="D2199" s="5" t="n">
        <f aca="false">IF(AND(ISNUMBER(B2199),ISNUMBER(C2199)),C2199-B2199,"")</f>
        <v>0</v>
      </c>
      <c r="E2199" s="4" t="s">
        <v>531</v>
      </c>
    </row>
    <row r="2200" customFormat="false" ht="15" hidden="false" customHeight="false" outlineLevel="0" collapsed="false">
      <c r="A2200" s="4" t="s">
        <v>2717</v>
      </c>
      <c r="B2200" s="5" t="n">
        <v>-0.021</v>
      </c>
      <c r="C2200" s="5" t="n">
        <v>-0.021</v>
      </c>
      <c r="D2200" s="5" t="n">
        <f aca="false">IF(AND(ISNUMBER(B2200),ISNUMBER(C2200)),C2200-B2200,"")</f>
        <v>0</v>
      </c>
      <c r="E2200" s="4" t="s">
        <v>531</v>
      </c>
    </row>
    <row r="2201" customFormat="false" ht="15" hidden="false" customHeight="false" outlineLevel="0" collapsed="false">
      <c r="A2201" s="4" t="s">
        <v>2718</v>
      </c>
      <c r="B2201" s="5" t="n">
        <v>0.119</v>
      </c>
      <c r="C2201" s="5" t="n">
        <v>0.119</v>
      </c>
      <c r="D2201" s="5" t="n">
        <f aca="false">IF(AND(ISNUMBER(B2201),ISNUMBER(C2201)),C2201-B2201,"")</f>
        <v>0</v>
      </c>
      <c r="E2201" s="4" t="s">
        <v>531</v>
      </c>
    </row>
    <row r="2202" customFormat="false" ht="15" hidden="false" customHeight="false" outlineLevel="0" collapsed="false">
      <c r="A2202" s="4" t="s">
        <v>2719</v>
      </c>
      <c r="B2202" s="5" t="n">
        <v>0.118</v>
      </c>
      <c r="C2202" s="5" t="n">
        <v>0.118</v>
      </c>
      <c r="D2202" s="5" t="n">
        <f aca="false">IF(AND(ISNUMBER(B2202),ISNUMBER(C2202)),C2202-B2202,"")</f>
        <v>0</v>
      </c>
      <c r="E2202" s="4" t="s">
        <v>531</v>
      </c>
    </row>
    <row r="2203" customFormat="false" ht="15" hidden="false" customHeight="false" outlineLevel="0" collapsed="false">
      <c r="A2203" s="4" t="s">
        <v>2720</v>
      </c>
      <c r="B2203" s="5" t="n">
        <v>0.859</v>
      </c>
      <c r="C2203" s="5" t="n">
        <v>0.859</v>
      </c>
      <c r="D2203" s="5" t="n">
        <f aca="false">IF(AND(ISNUMBER(B2203),ISNUMBER(C2203)),C2203-B2203,"")</f>
        <v>0</v>
      </c>
      <c r="E2203" s="4" t="s">
        <v>531</v>
      </c>
    </row>
    <row r="2204" customFormat="false" ht="15" hidden="false" customHeight="false" outlineLevel="0" collapsed="false">
      <c r="A2204" s="4" t="s">
        <v>2721</v>
      </c>
      <c r="B2204" s="5" t="n">
        <v>1</v>
      </c>
      <c r="C2204" s="5" t="n">
        <v>1</v>
      </c>
      <c r="D2204" s="5" t="n">
        <f aca="false">IF(AND(ISNUMBER(B2204),ISNUMBER(C2204)),C2204-B2204,"")</f>
        <v>0</v>
      </c>
      <c r="E2204" s="4" t="s">
        <v>531</v>
      </c>
    </row>
    <row r="2205" customFormat="false" ht="15" hidden="false" customHeight="false" outlineLevel="0" collapsed="false">
      <c r="A2205" s="4" t="s">
        <v>2722</v>
      </c>
      <c r="B2205" s="5" t="s">
        <v>216</v>
      </c>
      <c r="C2205" s="5" t="s">
        <v>216</v>
      </c>
      <c r="D2205" s="5" t="str">
        <f aca="false">IF(AND(ISNUMBER(B2205),ISNUMBER(C2205)),C2205-B2205,"")</f>
        <v/>
      </c>
      <c r="E2205" s="4" t="s">
        <v>531</v>
      </c>
    </row>
    <row r="2206" customFormat="false" ht="15" hidden="false" customHeight="false" outlineLevel="0" collapsed="false">
      <c r="A2206" s="4" t="s">
        <v>2723</v>
      </c>
      <c r="B2206" s="5" t="n">
        <v>0.333</v>
      </c>
      <c r="C2206" s="5" t="n">
        <v>0.333</v>
      </c>
      <c r="D2206" s="5" t="n">
        <f aca="false">IF(AND(ISNUMBER(B2206),ISNUMBER(C2206)),C2206-B2206,"")</f>
        <v>0</v>
      </c>
      <c r="E2206" s="4" t="s">
        <v>531</v>
      </c>
    </row>
    <row r="2207" customFormat="false" ht="15" hidden="false" customHeight="false" outlineLevel="0" collapsed="false">
      <c r="A2207" s="4" t="s">
        <v>2724</v>
      </c>
      <c r="B2207" s="5" t="n">
        <v>-0.135</v>
      </c>
      <c r="C2207" s="5" t="n">
        <v>-0.135</v>
      </c>
      <c r="D2207" s="5" t="n">
        <f aca="false">IF(AND(ISNUMBER(B2207),ISNUMBER(C2207)),C2207-B2207,"")</f>
        <v>0</v>
      </c>
      <c r="E2207" s="4" t="s">
        <v>531</v>
      </c>
    </row>
    <row r="2208" customFormat="false" ht="15" hidden="false" customHeight="false" outlineLevel="0" collapsed="false">
      <c r="A2208" s="4" t="s">
        <v>2725</v>
      </c>
      <c r="B2208" s="5" t="n">
        <v>0.107</v>
      </c>
      <c r="C2208" s="5" t="n">
        <v>0.107</v>
      </c>
      <c r="D2208" s="5" t="n">
        <f aca="false">IF(AND(ISNUMBER(B2208),ISNUMBER(C2208)),C2208-B2208,"")</f>
        <v>0</v>
      </c>
      <c r="E2208" s="4" t="s">
        <v>531</v>
      </c>
    </row>
    <row r="2209" customFormat="false" ht="15" hidden="false" customHeight="false" outlineLevel="0" collapsed="false">
      <c r="A2209" s="4" t="s">
        <v>2726</v>
      </c>
      <c r="B2209" s="5" t="n">
        <v>0.109</v>
      </c>
      <c r="C2209" s="5" t="n">
        <v>0.109</v>
      </c>
      <c r="D2209" s="5" t="n">
        <f aca="false">IF(AND(ISNUMBER(B2209),ISNUMBER(C2209)),C2209-B2209,"")</f>
        <v>0</v>
      </c>
      <c r="E2209" s="4" t="s">
        <v>531</v>
      </c>
    </row>
    <row r="2210" customFormat="false" ht="15" hidden="false" customHeight="false" outlineLevel="0" collapsed="false">
      <c r="A2210" s="4" t="s">
        <v>2727</v>
      </c>
      <c r="B2210" s="5" t="n">
        <v>0.209</v>
      </c>
      <c r="C2210" s="5" t="n">
        <v>0.209</v>
      </c>
      <c r="D2210" s="5" t="n">
        <f aca="false">IF(AND(ISNUMBER(B2210),ISNUMBER(C2210)),C2210-B2210,"")</f>
        <v>0</v>
      </c>
      <c r="E2210" s="4" t="s">
        <v>531</v>
      </c>
    </row>
    <row r="2211" customFormat="false" ht="15" hidden="false" customHeight="false" outlineLevel="0" collapsed="false">
      <c r="A2211" s="4" t="s">
        <v>2728</v>
      </c>
      <c r="B2211" s="5" t="n">
        <v>0.936</v>
      </c>
      <c r="C2211" s="5" t="n">
        <v>0.942</v>
      </c>
      <c r="D2211" s="5" t="n">
        <f aca="false">IF(AND(ISNUMBER(B2211),ISNUMBER(C2211)),C2211-B2211,"")</f>
        <v>0.00599999999999989</v>
      </c>
      <c r="E2211" s="4" t="s">
        <v>2252</v>
      </c>
    </row>
    <row r="2212" customFormat="false" ht="15" hidden="false" customHeight="false" outlineLevel="0" collapsed="false">
      <c r="A2212" s="4" t="s">
        <v>2729</v>
      </c>
      <c r="B2212" s="5" t="s">
        <v>216</v>
      </c>
      <c r="C2212" s="5" t="s">
        <v>216</v>
      </c>
      <c r="D2212" s="5" t="str">
        <f aca="false">IF(AND(ISNUMBER(B2212),ISNUMBER(C2212)),C2212-B2212,"")</f>
        <v/>
      </c>
      <c r="E2212" s="4" t="s">
        <v>531</v>
      </c>
    </row>
    <row r="2213" customFormat="false" ht="23.85" hidden="false" customHeight="false" outlineLevel="0" collapsed="false">
      <c r="A2213" s="4" t="s">
        <v>2730</v>
      </c>
      <c r="B2213" s="5" t="n">
        <v>0.301</v>
      </c>
      <c r="C2213" s="5" t="n">
        <v>0.301</v>
      </c>
      <c r="D2213" s="5" t="n">
        <f aca="false">IF(AND(ISNUMBER(B2213),ISNUMBER(C2213)),C2213-B2213,"")</f>
        <v>0</v>
      </c>
      <c r="E2213" s="4" t="s">
        <v>531</v>
      </c>
    </row>
    <row r="2214" customFormat="false" ht="15" hidden="false" customHeight="false" outlineLevel="0" collapsed="false">
      <c r="A2214" s="4" t="s">
        <v>2731</v>
      </c>
      <c r="B2214" s="5" t="n">
        <v>0.3</v>
      </c>
      <c r="C2214" s="5" t="n">
        <v>0.3</v>
      </c>
      <c r="D2214" s="5" t="n">
        <f aca="false">IF(AND(ISNUMBER(B2214),ISNUMBER(C2214)),C2214-B2214,"")</f>
        <v>0</v>
      </c>
      <c r="E2214" s="4" t="s">
        <v>531</v>
      </c>
    </row>
    <row r="2215" customFormat="false" ht="15" hidden="false" customHeight="false" outlineLevel="0" collapsed="false">
      <c r="A2215" s="4" t="s">
        <v>2732</v>
      </c>
      <c r="B2215" s="5" t="n">
        <v>0.118</v>
      </c>
      <c r="C2215" s="5" t="n">
        <v>0.118</v>
      </c>
      <c r="D2215" s="5" t="n">
        <f aca="false">IF(AND(ISNUMBER(B2215),ISNUMBER(C2215)),C2215-B2215,"")</f>
        <v>0</v>
      </c>
      <c r="E2215" s="4" t="s">
        <v>531</v>
      </c>
    </row>
    <row r="2216" customFormat="false" ht="15" hidden="false" customHeight="false" outlineLevel="0" collapsed="false">
      <c r="A2216" s="4" t="s">
        <v>2733</v>
      </c>
      <c r="B2216" s="5" t="n">
        <v>0.117</v>
      </c>
      <c r="C2216" s="5" t="n">
        <v>0.117</v>
      </c>
      <c r="D2216" s="5" t="n">
        <f aca="false">IF(AND(ISNUMBER(B2216),ISNUMBER(C2216)),C2216-B2216,"")</f>
        <v>0</v>
      </c>
      <c r="E2216" s="4" t="s">
        <v>531</v>
      </c>
    </row>
    <row r="2217" customFormat="false" ht="15" hidden="false" customHeight="false" outlineLevel="0" collapsed="false">
      <c r="A2217" s="4" t="s">
        <v>2734</v>
      </c>
      <c r="B2217" s="5" t="n">
        <v>0.011</v>
      </c>
      <c r="C2217" s="5" t="n">
        <v>0.011</v>
      </c>
      <c r="D2217" s="5" t="n">
        <f aca="false">IF(AND(ISNUMBER(B2217),ISNUMBER(C2217)),C2217-B2217,"")</f>
        <v>0</v>
      </c>
      <c r="E2217" s="4" t="s">
        <v>531</v>
      </c>
    </row>
    <row r="2218" customFormat="false" ht="15" hidden="false" customHeight="false" outlineLevel="0" collapsed="false">
      <c r="A2218" s="4" t="s">
        <v>2735</v>
      </c>
      <c r="B2218" s="5" t="n">
        <v>0.148</v>
      </c>
      <c r="C2218" s="5" t="n">
        <v>0.134</v>
      </c>
      <c r="D2218" s="5" t="n">
        <f aca="false">IF(AND(ISNUMBER(B2218),ISNUMBER(C2218)),C2218-B2218,"")</f>
        <v>-0.014</v>
      </c>
      <c r="E2218" s="4" t="s">
        <v>2252</v>
      </c>
    </row>
    <row r="2219" customFormat="false" ht="15" hidden="false" customHeight="false" outlineLevel="0" collapsed="false">
      <c r="A2219" s="4" t="s">
        <v>2736</v>
      </c>
      <c r="B2219" s="5" t="s">
        <v>216</v>
      </c>
      <c r="C2219" s="5" t="s">
        <v>216</v>
      </c>
      <c r="D2219" s="5" t="str">
        <f aca="false">IF(AND(ISNUMBER(B2219),ISNUMBER(C2219)),C2219-B2219,"")</f>
        <v/>
      </c>
      <c r="E2219" s="4" t="s">
        <v>531</v>
      </c>
    </row>
    <row r="2220" customFormat="false" ht="15" hidden="false" customHeight="false" outlineLevel="0" collapsed="false">
      <c r="A2220" s="4" t="s">
        <v>2737</v>
      </c>
      <c r="B2220" s="5" t="n">
        <v>0.33</v>
      </c>
      <c r="C2220" s="5" t="n">
        <v>0.33</v>
      </c>
      <c r="D2220" s="5" t="n">
        <f aca="false">IF(AND(ISNUMBER(B2220),ISNUMBER(C2220)),C2220-B2220,"")</f>
        <v>0</v>
      </c>
      <c r="E2220" s="4" t="s">
        <v>531</v>
      </c>
    </row>
    <row r="2221" customFormat="false" ht="15" hidden="false" customHeight="false" outlineLevel="0" collapsed="false">
      <c r="A2221" s="4" t="s">
        <v>2738</v>
      </c>
      <c r="B2221" s="5" t="n">
        <v>-0.009</v>
      </c>
      <c r="C2221" s="5" t="n">
        <v>-0.009</v>
      </c>
      <c r="D2221" s="5" t="n">
        <f aca="false">IF(AND(ISNUMBER(B2221),ISNUMBER(C2221)),C2221-B2221,"")</f>
        <v>0</v>
      </c>
      <c r="E2221" s="4" t="s">
        <v>531</v>
      </c>
    </row>
    <row r="2222" customFormat="false" ht="15" hidden="false" customHeight="false" outlineLevel="0" collapsed="false">
      <c r="A2222" s="4" t="s">
        <v>2739</v>
      </c>
      <c r="B2222" s="5" t="n">
        <v>0.122</v>
      </c>
      <c r="C2222" s="5" t="n">
        <v>0.122</v>
      </c>
      <c r="D2222" s="5" t="n">
        <f aca="false">IF(AND(ISNUMBER(B2222),ISNUMBER(C2222)),C2222-B2222,"")</f>
        <v>0</v>
      </c>
      <c r="E2222" s="4" t="s">
        <v>531</v>
      </c>
    </row>
    <row r="2223" customFormat="false" ht="15" hidden="false" customHeight="false" outlineLevel="0" collapsed="false">
      <c r="A2223" s="4" t="s">
        <v>2740</v>
      </c>
      <c r="B2223" s="5" t="n">
        <v>0.122</v>
      </c>
      <c r="C2223" s="5" t="n">
        <v>0.122</v>
      </c>
      <c r="D2223" s="5" t="n">
        <f aca="false">IF(AND(ISNUMBER(B2223),ISNUMBER(C2223)),C2223-B2223,"")</f>
        <v>0</v>
      </c>
      <c r="E2223" s="4" t="s">
        <v>531</v>
      </c>
    </row>
    <row r="2224" customFormat="false" ht="15" hidden="false" customHeight="false" outlineLevel="0" collapsed="false">
      <c r="A2224" s="4" t="s">
        <v>2741</v>
      </c>
      <c r="B2224" s="5" t="n">
        <v>0.943</v>
      </c>
      <c r="C2224" s="5" t="n">
        <v>0.943</v>
      </c>
      <c r="D2224" s="5" t="n">
        <f aca="false">IF(AND(ISNUMBER(B2224),ISNUMBER(C2224)),C2224-B2224,"")</f>
        <v>0</v>
      </c>
      <c r="E2224" s="4" t="s">
        <v>531</v>
      </c>
    </row>
    <row r="2225" customFormat="false" ht="15" hidden="false" customHeight="false" outlineLevel="0" collapsed="false">
      <c r="A2225" s="4" t="s">
        <v>2742</v>
      </c>
      <c r="B2225" s="5" t="n">
        <v>1</v>
      </c>
      <c r="C2225" s="5" t="n">
        <v>1</v>
      </c>
      <c r="D2225" s="5" t="n">
        <f aca="false">IF(AND(ISNUMBER(B2225),ISNUMBER(C2225)),C2225-B2225,"")</f>
        <v>0</v>
      </c>
      <c r="E2225" s="4" t="s">
        <v>531</v>
      </c>
    </row>
    <row r="2226" customFormat="false" ht="15" hidden="false" customHeight="false" outlineLevel="0" collapsed="false">
      <c r="A2226" s="4" t="s">
        <v>2743</v>
      </c>
      <c r="B2226" s="5" t="s">
        <v>216</v>
      </c>
      <c r="C2226" s="5" t="s">
        <v>216</v>
      </c>
      <c r="D2226" s="5" t="str">
        <f aca="false">IF(AND(ISNUMBER(B2226),ISNUMBER(C2226)),C2226-B2226,"")</f>
        <v/>
      </c>
      <c r="E2226" s="4" t="s">
        <v>531</v>
      </c>
    </row>
    <row r="2227" customFormat="false" ht="23.85" hidden="false" customHeight="false" outlineLevel="0" collapsed="false">
      <c r="A2227" s="4" t="s">
        <v>2744</v>
      </c>
      <c r="B2227" s="5" t="n">
        <v>0.341</v>
      </c>
      <c r="C2227" s="5" t="n">
        <v>0.341</v>
      </c>
      <c r="D2227" s="5" t="n">
        <f aca="false">IF(AND(ISNUMBER(B2227),ISNUMBER(C2227)),C2227-B2227,"")</f>
        <v>0</v>
      </c>
      <c r="E2227" s="4" t="s">
        <v>531</v>
      </c>
    </row>
    <row r="2228" customFormat="false" ht="15" hidden="false" customHeight="false" outlineLevel="0" collapsed="false">
      <c r="A2228" s="4" t="s">
        <v>2745</v>
      </c>
      <c r="B2228" s="5" t="n">
        <v>-0.103</v>
      </c>
      <c r="C2228" s="5" t="n">
        <v>-0.103</v>
      </c>
      <c r="D2228" s="5" t="n">
        <f aca="false">IF(AND(ISNUMBER(B2228),ISNUMBER(C2228)),C2228-B2228,"")</f>
        <v>0</v>
      </c>
      <c r="E2228" s="4" t="s">
        <v>531</v>
      </c>
    </row>
    <row r="2229" customFormat="false" ht="15" hidden="false" customHeight="false" outlineLevel="0" collapsed="false">
      <c r="A2229" s="4" t="s">
        <v>2746</v>
      </c>
      <c r="B2229" s="5" t="n">
        <v>0.12</v>
      </c>
      <c r="C2229" s="5" t="n">
        <v>0.12</v>
      </c>
      <c r="D2229" s="5" t="n">
        <f aca="false">IF(AND(ISNUMBER(B2229),ISNUMBER(C2229)),C2229-B2229,"")</f>
        <v>0</v>
      </c>
      <c r="E2229" s="4" t="s">
        <v>531</v>
      </c>
    </row>
    <row r="2230" customFormat="false" ht="15" hidden="false" customHeight="false" outlineLevel="0" collapsed="false">
      <c r="A2230" s="4" t="s">
        <v>2747</v>
      </c>
      <c r="B2230" s="5" t="n">
        <v>0.12</v>
      </c>
      <c r="C2230" s="5" t="n">
        <v>0.12</v>
      </c>
      <c r="D2230" s="5" t="n">
        <f aca="false">IF(AND(ISNUMBER(B2230),ISNUMBER(C2230)),C2230-B2230,"")</f>
        <v>0</v>
      </c>
      <c r="E2230" s="4" t="s">
        <v>531</v>
      </c>
    </row>
    <row r="2231" customFormat="false" ht="15" hidden="false" customHeight="false" outlineLevel="0" collapsed="false">
      <c r="A2231" s="4" t="s">
        <v>2748</v>
      </c>
      <c r="B2231" s="5" t="n">
        <v>0.388</v>
      </c>
      <c r="C2231" s="5" t="n">
        <v>0.388</v>
      </c>
      <c r="D2231" s="5" t="n">
        <f aca="false">IF(AND(ISNUMBER(B2231),ISNUMBER(C2231)),C2231-B2231,"")</f>
        <v>0</v>
      </c>
      <c r="E2231" s="4" t="s">
        <v>531</v>
      </c>
    </row>
    <row r="2232" customFormat="false" ht="15" hidden="false" customHeight="false" outlineLevel="0" collapsed="false">
      <c r="A2232" s="4" t="s">
        <v>2749</v>
      </c>
      <c r="B2232" s="5" t="n">
        <v>0.993</v>
      </c>
      <c r="C2232" s="5" t="n">
        <v>0.995</v>
      </c>
      <c r="D2232" s="5" t="n">
        <f aca="false">IF(AND(ISNUMBER(B2232),ISNUMBER(C2232)),C2232-B2232,"")</f>
        <v>0.002</v>
      </c>
      <c r="E2232" s="4" t="s">
        <v>2252</v>
      </c>
    </row>
    <row r="2233" customFormat="false" ht="15" hidden="false" customHeight="false" outlineLevel="0" collapsed="false">
      <c r="A2233" s="4" t="s">
        <v>2750</v>
      </c>
      <c r="B2233" s="5" t="s">
        <v>216</v>
      </c>
      <c r="C2233" s="5" t="s">
        <v>216</v>
      </c>
      <c r="D2233" s="5" t="str">
        <f aca="false">IF(AND(ISNUMBER(B2233),ISNUMBER(C2233)),C2233-B2233,"")</f>
        <v/>
      </c>
      <c r="E2233" s="4" t="s">
        <v>531</v>
      </c>
    </row>
    <row r="2234" customFormat="false" ht="15" hidden="false" customHeight="false" outlineLevel="0" collapsed="false">
      <c r="A2234" s="4" t="s">
        <v>2751</v>
      </c>
      <c r="B2234" s="5" t="n">
        <v>0.335</v>
      </c>
      <c r="C2234" s="5" t="n">
        <v>0.335</v>
      </c>
      <c r="D2234" s="5" t="n">
        <f aca="false">IF(AND(ISNUMBER(B2234),ISNUMBER(C2234)),C2234-B2234,"")</f>
        <v>0</v>
      </c>
      <c r="E2234" s="4" t="s">
        <v>531</v>
      </c>
    </row>
    <row r="2235" customFormat="false" ht="15" hidden="false" customHeight="false" outlineLevel="0" collapsed="false">
      <c r="A2235" s="4" t="s">
        <v>2752</v>
      </c>
      <c r="B2235" s="5" t="n">
        <v>-0.044</v>
      </c>
      <c r="C2235" s="5" t="n">
        <v>-0.044</v>
      </c>
      <c r="D2235" s="5" t="n">
        <f aca="false">IF(AND(ISNUMBER(B2235),ISNUMBER(C2235)),C2235-B2235,"")</f>
        <v>0</v>
      </c>
      <c r="E2235" s="4" t="s">
        <v>531</v>
      </c>
    </row>
    <row r="2236" customFormat="false" ht="15" hidden="false" customHeight="false" outlineLevel="0" collapsed="false">
      <c r="A2236" s="4" t="s">
        <v>2753</v>
      </c>
      <c r="B2236" s="5" t="n">
        <v>0.108</v>
      </c>
      <c r="C2236" s="5" t="n">
        <v>0.108</v>
      </c>
      <c r="D2236" s="5" t="n">
        <f aca="false">IF(AND(ISNUMBER(B2236),ISNUMBER(C2236)),C2236-B2236,"")</f>
        <v>0</v>
      </c>
      <c r="E2236" s="4" t="s">
        <v>531</v>
      </c>
    </row>
    <row r="2237" customFormat="false" ht="15" hidden="false" customHeight="false" outlineLevel="0" collapsed="false">
      <c r="A2237" s="4" t="s">
        <v>2754</v>
      </c>
      <c r="B2237" s="5" t="n">
        <v>0.107</v>
      </c>
      <c r="C2237" s="5" t="n">
        <v>0.107</v>
      </c>
      <c r="D2237" s="5" t="n">
        <f aca="false">IF(AND(ISNUMBER(B2237),ISNUMBER(C2237)),C2237-B2237,"")</f>
        <v>0</v>
      </c>
      <c r="E2237" s="4" t="s">
        <v>531</v>
      </c>
    </row>
    <row r="2238" customFormat="false" ht="15" hidden="false" customHeight="false" outlineLevel="0" collapsed="false">
      <c r="A2238" s="4" t="s">
        <v>2755</v>
      </c>
      <c r="B2238" s="5" t="n">
        <v>0.684</v>
      </c>
      <c r="C2238" s="5" t="n">
        <v>0.684</v>
      </c>
      <c r="D2238" s="5" t="n">
        <f aca="false">IF(AND(ISNUMBER(B2238),ISNUMBER(C2238)),C2238-B2238,"")</f>
        <v>0</v>
      </c>
      <c r="E2238" s="4" t="s">
        <v>531</v>
      </c>
    </row>
    <row r="2239" customFormat="false" ht="15" hidden="false" customHeight="false" outlineLevel="0" collapsed="false">
      <c r="A2239" s="4" t="s">
        <v>2756</v>
      </c>
      <c r="B2239" s="5" t="n">
        <v>1</v>
      </c>
      <c r="C2239" s="5" t="n">
        <v>1</v>
      </c>
      <c r="D2239" s="5" t="n">
        <f aca="false">IF(AND(ISNUMBER(B2239),ISNUMBER(C2239)),C2239-B2239,"")</f>
        <v>0</v>
      </c>
      <c r="E2239" s="4" t="s">
        <v>531</v>
      </c>
    </row>
    <row r="2240" customFormat="false" ht="15" hidden="false" customHeight="false" outlineLevel="0" collapsed="false">
      <c r="A2240" s="4" t="s">
        <v>2757</v>
      </c>
      <c r="B2240" s="5" t="s">
        <v>216</v>
      </c>
      <c r="C2240" s="5" t="s">
        <v>216</v>
      </c>
      <c r="D2240" s="5" t="str">
        <f aca="false">IF(AND(ISNUMBER(B2240),ISNUMBER(C2240)),C2240-B2240,"")</f>
        <v/>
      </c>
      <c r="E2240" s="4" t="s">
        <v>531</v>
      </c>
    </row>
    <row r="2241" customFormat="false" ht="15" hidden="false" customHeight="false" outlineLevel="0" collapsed="false">
      <c r="A2241" s="4" t="s">
        <v>2758</v>
      </c>
      <c r="B2241" s="5" t="n">
        <v>0.301</v>
      </c>
      <c r="C2241" s="5" t="n">
        <v>0.301</v>
      </c>
      <c r="D2241" s="5" t="n">
        <f aca="false">IF(AND(ISNUMBER(B2241),ISNUMBER(C2241)),C2241-B2241,"")</f>
        <v>0</v>
      </c>
      <c r="E2241" s="4" t="s">
        <v>531</v>
      </c>
    </row>
    <row r="2242" customFormat="false" ht="15" hidden="false" customHeight="false" outlineLevel="0" collapsed="false">
      <c r="A2242" s="4" t="s">
        <v>2759</v>
      </c>
      <c r="B2242" s="5" t="n">
        <v>0.059</v>
      </c>
      <c r="C2242" s="5" t="n">
        <v>0.059</v>
      </c>
      <c r="D2242" s="5" t="n">
        <f aca="false">IF(AND(ISNUMBER(B2242),ISNUMBER(C2242)),C2242-B2242,"")</f>
        <v>0</v>
      </c>
      <c r="E2242" s="4" t="s">
        <v>531</v>
      </c>
    </row>
    <row r="2243" customFormat="false" ht="15" hidden="false" customHeight="false" outlineLevel="0" collapsed="false">
      <c r="A2243" s="4" t="s">
        <v>2760</v>
      </c>
      <c r="B2243" s="5" t="n">
        <v>0.099</v>
      </c>
      <c r="C2243" s="5" t="n">
        <v>0.099</v>
      </c>
      <c r="D2243" s="5" t="n">
        <f aca="false">IF(AND(ISNUMBER(B2243),ISNUMBER(C2243)),C2243-B2243,"")</f>
        <v>0</v>
      </c>
      <c r="E2243" s="4" t="s">
        <v>531</v>
      </c>
    </row>
    <row r="2244" customFormat="false" ht="15" hidden="false" customHeight="false" outlineLevel="0" collapsed="false">
      <c r="A2244" s="4" t="s">
        <v>2761</v>
      </c>
      <c r="B2244" s="5" t="n">
        <v>0.098</v>
      </c>
      <c r="C2244" s="5" t="n">
        <v>0.098</v>
      </c>
      <c r="D2244" s="5" t="n">
        <f aca="false">IF(AND(ISNUMBER(B2244),ISNUMBER(C2244)),C2244-B2244,"")</f>
        <v>0</v>
      </c>
      <c r="E2244" s="4" t="s">
        <v>531</v>
      </c>
    </row>
    <row r="2245" customFormat="false" ht="15" hidden="false" customHeight="false" outlineLevel="0" collapsed="false">
      <c r="A2245" s="4" t="s">
        <v>2762</v>
      </c>
      <c r="B2245" s="5" t="n">
        <v>0.555</v>
      </c>
      <c r="C2245" s="5" t="n">
        <v>0.555</v>
      </c>
      <c r="D2245" s="5" t="n">
        <f aca="false">IF(AND(ISNUMBER(B2245),ISNUMBER(C2245)),C2245-B2245,"")</f>
        <v>0</v>
      </c>
      <c r="E2245" s="4" t="s">
        <v>531</v>
      </c>
    </row>
    <row r="2246" customFormat="false" ht="15" hidden="false" customHeight="false" outlineLevel="0" collapsed="false">
      <c r="A2246" s="4" t="s">
        <v>2763</v>
      </c>
      <c r="B2246" s="5" t="n">
        <v>0.999</v>
      </c>
      <c r="C2246" s="5" t="n">
        <v>1</v>
      </c>
      <c r="D2246" s="5" t="n">
        <f aca="false">IF(AND(ISNUMBER(B2246),ISNUMBER(C2246)),C2246-B2246,"")</f>
        <v>0.001</v>
      </c>
      <c r="E2246" s="4" t="s">
        <v>2252</v>
      </c>
    </row>
    <row r="2247" customFormat="false" ht="15" hidden="false" customHeight="false" outlineLevel="0" collapsed="false">
      <c r="A2247" s="4" t="s">
        <v>2764</v>
      </c>
      <c r="B2247" s="5" t="s">
        <v>216</v>
      </c>
      <c r="C2247" s="5" t="s">
        <v>216</v>
      </c>
      <c r="D2247" s="5" t="str">
        <f aca="false">IF(AND(ISNUMBER(B2247),ISNUMBER(C2247)),C2247-B2247,"")</f>
        <v/>
      </c>
      <c r="E2247" s="4" t="s">
        <v>531</v>
      </c>
    </row>
    <row r="2248" customFormat="false" ht="23.85" hidden="false" customHeight="false" outlineLevel="0" collapsed="false">
      <c r="A2248" s="4" t="s">
        <v>2765</v>
      </c>
      <c r="B2248" s="5" t="n">
        <v>0.277</v>
      </c>
      <c r="C2248" s="5" t="n">
        <v>0.277</v>
      </c>
      <c r="D2248" s="5" t="n">
        <f aca="false">IF(AND(ISNUMBER(B2248),ISNUMBER(C2248)),C2248-B2248,"")</f>
        <v>0</v>
      </c>
      <c r="E2248" s="4" t="s">
        <v>531</v>
      </c>
    </row>
    <row r="2249" customFormat="false" ht="15" hidden="false" customHeight="false" outlineLevel="0" collapsed="false">
      <c r="A2249" s="4" t="s">
        <v>2766</v>
      </c>
      <c r="B2249" s="5" t="n">
        <v>-0.292</v>
      </c>
      <c r="C2249" s="5" t="n">
        <v>-0.292</v>
      </c>
      <c r="D2249" s="5" t="n">
        <f aca="false">IF(AND(ISNUMBER(B2249),ISNUMBER(C2249)),C2249-B2249,"")</f>
        <v>0</v>
      </c>
      <c r="E2249" s="4" t="s">
        <v>531</v>
      </c>
    </row>
    <row r="2250" customFormat="false" ht="15" hidden="false" customHeight="false" outlineLevel="0" collapsed="false">
      <c r="A2250" s="4" t="s">
        <v>2767</v>
      </c>
      <c r="B2250" s="5" t="n">
        <v>0.216</v>
      </c>
      <c r="C2250" s="5" t="n">
        <v>0.216</v>
      </c>
      <c r="D2250" s="5" t="n">
        <f aca="false">IF(AND(ISNUMBER(B2250),ISNUMBER(C2250)),C2250-B2250,"")</f>
        <v>0</v>
      </c>
      <c r="E2250" s="4" t="s">
        <v>531</v>
      </c>
    </row>
    <row r="2251" customFormat="false" ht="15" hidden="false" customHeight="false" outlineLevel="0" collapsed="false">
      <c r="A2251" s="4" t="s">
        <v>2768</v>
      </c>
      <c r="B2251" s="5" t="n">
        <v>0.215</v>
      </c>
      <c r="C2251" s="5" t="n">
        <v>0.215</v>
      </c>
      <c r="D2251" s="5" t="n">
        <f aca="false">IF(AND(ISNUMBER(B2251),ISNUMBER(C2251)),C2251-B2251,"")</f>
        <v>0</v>
      </c>
      <c r="E2251" s="4" t="s">
        <v>531</v>
      </c>
    </row>
    <row r="2252" customFormat="false" ht="15" hidden="false" customHeight="false" outlineLevel="0" collapsed="false">
      <c r="A2252" s="4" t="s">
        <v>2769</v>
      </c>
      <c r="B2252" s="5" t="n">
        <v>0.177</v>
      </c>
      <c r="C2252" s="5" t="n">
        <v>0.177</v>
      </c>
      <c r="D2252" s="5" t="n">
        <f aca="false">IF(AND(ISNUMBER(B2252),ISNUMBER(C2252)),C2252-B2252,"")</f>
        <v>0</v>
      </c>
      <c r="E2252" s="4" t="s">
        <v>531</v>
      </c>
    </row>
    <row r="2253" customFormat="false" ht="15" hidden="false" customHeight="false" outlineLevel="0" collapsed="false">
      <c r="A2253" s="4" t="s">
        <v>2770</v>
      </c>
      <c r="B2253" s="5" t="n">
        <v>0.894</v>
      </c>
      <c r="C2253" s="5" t="n">
        <v>0.898</v>
      </c>
      <c r="D2253" s="5" t="n">
        <f aca="false">IF(AND(ISNUMBER(B2253),ISNUMBER(C2253)),C2253-B2253,"")</f>
        <v>0.004</v>
      </c>
      <c r="E2253" s="4" t="s">
        <v>2252</v>
      </c>
    </row>
    <row r="2254" customFormat="false" ht="15" hidden="false" customHeight="false" outlineLevel="0" collapsed="false">
      <c r="A2254" s="4" t="s">
        <v>2771</v>
      </c>
      <c r="B2254" s="5" t="s">
        <v>216</v>
      </c>
      <c r="C2254" s="5" t="s">
        <v>216</v>
      </c>
      <c r="D2254" s="5" t="str">
        <f aca="false">IF(AND(ISNUMBER(B2254),ISNUMBER(C2254)),C2254-B2254,"")</f>
        <v/>
      </c>
      <c r="E2254" s="4" t="s">
        <v>531</v>
      </c>
    </row>
    <row r="2255" customFormat="false" ht="15" hidden="false" customHeight="false" outlineLevel="0" collapsed="false">
      <c r="A2255" s="4" t="s">
        <v>2772</v>
      </c>
      <c r="B2255" s="5" t="n">
        <v>0.605</v>
      </c>
      <c r="C2255" s="5" t="n">
        <v>0.605</v>
      </c>
      <c r="D2255" s="5" t="n">
        <f aca="false">IF(AND(ISNUMBER(B2255),ISNUMBER(C2255)),C2255-B2255,"")</f>
        <v>0</v>
      </c>
      <c r="E2255" s="4" t="s">
        <v>531</v>
      </c>
    </row>
    <row r="2256" customFormat="false" ht="15" hidden="false" customHeight="false" outlineLevel="0" collapsed="false">
      <c r="A2256" s="4" t="s">
        <v>2773</v>
      </c>
      <c r="B2256" s="5" t="n">
        <v>-0.165</v>
      </c>
      <c r="C2256" s="5" t="n">
        <v>-0.165</v>
      </c>
      <c r="D2256" s="5" t="n">
        <f aca="false">IF(AND(ISNUMBER(B2256),ISNUMBER(C2256)),C2256-B2256,"")</f>
        <v>0</v>
      </c>
      <c r="E2256" s="4" t="s">
        <v>531</v>
      </c>
    </row>
    <row r="2257" customFormat="false" ht="15" hidden="false" customHeight="false" outlineLevel="0" collapsed="false">
      <c r="A2257" s="4" t="s">
        <v>2774</v>
      </c>
      <c r="B2257" s="5" t="n">
        <v>0.244</v>
      </c>
      <c r="C2257" s="5" t="n">
        <v>0.244</v>
      </c>
      <c r="D2257" s="5" t="n">
        <f aca="false">IF(AND(ISNUMBER(B2257),ISNUMBER(C2257)),C2257-B2257,"")</f>
        <v>0</v>
      </c>
      <c r="E2257" s="4" t="s">
        <v>531</v>
      </c>
    </row>
    <row r="2258" customFormat="false" ht="15" hidden="false" customHeight="false" outlineLevel="0" collapsed="false">
      <c r="A2258" s="4" t="s">
        <v>2775</v>
      </c>
      <c r="B2258" s="5" t="n">
        <v>0.246</v>
      </c>
      <c r="C2258" s="5" t="n">
        <v>0.246</v>
      </c>
      <c r="D2258" s="5" t="n">
        <f aca="false">IF(AND(ISNUMBER(B2258),ISNUMBER(C2258)),C2258-B2258,"")</f>
        <v>0</v>
      </c>
      <c r="E2258" s="4" t="s">
        <v>531</v>
      </c>
    </row>
    <row r="2259" customFormat="false" ht="15" hidden="false" customHeight="false" outlineLevel="0" collapsed="false">
      <c r="A2259" s="4" t="s">
        <v>2776</v>
      </c>
      <c r="B2259" s="5" t="n">
        <v>0.5</v>
      </c>
      <c r="C2259" s="5" t="n">
        <v>0.5</v>
      </c>
      <c r="D2259" s="5" t="n">
        <f aca="false">IF(AND(ISNUMBER(B2259),ISNUMBER(C2259)),C2259-B2259,"")</f>
        <v>0</v>
      </c>
      <c r="E2259" s="4" t="s">
        <v>531</v>
      </c>
    </row>
    <row r="2260" customFormat="false" ht="15" hidden="false" customHeight="false" outlineLevel="0" collapsed="false">
      <c r="A2260" s="4" t="s">
        <v>2777</v>
      </c>
      <c r="B2260" s="5" t="n">
        <v>0.998</v>
      </c>
      <c r="C2260" s="5" t="n">
        <v>1</v>
      </c>
      <c r="D2260" s="5" t="n">
        <f aca="false">IF(AND(ISNUMBER(B2260),ISNUMBER(C2260)),C2260-B2260,"")</f>
        <v>0.002</v>
      </c>
      <c r="E2260" s="4" t="s">
        <v>2252</v>
      </c>
    </row>
    <row r="2261" customFormat="false" ht="15" hidden="false" customHeight="false" outlineLevel="0" collapsed="false">
      <c r="A2261" s="4" t="s">
        <v>2778</v>
      </c>
      <c r="B2261" s="5" t="s">
        <v>216</v>
      </c>
      <c r="C2261" s="5" t="s">
        <v>216</v>
      </c>
      <c r="D2261" s="5" t="str">
        <f aca="false">IF(AND(ISNUMBER(B2261),ISNUMBER(C2261)),C2261-B2261,"")</f>
        <v/>
      </c>
      <c r="E2261" s="4" t="s">
        <v>531</v>
      </c>
    </row>
    <row r="2262" customFormat="false" ht="15" hidden="false" customHeight="false" outlineLevel="0" collapsed="false">
      <c r="A2262" s="4" t="s">
        <v>2779</v>
      </c>
      <c r="B2262" s="5" t="n">
        <v>0.684</v>
      </c>
      <c r="C2262" s="5" t="n">
        <v>0.684</v>
      </c>
      <c r="D2262" s="5" t="n">
        <f aca="false">IF(AND(ISNUMBER(B2262),ISNUMBER(C2262)),C2262-B2262,"")</f>
        <v>0</v>
      </c>
      <c r="E2262" s="4" t="s">
        <v>531</v>
      </c>
    </row>
    <row r="2263" customFormat="false" ht="15" hidden="false" customHeight="false" outlineLevel="0" collapsed="false">
      <c r="A2263" s="4" t="s">
        <v>2780</v>
      </c>
      <c r="B2263" s="5" t="n">
        <v>0.348</v>
      </c>
      <c r="C2263" s="5" t="n">
        <v>0.348</v>
      </c>
      <c r="D2263" s="5" t="n">
        <f aca="false">IF(AND(ISNUMBER(B2263),ISNUMBER(C2263)),C2263-B2263,"")</f>
        <v>0</v>
      </c>
      <c r="E2263" s="4" t="s">
        <v>531</v>
      </c>
    </row>
    <row r="2264" customFormat="false" ht="15" hidden="false" customHeight="false" outlineLevel="0" collapsed="false">
      <c r="A2264" s="4" t="s">
        <v>2781</v>
      </c>
      <c r="B2264" s="5" t="n">
        <v>0.23</v>
      </c>
      <c r="C2264" s="5" t="n">
        <v>0.23</v>
      </c>
      <c r="D2264" s="5" t="n">
        <f aca="false">IF(AND(ISNUMBER(B2264),ISNUMBER(C2264)),C2264-B2264,"")</f>
        <v>0</v>
      </c>
      <c r="E2264" s="4" t="s">
        <v>531</v>
      </c>
    </row>
    <row r="2265" customFormat="false" ht="15" hidden="false" customHeight="false" outlineLevel="0" collapsed="false">
      <c r="A2265" s="4" t="s">
        <v>2782</v>
      </c>
      <c r="B2265" s="5" t="n">
        <v>0.229</v>
      </c>
      <c r="C2265" s="5" t="n">
        <v>0.229</v>
      </c>
      <c r="D2265" s="5" t="n">
        <f aca="false">IF(AND(ISNUMBER(B2265),ISNUMBER(C2265)),C2265-B2265,"")</f>
        <v>0</v>
      </c>
      <c r="E2265" s="4" t="s">
        <v>531</v>
      </c>
    </row>
    <row r="2266" customFormat="false" ht="15" hidden="false" customHeight="false" outlineLevel="0" collapsed="false">
      <c r="A2266" s="4" t="s">
        <v>2783</v>
      </c>
      <c r="B2266" s="5" t="n">
        <v>0.131</v>
      </c>
      <c r="C2266" s="5" t="n">
        <v>0.131</v>
      </c>
      <c r="D2266" s="5" t="n">
        <f aca="false">IF(AND(ISNUMBER(B2266),ISNUMBER(C2266)),C2266-B2266,"")</f>
        <v>0</v>
      </c>
      <c r="E2266" s="4" t="s">
        <v>531</v>
      </c>
    </row>
    <row r="2267" customFormat="false" ht="15" hidden="false" customHeight="false" outlineLevel="0" collapsed="false">
      <c r="A2267" s="4" t="s">
        <v>2784</v>
      </c>
      <c r="B2267" s="5" t="n">
        <v>0.8</v>
      </c>
      <c r="C2267" s="5" t="n">
        <v>0.822</v>
      </c>
      <c r="D2267" s="5" t="n">
        <f aca="false">IF(AND(ISNUMBER(B2267),ISNUMBER(C2267)),C2267-B2267,"")</f>
        <v>0.0219999999999999</v>
      </c>
      <c r="E2267" s="4" t="s">
        <v>2252</v>
      </c>
    </row>
    <row r="2268" customFormat="false" ht="15" hidden="false" customHeight="false" outlineLevel="0" collapsed="false">
      <c r="A2268" s="4" t="s">
        <v>2785</v>
      </c>
      <c r="B2268" s="5" t="s">
        <v>216</v>
      </c>
      <c r="C2268" s="5" t="s">
        <v>216</v>
      </c>
      <c r="D2268" s="5" t="str">
        <f aca="false">IF(AND(ISNUMBER(B2268),ISNUMBER(C2268)),C2268-B2268,"")</f>
        <v/>
      </c>
      <c r="E2268" s="4" t="s">
        <v>531</v>
      </c>
    </row>
    <row r="2269" customFormat="false" ht="15" hidden="false" customHeight="false" outlineLevel="0" collapsed="false">
      <c r="A2269" s="4" t="s">
        <v>2786</v>
      </c>
      <c r="B2269" s="5" t="n">
        <v>0.645</v>
      </c>
      <c r="C2269" s="5" t="n">
        <v>0.645</v>
      </c>
      <c r="D2269" s="5" t="n">
        <f aca="false">IF(AND(ISNUMBER(B2269),ISNUMBER(C2269)),C2269-B2269,"")</f>
        <v>0</v>
      </c>
      <c r="E2269" s="4" t="s">
        <v>531</v>
      </c>
    </row>
    <row r="2270" customFormat="false" ht="15" hidden="false" customHeight="false" outlineLevel="0" collapsed="false">
      <c r="A2270" s="4" t="s">
        <v>2787</v>
      </c>
      <c r="B2270" s="5" t="n">
        <v>-0.175</v>
      </c>
      <c r="C2270" s="5" t="n">
        <v>-0.175</v>
      </c>
      <c r="D2270" s="5" t="n">
        <f aca="false">IF(AND(ISNUMBER(B2270),ISNUMBER(C2270)),C2270-B2270,"")</f>
        <v>0</v>
      </c>
      <c r="E2270" s="4" t="s">
        <v>531</v>
      </c>
    </row>
    <row r="2271" customFormat="false" ht="15" hidden="false" customHeight="false" outlineLevel="0" collapsed="false">
      <c r="A2271" s="4" t="s">
        <v>2788</v>
      </c>
      <c r="B2271" s="5" t="n">
        <v>0.225</v>
      </c>
      <c r="C2271" s="5" t="n">
        <v>0.225</v>
      </c>
      <c r="D2271" s="5" t="n">
        <f aca="false">IF(AND(ISNUMBER(B2271),ISNUMBER(C2271)),C2271-B2271,"")</f>
        <v>0</v>
      </c>
      <c r="E2271" s="4" t="s">
        <v>531</v>
      </c>
    </row>
    <row r="2272" customFormat="false" ht="15" hidden="false" customHeight="false" outlineLevel="0" collapsed="false">
      <c r="A2272" s="4" t="s">
        <v>2789</v>
      </c>
      <c r="B2272" s="5" t="n">
        <v>0.226</v>
      </c>
      <c r="C2272" s="5" t="n">
        <v>0.226</v>
      </c>
      <c r="D2272" s="5" t="n">
        <f aca="false">IF(AND(ISNUMBER(B2272),ISNUMBER(C2272)),C2272-B2272,"")</f>
        <v>0</v>
      </c>
      <c r="E2272" s="4" t="s">
        <v>531</v>
      </c>
    </row>
    <row r="2273" customFormat="false" ht="15" hidden="false" customHeight="false" outlineLevel="0" collapsed="false">
      <c r="A2273" s="4" t="s">
        <v>2790</v>
      </c>
      <c r="B2273" s="5" t="n">
        <v>0.436</v>
      </c>
      <c r="C2273" s="5" t="n">
        <v>0.436</v>
      </c>
      <c r="D2273" s="5" t="n">
        <f aca="false">IF(AND(ISNUMBER(B2273),ISNUMBER(C2273)),C2273-B2273,"")</f>
        <v>0</v>
      </c>
      <c r="E2273" s="4" t="s">
        <v>531</v>
      </c>
    </row>
    <row r="2274" customFormat="false" ht="15" hidden="false" customHeight="false" outlineLevel="0" collapsed="false">
      <c r="A2274" s="4" t="s">
        <v>2791</v>
      </c>
      <c r="B2274" s="5" t="n">
        <v>0.995</v>
      </c>
      <c r="C2274" s="5" t="n">
        <v>0.999</v>
      </c>
      <c r="D2274" s="5" t="n">
        <f aca="false">IF(AND(ISNUMBER(B2274),ISNUMBER(C2274)),C2274-B2274,"")</f>
        <v>0.004</v>
      </c>
      <c r="E2274" s="4" t="s">
        <v>2252</v>
      </c>
    </row>
    <row r="2275" customFormat="false" ht="15" hidden="false" customHeight="false" outlineLevel="0" collapsed="false">
      <c r="A2275" s="4" t="s">
        <v>2792</v>
      </c>
      <c r="B2275" s="5" t="s">
        <v>216</v>
      </c>
      <c r="C2275" s="5" t="s">
        <v>216</v>
      </c>
      <c r="D2275" s="5" t="str">
        <f aca="false">IF(AND(ISNUMBER(B2275),ISNUMBER(C2275)),C2275-B2275,"")</f>
        <v/>
      </c>
      <c r="E2275" s="4" t="s">
        <v>531</v>
      </c>
    </row>
    <row r="2276" customFormat="false" ht="15" hidden="false" customHeight="false" outlineLevel="0" collapsed="false">
      <c r="A2276" s="4" t="s">
        <v>2793</v>
      </c>
      <c r="B2276" s="5" t="n">
        <v>0.629</v>
      </c>
      <c r="C2276" s="5" t="n">
        <v>0.629</v>
      </c>
      <c r="D2276" s="5" t="n">
        <f aca="false">IF(AND(ISNUMBER(B2276),ISNUMBER(C2276)),C2276-B2276,"")</f>
        <v>0</v>
      </c>
      <c r="E2276" s="4" t="s">
        <v>531</v>
      </c>
    </row>
    <row r="2277" customFormat="false" ht="15" hidden="false" customHeight="false" outlineLevel="0" collapsed="false">
      <c r="A2277" s="4" t="s">
        <v>2794</v>
      </c>
      <c r="B2277" s="5" t="n">
        <v>0.171</v>
      </c>
      <c r="C2277" s="5" t="n">
        <v>0.171</v>
      </c>
      <c r="D2277" s="5" t="n">
        <f aca="false">IF(AND(ISNUMBER(B2277),ISNUMBER(C2277)),C2277-B2277,"")</f>
        <v>0</v>
      </c>
      <c r="E2277" s="4" t="s">
        <v>531</v>
      </c>
    </row>
    <row r="2278" customFormat="false" ht="15" hidden="false" customHeight="false" outlineLevel="0" collapsed="false">
      <c r="A2278" s="4" t="s">
        <v>2795</v>
      </c>
      <c r="B2278" s="5" t="n">
        <v>0.086</v>
      </c>
      <c r="C2278" s="5" t="n">
        <v>0.086</v>
      </c>
      <c r="D2278" s="5" t="n">
        <f aca="false">IF(AND(ISNUMBER(B2278),ISNUMBER(C2278)),C2278-B2278,"")</f>
        <v>0</v>
      </c>
      <c r="E2278" s="4" t="s">
        <v>531</v>
      </c>
    </row>
    <row r="2279" customFormat="false" ht="15" hidden="false" customHeight="false" outlineLevel="0" collapsed="false">
      <c r="A2279" s="4" t="s">
        <v>2796</v>
      </c>
      <c r="B2279" s="5" t="n">
        <v>0.087</v>
      </c>
      <c r="C2279" s="5" t="n">
        <v>0.087</v>
      </c>
      <c r="D2279" s="5" t="n">
        <f aca="false">IF(AND(ISNUMBER(B2279),ISNUMBER(C2279)),C2279-B2279,"")</f>
        <v>0</v>
      </c>
      <c r="E2279" s="4" t="s">
        <v>531</v>
      </c>
    </row>
    <row r="2280" customFormat="false" ht="15" hidden="false" customHeight="false" outlineLevel="0" collapsed="false">
      <c r="A2280" s="4" t="s">
        <v>2797</v>
      </c>
      <c r="B2280" s="5" t="n">
        <v>0.047</v>
      </c>
      <c r="C2280" s="5" t="n">
        <v>0.047</v>
      </c>
      <c r="D2280" s="5" t="n">
        <f aca="false">IF(AND(ISNUMBER(B2280),ISNUMBER(C2280)),C2280-B2280,"")</f>
        <v>0</v>
      </c>
      <c r="E2280" s="4" t="s">
        <v>531</v>
      </c>
    </row>
    <row r="2281" customFormat="false" ht="15" hidden="false" customHeight="false" outlineLevel="0" collapsed="false">
      <c r="A2281" s="4" t="s">
        <v>2798</v>
      </c>
      <c r="B2281" s="5" t="n">
        <v>0.496</v>
      </c>
      <c r="C2281" s="5" t="n">
        <v>0.481</v>
      </c>
      <c r="D2281" s="5" t="n">
        <f aca="false">IF(AND(ISNUMBER(B2281),ISNUMBER(C2281)),C2281-B2281,"")</f>
        <v>-0.015</v>
      </c>
      <c r="E2281" s="4" t="s">
        <v>2252</v>
      </c>
    </row>
    <row r="2282" customFormat="false" ht="15" hidden="false" customHeight="false" outlineLevel="0" collapsed="false">
      <c r="A2282" s="4" t="s">
        <v>2799</v>
      </c>
      <c r="B2282" s="5" t="n">
        <v>205</v>
      </c>
      <c r="C2282" s="5" t="n">
        <v>205</v>
      </c>
      <c r="D2282" s="5" t="n">
        <f aca="false">IF(AND(ISNUMBER(B2282),ISNUMBER(C2282)),C2282-B2282,"")</f>
        <v>0</v>
      </c>
      <c r="E2282" s="4" t="s">
        <v>531</v>
      </c>
    </row>
    <row r="2283" customFormat="false" ht="15" hidden="false" customHeight="false" outlineLevel="0" collapsed="false">
      <c r="A2283" s="4" t="s">
        <v>2800</v>
      </c>
      <c r="B2283" s="5" t="n">
        <v>0.153</v>
      </c>
      <c r="C2283" s="5" t="n">
        <v>0.153</v>
      </c>
      <c r="D2283" s="5" t="n">
        <f aca="false">IF(AND(ISNUMBER(B2283),ISNUMBER(C2283)),C2283-B2283,"")</f>
        <v>0</v>
      </c>
      <c r="E2283" s="4" t="s">
        <v>531</v>
      </c>
    </row>
    <row r="2284" customFormat="false" ht="15" hidden="false" customHeight="false" outlineLevel="0" collapsed="false">
      <c r="A2284" s="4" t="s">
        <v>2801</v>
      </c>
      <c r="B2284" s="5" t="n">
        <v>0.096</v>
      </c>
      <c r="C2284" s="5" t="n">
        <v>0.096</v>
      </c>
      <c r="D2284" s="5" t="n">
        <f aca="false">IF(AND(ISNUMBER(B2284),ISNUMBER(C2284)),C2284-B2284,"")</f>
        <v>0</v>
      </c>
      <c r="E2284" s="4" t="s">
        <v>531</v>
      </c>
    </row>
    <row r="2285" customFormat="false" ht="15" hidden="false" customHeight="false" outlineLevel="0" collapsed="false">
      <c r="A2285" s="4" t="s">
        <v>2802</v>
      </c>
      <c r="B2285" s="5" t="n">
        <v>0.099</v>
      </c>
      <c r="C2285" s="5" t="n">
        <v>0.099</v>
      </c>
      <c r="D2285" s="5" t="n">
        <f aca="false">IF(AND(ISNUMBER(B2285),ISNUMBER(C2285)),C2285-B2285,"")</f>
        <v>0</v>
      </c>
      <c r="E2285" s="4" t="s">
        <v>531</v>
      </c>
    </row>
    <row r="2286" customFormat="false" ht="15" hidden="false" customHeight="false" outlineLevel="0" collapsed="false">
      <c r="A2286" s="4" t="s">
        <v>2803</v>
      </c>
      <c r="B2286" s="5" t="n">
        <v>0.111</v>
      </c>
      <c r="C2286" s="5" t="n">
        <v>0.111</v>
      </c>
      <c r="D2286" s="5" t="n">
        <f aca="false">IF(AND(ISNUMBER(B2286),ISNUMBER(C2286)),C2286-B2286,"")</f>
        <v>0</v>
      </c>
      <c r="E2286" s="4" t="s">
        <v>531</v>
      </c>
    </row>
    <row r="2287" customFormat="false" ht="15" hidden="false" customHeight="false" outlineLevel="0" collapsed="false">
      <c r="A2287" s="4" t="s">
        <v>2804</v>
      </c>
      <c r="B2287" s="5" t="n">
        <v>0.73</v>
      </c>
      <c r="C2287" s="5" t="n">
        <v>0.719</v>
      </c>
      <c r="D2287" s="5" t="n">
        <f aca="false">IF(AND(ISNUMBER(B2287),ISNUMBER(C2287)),C2287-B2287,"")</f>
        <v>-0.011</v>
      </c>
      <c r="E2287" s="4" t="s">
        <v>2252</v>
      </c>
    </row>
    <row r="2288" customFormat="false" ht="15" hidden="false" customHeight="false" outlineLevel="0" collapsed="false">
      <c r="A2288" s="4" t="s">
        <v>2805</v>
      </c>
      <c r="B2288" s="5" t="n">
        <v>187</v>
      </c>
      <c r="C2288" s="5" t="n">
        <v>187</v>
      </c>
      <c r="D2288" s="5" t="n">
        <f aca="false">IF(AND(ISNUMBER(B2288),ISNUMBER(C2288)),C2288-B2288,"")</f>
        <v>0</v>
      </c>
      <c r="E2288" s="4" t="s">
        <v>531</v>
      </c>
    </row>
    <row r="2289" customFormat="false" ht="15" hidden="false" customHeight="false" outlineLevel="0" collapsed="false">
      <c r="A2289" s="4" t="s">
        <v>2806</v>
      </c>
      <c r="B2289" s="5" t="n">
        <v>0.13</v>
      </c>
      <c r="C2289" s="5" t="n">
        <v>0.13</v>
      </c>
      <c r="D2289" s="5" t="n">
        <f aca="false">IF(AND(ISNUMBER(B2289),ISNUMBER(C2289)),C2289-B2289,"")</f>
        <v>0</v>
      </c>
      <c r="E2289" s="4" t="s">
        <v>531</v>
      </c>
    </row>
    <row r="2290" customFormat="false" ht="15" hidden="false" customHeight="false" outlineLevel="0" collapsed="false">
      <c r="A2290" s="4" t="s">
        <v>2807</v>
      </c>
      <c r="B2290" s="5" t="n">
        <v>0.075</v>
      </c>
      <c r="C2290" s="5" t="n">
        <v>0.075</v>
      </c>
      <c r="D2290" s="5" t="n">
        <f aca="false">IF(AND(ISNUMBER(B2290),ISNUMBER(C2290)),C2290-B2290,"")</f>
        <v>0</v>
      </c>
      <c r="E2290" s="4" t="s">
        <v>531</v>
      </c>
    </row>
    <row r="2291" customFormat="false" ht="15" hidden="false" customHeight="false" outlineLevel="0" collapsed="false">
      <c r="A2291" s="4" t="s">
        <v>2808</v>
      </c>
      <c r="B2291" s="5" t="n">
        <v>0.074</v>
      </c>
      <c r="C2291" s="5" t="n">
        <v>0.074</v>
      </c>
      <c r="D2291" s="5" t="n">
        <f aca="false">IF(AND(ISNUMBER(B2291),ISNUMBER(C2291)),C2291-B2291,"")</f>
        <v>0</v>
      </c>
      <c r="E2291" s="4" t="s">
        <v>531</v>
      </c>
    </row>
    <row r="2292" customFormat="false" ht="15" hidden="false" customHeight="false" outlineLevel="0" collapsed="false">
      <c r="A2292" s="4" t="s">
        <v>2809</v>
      </c>
      <c r="B2292" s="5" t="n">
        <v>0.082</v>
      </c>
      <c r="C2292" s="5" t="n">
        <v>0.082</v>
      </c>
      <c r="D2292" s="5" t="n">
        <f aca="false">IF(AND(ISNUMBER(B2292),ISNUMBER(C2292)),C2292-B2292,"")</f>
        <v>0</v>
      </c>
      <c r="E2292" s="4" t="s">
        <v>531</v>
      </c>
    </row>
    <row r="2293" customFormat="false" ht="15" hidden="false" customHeight="false" outlineLevel="0" collapsed="false">
      <c r="A2293" s="4" t="s">
        <v>2810</v>
      </c>
      <c r="B2293" s="5" t="n">
        <v>0.64</v>
      </c>
      <c r="C2293" s="5" t="n">
        <v>0.631</v>
      </c>
      <c r="D2293" s="5" t="n">
        <f aca="false">IF(AND(ISNUMBER(B2293),ISNUMBER(C2293)),C2293-B2293,"")</f>
        <v>-0.00900000000000001</v>
      </c>
      <c r="E2293" s="4" t="s">
        <v>2252</v>
      </c>
    </row>
    <row r="2294" customFormat="false" ht="15" hidden="false" customHeight="false" outlineLevel="0" collapsed="false">
      <c r="A2294" s="4" t="s">
        <v>2811</v>
      </c>
      <c r="B2294" s="5" t="n">
        <v>211</v>
      </c>
      <c r="C2294" s="5" t="n">
        <v>211</v>
      </c>
      <c r="D2294" s="5" t="n">
        <f aca="false">IF(AND(ISNUMBER(B2294),ISNUMBER(C2294)),C2294-B2294,"")</f>
        <v>0</v>
      </c>
      <c r="E2294" s="4" t="s">
        <v>531</v>
      </c>
    </row>
    <row r="2295" customFormat="false" ht="15" hidden="false" customHeight="false" outlineLevel="0" collapsed="false">
      <c r="A2295" s="4" t="s">
        <v>2812</v>
      </c>
      <c r="B2295" s="5" t="n">
        <v>0.24</v>
      </c>
      <c r="C2295" s="5" t="n">
        <v>0.24</v>
      </c>
      <c r="D2295" s="5" t="n">
        <f aca="false">IF(AND(ISNUMBER(B2295),ISNUMBER(C2295)),C2295-B2295,"")</f>
        <v>0</v>
      </c>
      <c r="E2295" s="4" t="s">
        <v>531</v>
      </c>
    </row>
    <row r="2296" customFormat="false" ht="15" hidden="false" customHeight="false" outlineLevel="0" collapsed="false">
      <c r="A2296" s="4" t="s">
        <v>2813</v>
      </c>
      <c r="B2296" s="5" t="n">
        <v>0.15</v>
      </c>
      <c r="C2296" s="5" t="n">
        <v>0.15</v>
      </c>
      <c r="D2296" s="5" t="n">
        <f aca="false">IF(AND(ISNUMBER(B2296),ISNUMBER(C2296)),C2296-B2296,"")</f>
        <v>0</v>
      </c>
      <c r="E2296" s="4" t="s">
        <v>531</v>
      </c>
    </row>
    <row r="2297" customFormat="false" ht="15" hidden="false" customHeight="false" outlineLevel="0" collapsed="false">
      <c r="A2297" s="4" t="s">
        <v>2814</v>
      </c>
      <c r="B2297" s="5" t="n">
        <v>0.147</v>
      </c>
      <c r="C2297" s="5" t="n">
        <v>0.147</v>
      </c>
      <c r="D2297" s="5" t="n">
        <f aca="false">IF(AND(ISNUMBER(B2297),ISNUMBER(C2297)),C2297-B2297,"")</f>
        <v>0</v>
      </c>
      <c r="E2297" s="4" t="s">
        <v>531</v>
      </c>
    </row>
    <row r="2298" customFormat="false" ht="15" hidden="false" customHeight="false" outlineLevel="0" collapsed="false">
      <c r="A2298" s="4" t="s">
        <v>2815</v>
      </c>
      <c r="B2298" s="5" t="n">
        <v>0.11</v>
      </c>
      <c r="C2298" s="5" t="n">
        <v>0.11</v>
      </c>
      <c r="D2298" s="5" t="n">
        <f aca="false">IF(AND(ISNUMBER(B2298),ISNUMBER(C2298)),C2298-B2298,"")</f>
        <v>0</v>
      </c>
      <c r="E2298" s="4" t="s">
        <v>531</v>
      </c>
    </row>
    <row r="2299" customFormat="false" ht="15" hidden="false" customHeight="false" outlineLevel="0" collapsed="false">
      <c r="A2299" s="4" t="s">
        <v>2816</v>
      </c>
      <c r="B2299" s="5" t="n">
        <v>0.688</v>
      </c>
      <c r="C2299" s="5" t="n">
        <v>0.699</v>
      </c>
      <c r="D2299" s="5" t="n">
        <f aca="false">IF(AND(ISNUMBER(B2299),ISNUMBER(C2299)),C2299-B2299,"")</f>
        <v>0.011</v>
      </c>
      <c r="E2299" s="4" t="s">
        <v>2252</v>
      </c>
    </row>
    <row r="2300" customFormat="false" ht="15" hidden="false" customHeight="false" outlineLevel="0" collapsed="false">
      <c r="A2300" s="4" t="s">
        <v>2817</v>
      </c>
      <c r="B2300" s="5" t="n">
        <v>193</v>
      </c>
      <c r="C2300" s="5" t="n">
        <v>193</v>
      </c>
      <c r="D2300" s="5" t="n">
        <f aca="false">IF(AND(ISNUMBER(B2300),ISNUMBER(C2300)),C2300-B2300,"")</f>
        <v>0</v>
      </c>
      <c r="E2300" s="4" t="s">
        <v>531</v>
      </c>
    </row>
    <row r="2301" customFormat="false" ht="15" hidden="false" customHeight="false" outlineLevel="0" collapsed="false">
      <c r="A2301" s="4" t="s">
        <v>2818</v>
      </c>
      <c r="B2301" s="5" t="n">
        <v>0.061</v>
      </c>
      <c r="C2301" s="5" t="n">
        <v>0.061</v>
      </c>
      <c r="D2301" s="5" t="n">
        <f aca="false">IF(AND(ISNUMBER(B2301),ISNUMBER(C2301)),C2301-B2301,"")</f>
        <v>0</v>
      </c>
      <c r="E2301" s="4" t="s">
        <v>531</v>
      </c>
    </row>
    <row r="2302" customFormat="false" ht="15" hidden="false" customHeight="false" outlineLevel="0" collapsed="false">
      <c r="A2302" s="4" t="s">
        <v>2819</v>
      </c>
      <c r="B2302" s="5" t="n">
        <v>0.052</v>
      </c>
      <c r="C2302" s="5" t="n">
        <v>0.052</v>
      </c>
      <c r="D2302" s="5" t="n">
        <f aca="false">IF(AND(ISNUMBER(B2302),ISNUMBER(C2302)),C2302-B2302,"")</f>
        <v>0</v>
      </c>
      <c r="E2302" s="4" t="s">
        <v>531</v>
      </c>
    </row>
    <row r="2303" customFormat="false" ht="15" hidden="false" customHeight="false" outlineLevel="0" collapsed="false">
      <c r="A2303" s="4" t="s">
        <v>2820</v>
      </c>
      <c r="B2303" s="5" t="n">
        <v>0.052</v>
      </c>
      <c r="C2303" s="5" t="n">
        <v>0.052</v>
      </c>
      <c r="D2303" s="5" t="n">
        <f aca="false">IF(AND(ISNUMBER(B2303),ISNUMBER(C2303)),C2303-B2303,"")</f>
        <v>0</v>
      </c>
      <c r="E2303" s="4" t="s">
        <v>531</v>
      </c>
    </row>
    <row r="2304" customFormat="false" ht="15" hidden="false" customHeight="false" outlineLevel="0" collapsed="false">
      <c r="A2304" s="4" t="s">
        <v>2821</v>
      </c>
      <c r="B2304" s="5" t="n">
        <v>0.246</v>
      </c>
      <c r="C2304" s="5" t="n">
        <v>0.246</v>
      </c>
      <c r="D2304" s="5" t="n">
        <f aca="false">IF(AND(ISNUMBER(B2304),ISNUMBER(C2304)),C2304-B2304,"")</f>
        <v>0</v>
      </c>
      <c r="E2304" s="4" t="s">
        <v>531</v>
      </c>
    </row>
    <row r="2305" customFormat="false" ht="15" hidden="false" customHeight="false" outlineLevel="0" collapsed="false">
      <c r="A2305" s="4" t="s">
        <v>2822</v>
      </c>
      <c r="B2305" s="5" t="n">
        <v>0.899</v>
      </c>
      <c r="C2305" s="5" t="n">
        <v>0.899</v>
      </c>
      <c r="D2305" s="5" t="n">
        <f aca="false">IF(AND(ISNUMBER(B2305),ISNUMBER(C2305)),C2305-B2305,"")</f>
        <v>0</v>
      </c>
      <c r="E2305" s="4" t="s">
        <v>531</v>
      </c>
    </row>
    <row r="2306" customFormat="false" ht="15" hidden="false" customHeight="false" outlineLevel="0" collapsed="false">
      <c r="A2306" s="4" t="s">
        <v>2823</v>
      </c>
      <c r="B2306" s="5" t="n">
        <v>211</v>
      </c>
      <c r="C2306" s="5" t="n">
        <v>211</v>
      </c>
      <c r="D2306" s="5" t="n">
        <f aca="false">IF(AND(ISNUMBER(B2306),ISNUMBER(C2306)),C2306-B2306,"")</f>
        <v>0</v>
      </c>
      <c r="E2306" s="4" t="s">
        <v>531</v>
      </c>
    </row>
    <row r="2307" customFormat="false" ht="15" hidden="false" customHeight="false" outlineLevel="0" collapsed="false">
      <c r="A2307" s="4" t="s">
        <v>2824</v>
      </c>
      <c r="B2307" s="5" t="n">
        <v>-0.311</v>
      </c>
      <c r="C2307" s="5" t="n">
        <v>-0.311</v>
      </c>
      <c r="D2307" s="5" t="n">
        <f aca="false">IF(AND(ISNUMBER(B2307),ISNUMBER(C2307)),C2307-B2307,"")</f>
        <v>0</v>
      </c>
      <c r="E2307" s="4" t="s">
        <v>531</v>
      </c>
    </row>
    <row r="2308" customFormat="false" ht="15" hidden="false" customHeight="false" outlineLevel="0" collapsed="false">
      <c r="A2308" s="4" t="s">
        <v>2825</v>
      </c>
      <c r="B2308" s="5" t="n">
        <v>0.528</v>
      </c>
      <c r="C2308" s="5" t="n">
        <v>0.528</v>
      </c>
      <c r="D2308" s="5" t="n">
        <f aca="false">IF(AND(ISNUMBER(B2308),ISNUMBER(C2308)),C2308-B2308,"")</f>
        <v>0</v>
      </c>
      <c r="E2308" s="4" t="s">
        <v>531</v>
      </c>
    </row>
    <row r="2309" customFormat="false" ht="15" hidden="false" customHeight="false" outlineLevel="0" collapsed="false">
      <c r="A2309" s="4" t="s">
        <v>2826</v>
      </c>
      <c r="B2309" s="5" t="n">
        <v>0.526</v>
      </c>
      <c r="C2309" s="5" t="n">
        <v>0.526</v>
      </c>
      <c r="D2309" s="5" t="n">
        <f aca="false">IF(AND(ISNUMBER(B2309),ISNUMBER(C2309)),C2309-B2309,"")</f>
        <v>0</v>
      </c>
      <c r="E2309" s="4" t="s">
        <v>531</v>
      </c>
    </row>
    <row r="2310" customFormat="false" ht="15" hidden="false" customHeight="false" outlineLevel="0" collapsed="false">
      <c r="A2310" s="4" t="s">
        <v>2827</v>
      </c>
      <c r="B2310" s="5" t="n">
        <v>0.556</v>
      </c>
      <c r="C2310" s="5" t="n">
        <v>0.556</v>
      </c>
      <c r="D2310" s="5" t="n">
        <f aca="false">IF(AND(ISNUMBER(B2310),ISNUMBER(C2310)),C2310-B2310,"")</f>
        <v>0</v>
      </c>
      <c r="E2310" s="4" t="s">
        <v>531</v>
      </c>
    </row>
    <row r="2311" customFormat="false" ht="15" hidden="false" customHeight="false" outlineLevel="0" collapsed="false">
      <c r="A2311" s="4" t="s">
        <v>2828</v>
      </c>
      <c r="B2311" s="5" t="n">
        <v>0.997</v>
      </c>
      <c r="C2311" s="5" t="n">
        <v>0.994</v>
      </c>
      <c r="D2311" s="5" t="n">
        <f aca="false">IF(AND(ISNUMBER(B2311),ISNUMBER(C2311)),C2311-B2311,"")</f>
        <v>-0.003</v>
      </c>
      <c r="E2311" s="4" t="s">
        <v>2252</v>
      </c>
    </row>
    <row r="2312" customFormat="false" ht="15" hidden="false" customHeight="false" outlineLevel="0" collapsed="false">
      <c r="A2312" s="4" t="s">
        <v>2829</v>
      </c>
      <c r="B2312" s="5" t="n">
        <v>210</v>
      </c>
      <c r="C2312" s="5" t="n">
        <v>210</v>
      </c>
      <c r="D2312" s="5" t="n">
        <f aca="false">IF(AND(ISNUMBER(B2312),ISNUMBER(C2312)),C2312-B2312,"")</f>
        <v>0</v>
      </c>
      <c r="E2312" s="4" t="s">
        <v>531</v>
      </c>
    </row>
    <row r="2313" customFormat="false" ht="15" hidden="false" customHeight="false" outlineLevel="0" collapsed="false">
      <c r="A2313" s="4" t="s">
        <v>2830</v>
      </c>
      <c r="B2313" s="5" t="n">
        <v>0.007</v>
      </c>
      <c r="C2313" s="5" t="n">
        <v>0.007</v>
      </c>
      <c r="D2313" s="5" t="n">
        <f aca="false">IF(AND(ISNUMBER(B2313),ISNUMBER(C2313)),C2313-B2313,"")</f>
        <v>0</v>
      </c>
      <c r="E2313" s="4" t="s">
        <v>531</v>
      </c>
    </row>
    <row r="2314" customFormat="false" ht="15" hidden="false" customHeight="false" outlineLevel="0" collapsed="false">
      <c r="A2314" s="4" t="s">
        <v>2831</v>
      </c>
      <c r="B2314" s="5" t="n">
        <v>0.08</v>
      </c>
      <c r="C2314" s="5" t="n">
        <v>0.08</v>
      </c>
      <c r="D2314" s="5" t="n">
        <f aca="false">IF(AND(ISNUMBER(B2314),ISNUMBER(C2314)),C2314-B2314,"")</f>
        <v>0</v>
      </c>
      <c r="E2314" s="4" t="s">
        <v>531</v>
      </c>
    </row>
    <row r="2315" customFormat="false" ht="15" hidden="false" customHeight="false" outlineLevel="0" collapsed="false">
      <c r="A2315" s="4" t="s">
        <v>2832</v>
      </c>
      <c r="B2315" s="5" t="n">
        <v>0.079</v>
      </c>
      <c r="C2315" s="5" t="n">
        <v>0.079</v>
      </c>
      <c r="D2315" s="5" t="n">
        <f aca="false">IF(AND(ISNUMBER(B2315),ISNUMBER(C2315)),C2315-B2315,"")</f>
        <v>0</v>
      </c>
      <c r="E2315" s="4" t="s">
        <v>531</v>
      </c>
    </row>
    <row r="2316" customFormat="false" ht="15" hidden="false" customHeight="false" outlineLevel="0" collapsed="false">
      <c r="A2316" s="4" t="s">
        <v>2833</v>
      </c>
      <c r="B2316" s="5" t="n">
        <v>0.93</v>
      </c>
      <c r="C2316" s="5" t="n">
        <v>0.93</v>
      </c>
      <c r="D2316" s="5" t="n">
        <f aca="false">IF(AND(ISNUMBER(B2316),ISNUMBER(C2316)),C2316-B2316,"")</f>
        <v>0</v>
      </c>
      <c r="E2316" s="4" t="s">
        <v>531</v>
      </c>
    </row>
    <row r="2317" customFormat="false" ht="15" hidden="false" customHeight="false" outlineLevel="0" collapsed="false">
      <c r="A2317" s="4" t="s">
        <v>2834</v>
      </c>
      <c r="B2317" s="5" t="n">
        <v>1</v>
      </c>
      <c r="C2317" s="5" t="n">
        <v>1</v>
      </c>
      <c r="D2317" s="5" t="n">
        <f aca="false">IF(AND(ISNUMBER(B2317),ISNUMBER(C2317)),C2317-B2317,"")</f>
        <v>0</v>
      </c>
      <c r="E2317" s="4" t="s">
        <v>531</v>
      </c>
    </row>
    <row r="2318" customFormat="false" ht="15" hidden="false" customHeight="false" outlineLevel="0" collapsed="false">
      <c r="A2318" s="4" t="s">
        <v>2835</v>
      </c>
      <c r="B2318" s="5" t="n">
        <v>210</v>
      </c>
      <c r="C2318" s="5" t="n">
        <v>210</v>
      </c>
      <c r="D2318" s="5" t="n">
        <f aca="false">IF(AND(ISNUMBER(B2318),ISNUMBER(C2318)),C2318-B2318,"")</f>
        <v>0</v>
      </c>
      <c r="E2318" s="4" t="s">
        <v>531</v>
      </c>
    </row>
    <row r="2319" customFormat="false" ht="15" hidden="false" customHeight="false" outlineLevel="0" collapsed="false">
      <c r="A2319" s="4" t="s">
        <v>2836</v>
      </c>
      <c r="B2319" s="5" t="n">
        <v>0.039</v>
      </c>
      <c r="C2319" s="5" t="n">
        <v>0.039</v>
      </c>
      <c r="D2319" s="5" t="n">
        <f aca="false">IF(AND(ISNUMBER(B2319),ISNUMBER(C2319)),C2319-B2319,"")</f>
        <v>0</v>
      </c>
      <c r="E2319" s="4" t="s">
        <v>531</v>
      </c>
    </row>
    <row r="2320" customFormat="false" ht="15" hidden="false" customHeight="false" outlineLevel="0" collapsed="false">
      <c r="A2320" s="4" t="s">
        <v>2837</v>
      </c>
      <c r="B2320" s="5" t="n">
        <v>0.073</v>
      </c>
      <c r="C2320" s="5" t="n">
        <v>0.073</v>
      </c>
      <c r="D2320" s="5" t="n">
        <f aca="false">IF(AND(ISNUMBER(B2320),ISNUMBER(C2320)),C2320-B2320,"")</f>
        <v>0</v>
      </c>
      <c r="E2320" s="4" t="s">
        <v>531</v>
      </c>
    </row>
    <row r="2321" customFormat="false" ht="15" hidden="false" customHeight="false" outlineLevel="0" collapsed="false">
      <c r="A2321" s="4" t="s">
        <v>2838</v>
      </c>
      <c r="B2321" s="5" t="n">
        <v>0.073</v>
      </c>
      <c r="C2321" s="5" t="n">
        <v>0.073</v>
      </c>
      <c r="D2321" s="5" t="n">
        <f aca="false">IF(AND(ISNUMBER(B2321),ISNUMBER(C2321)),C2321-B2321,"")</f>
        <v>0</v>
      </c>
      <c r="E2321" s="4" t="s">
        <v>531</v>
      </c>
    </row>
    <row r="2322" customFormat="false" ht="15" hidden="false" customHeight="false" outlineLevel="0" collapsed="false">
      <c r="A2322" s="4" t="s">
        <v>2839</v>
      </c>
      <c r="B2322" s="5" t="n">
        <v>0.595</v>
      </c>
      <c r="C2322" s="5" t="n">
        <v>0.595</v>
      </c>
      <c r="D2322" s="5" t="n">
        <f aca="false">IF(AND(ISNUMBER(B2322),ISNUMBER(C2322)),C2322-B2322,"")</f>
        <v>0</v>
      </c>
      <c r="E2322" s="4" t="s">
        <v>531</v>
      </c>
    </row>
    <row r="2323" customFormat="false" ht="15" hidden="false" customHeight="false" outlineLevel="0" collapsed="false">
      <c r="A2323" s="4" t="s">
        <v>2840</v>
      </c>
      <c r="B2323" s="5" t="n">
        <v>0.997</v>
      </c>
      <c r="C2323" s="5" t="n">
        <v>0.996</v>
      </c>
      <c r="D2323" s="5" t="n">
        <f aca="false">IF(AND(ISNUMBER(B2323),ISNUMBER(C2323)),C2323-B2323,"")</f>
        <v>-0.001</v>
      </c>
      <c r="E2323" s="4" t="s">
        <v>2252</v>
      </c>
    </row>
    <row r="2324" customFormat="false" ht="15" hidden="false" customHeight="false" outlineLevel="0" collapsed="false">
      <c r="A2324" s="4" t="s">
        <v>2841</v>
      </c>
      <c r="B2324" s="5" t="n">
        <v>210</v>
      </c>
      <c r="C2324" s="5" t="n">
        <v>210</v>
      </c>
      <c r="D2324" s="5" t="n">
        <f aca="false">IF(AND(ISNUMBER(B2324),ISNUMBER(C2324)),C2324-B2324,"")</f>
        <v>0</v>
      </c>
      <c r="E2324" s="4" t="s">
        <v>531</v>
      </c>
    </row>
    <row r="2325" customFormat="false" ht="15" hidden="false" customHeight="false" outlineLevel="0" collapsed="false">
      <c r="A2325" s="4" t="s">
        <v>2842</v>
      </c>
      <c r="B2325" s="5" t="n">
        <v>-0.026</v>
      </c>
      <c r="C2325" s="5" t="n">
        <v>-0.026</v>
      </c>
      <c r="D2325" s="5" t="n">
        <f aca="false">IF(AND(ISNUMBER(B2325),ISNUMBER(C2325)),C2325-B2325,"")</f>
        <v>0</v>
      </c>
      <c r="E2325" s="4" t="s">
        <v>531</v>
      </c>
    </row>
    <row r="2326" customFormat="false" ht="15" hidden="false" customHeight="false" outlineLevel="0" collapsed="false">
      <c r="A2326" s="4" t="s">
        <v>2843</v>
      </c>
      <c r="B2326" s="5" t="n">
        <v>0.075</v>
      </c>
      <c r="C2326" s="5" t="n">
        <v>0.075</v>
      </c>
      <c r="D2326" s="5" t="n">
        <f aca="false">IF(AND(ISNUMBER(B2326),ISNUMBER(C2326)),C2326-B2326,"")</f>
        <v>0</v>
      </c>
      <c r="E2326" s="4" t="s">
        <v>531</v>
      </c>
    </row>
    <row r="2327" customFormat="false" ht="15" hidden="false" customHeight="false" outlineLevel="0" collapsed="false">
      <c r="A2327" s="4" t="s">
        <v>2844</v>
      </c>
      <c r="B2327" s="5" t="n">
        <v>0.074</v>
      </c>
      <c r="C2327" s="5" t="n">
        <v>0.074</v>
      </c>
      <c r="D2327" s="5" t="n">
        <f aca="false">IF(AND(ISNUMBER(B2327),ISNUMBER(C2327)),C2327-B2327,"")</f>
        <v>0</v>
      </c>
      <c r="E2327" s="4" t="s">
        <v>531</v>
      </c>
    </row>
    <row r="2328" customFormat="false" ht="15" hidden="false" customHeight="false" outlineLevel="0" collapsed="false">
      <c r="A2328" s="4" t="s">
        <v>2845</v>
      </c>
      <c r="B2328" s="5" t="n">
        <v>0.734</v>
      </c>
      <c r="C2328" s="5" t="n">
        <v>0.734</v>
      </c>
      <c r="D2328" s="5" t="n">
        <f aca="false">IF(AND(ISNUMBER(B2328),ISNUMBER(C2328)),C2328-B2328,"")</f>
        <v>0</v>
      </c>
      <c r="E2328" s="4" t="s">
        <v>531</v>
      </c>
    </row>
    <row r="2329" customFormat="false" ht="15" hidden="false" customHeight="false" outlineLevel="0" collapsed="false">
      <c r="A2329" s="4" t="s">
        <v>2846</v>
      </c>
      <c r="B2329" s="5" t="n">
        <v>1</v>
      </c>
      <c r="C2329" s="5" t="n">
        <v>1</v>
      </c>
      <c r="D2329" s="5" t="n">
        <f aca="false">IF(AND(ISNUMBER(B2329),ISNUMBER(C2329)),C2329-B2329,"")</f>
        <v>0</v>
      </c>
      <c r="E2329" s="4" t="s">
        <v>531</v>
      </c>
    </row>
    <row r="2330" customFormat="false" ht="15" hidden="false" customHeight="false" outlineLevel="0" collapsed="false">
      <c r="A2330" s="4" t="s">
        <v>2847</v>
      </c>
      <c r="B2330" s="5" t="n">
        <v>210</v>
      </c>
      <c r="C2330" s="5" t="n">
        <v>210</v>
      </c>
      <c r="D2330" s="5" t="n">
        <f aca="false">IF(AND(ISNUMBER(B2330),ISNUMBER(C2330)),C2330-B2330,"")</f>
        <v>0</v>
      </c>
      <c r="E2330" s="4" t="s">
        <v>531</v>
      </c>
    </row>
    <row r="2331" customFormat="false" ht="15" hidden="false" customHeight="false" outlineLevel="0" collapsed="false">
      <c r="A2331" s="4" t="s">
        <v>2848</v>
      </c>
      <c r="B2331" s="5" t="n">
        <v>-0.054</v>
      </c>
      <c r="C2331" s="5" t="n">
        <v>-0.054</v>
      </c>
      <c r="D2331" s="5" t="n">
        <f aca="false">IF(AND(ISNUMBER(B2331),ISNUMBER(C2331)),C2331-B2331,"")</f>
        <v>0</v>
      </c>
      <c r="E2331" s="4" t="s">
        <v>531</v>
      </c>
    </row>
    <row r="2332" customFormat="false" ht="15" hidden="false" customHeight="false" outlineLevel="0" collapsed="false">
      <c r="A2332" s="4" t="s">
        <v>2849</v>
      </c>
      <c r="B2332" s="5" t="n">
        <v>0.077</v>
      </c>
      <c r="C2332" s="5" t="n">
        <v>0.077</v>
      </c>
      <c r="D2332" s="5" t="n">
        <f aca="false">IF(AND(ISNUMBER(B2332),ISNUMBER(C2332)),C2332-B2332,"")</f>
        <v>0</v>
      </c>
      <c r="E2332" s="4" t="s">
        <v>531</v>
      </c>
    </row>
    <row r="2333" customFormat="false" ht="15" hidden="false" customHeight="false" outlineLevel="0" collapsed="false">
      <c r="A2333" s="4" t="s">
        <v>2850</v>
      </c>
      <c r="B2333" s="5" t="n">
        <v>0.077</v>
      </c>
      <c r="C2333" s="5" t="n">
        <v>0.077</v>
      </c>
      <c r="D2333" s="5" t="n">
        <f aca="false">IF(AND(ISNUMBER(B2333),ISNUMBER(C2333)),C2333-B2333,"")</f>
        <v>0</v>
      </c>
      <c r="E2333" s="4" t="s">
        <v>531</v>
      </c>
    </row>
    <row r="2334" customFormat="false" ht="15" hidden="false" customHeight="false" outlineLevel="0" collapsed="false">
      <c r="A2334" s="4" t="s">
        <v>2851</v>
      </c>
      <c r="B2334" s="5" t="n">
        <v>0.483</v>
      </c>
      <c r="C2334" s="5" t="n">
        <v>0.483</v>
      </c>
      <c r="D2334" s="5" t="n">
        <f aca="false">IF(AND(ISNUMBER(B2334),ISNUMBER(C2334)),C2334-B2334,"")</f>
        <v>0</v>
      </c>
      <c r="E2334" s="4" t="s">
        <v>531</v>
      </c>
    </row>
    <row r="2335" customFormat="false" ht="15" hidden="false" customHeight="false" outlineLevel="0" collapsed="false">
      <c r="A2335" s="4" t="s">
        <v>2852</v>
      </c>
      <c r="B2335" s="5" t="n">
        <v>0.997</v>
      </c>
      <c r="C2335" s="5" t="n">
        <v>0.992</v>
      </c>
      <c r="D2335" s="5" t="n">
        <f aca="false">IF(AND(ISNUMBER(B2335),ISNUMBER(C2335)),C2335-B2335,"")</f>
        <v>-0.005</v>
      </c>
      <c r="E2335" s="4" t="s">
        <v>2252</v>
      </c>
    </row>
    <row r="2336" customFormat="false" ht="15" hidden="false" customHeight="false" outlineLevel="0" collapsed="false">
      <c r="A2336" s="4" t="s">
        <v>2853</v>
      </c>
      <c r="B2336" s="5" t="n">
        <v>210</v>
      </c>
      <c r="C2336" s="5" t="n">
        <v>210</v>
      </c>
      <c r="D2336" s="5" t="n">
        <f aca="false">IF(AND(ISNUMBER(B2336),ISNUMBER(C2336)),C2336-B2336,"")</f>
        <v>0</v>
      </c>
      <c r="E2336" s="4" t="s">
        <v>531</v>
      </c>
    </row>
    <row r="2337" customFormat="false" ht="15" hidden="false" customHeight="false" outlineLevel="0" collapsed="false">
      <c r="A2337" s="4" t="s">
        <v>2854</v>
      </c>
      <c r="B2337" s="5" t="n">
        <v>0.051</v>
      </c>
      <c r="C2337" s="5" t="n">
        <v>0.051</v>
      </c>
      <c r="D2337" s="5" t="n">
        <f aca="false">IF(AND(ISNUMBER(B2337),ISNUMBER(C2337)),C2337-B2337,"")</f>
        <v>0</v>
      </c>
      <c r="E2337" s="4" t="s">
        <v>531</v>
      </c>
    </row>
    <row r="2338" customFormat="false" ht="15" hidden="false" customHeight="false" outlineLevel="0" collapsed="false">
      <c r="A2338" s="4" t="s">
        <v>2855</v>
      </c>
      <c r="B2338" s="5" t="n">
        <v>0.098</v>
      </c>
      <c r="C2338" s="5" t="n">
        <v>0.098</v>
      </c>
      <c r="D2338" s="5" t="n">
        <f aca="false">IF(AND(ISNUMBER(B2338),ISNUMBER(C2338)),C2338-B2338,"")</f>
        <v>0</v>
      </c>
      <c r="E2338" s="4" t="s">
        <v>531</v>
      </c>
    </row>
    <row r="2339" customFormat="false" ht="15" hidden="false" customHeight="false" outlineLevel="0" collapsed="false">
      <c r="A2339" s="4" t="s">
        <v>2856</v>
      </c>
      <c r="B2339" s="5" t="n">
        <v>0.098</v>
      </c>
      <c r="C2339" s="5" t="n">
        <v>0.098</v>
      </c>
      <c r="D2339" s="5" t="n">
        <f aca="false">IF(AND(ISNUMBER(B2339),ISNUMBER(C2339)),C2339-B2339,"")</f>
        <v>0</v>
      </c>
      <c r="E2339" s="4" t="s">
        <v>531</v>
      </c>
    </row>
    <row r="2340" customFormat="false" ht="15" hidden="false" customHeight="false" outlineLevel="0" collapsed="false">
      <c r="A2340" s="4" t="s">
        <v>2857</v>
      </c>
      <c r="B2340" s="5" t="n">
        <v>0.599</v>
      </c>
      <c r="C2340" s="5" t="n">
        <v>0.599</v>
      </c>
      <c r="D2340" s="5" t="n">
        <f aca="false">IF(AND(ISNUMBER(B2340),ISNUMBER(C2340)),C2340-B2340,"")</f>
        <v>0</v>
      </c>
      <c r="E2340" s="4" t="s">
        <v>531</v>
      </c>
    </row>
    <row r="2341" customFormat="false" ht="15" hidden="false" customHeight="false" outlineLevel="0" collapsed="false">
      <c r="A2341" s="4" t="s">
        <v>2858</v>
      </c>
      <c r="B2341" s="5" t="n">
        <v>0.997</v>
      </c>
      <c r="C2341" s="5" t="n">
        <v>0.996</v>
      </c>
      <c r="D2341" s="5" t="n">
        <f aca="false">IF(AND(ISNUMBER(B2341),ISNUMBER(C2341)),C2341-B2341,"")</f>
        <v>-0.001</v>
      </c>
      <c r="E2341" s="4" t="s">
        <v>2252</v>
      </c>
    </row>
    <row r="2342" customFormat="false" ht="15" hidden="false" customHeight="false" outlineLevel="0" collapsed="false">
      <c r="A2342" s="4" t="s">
        <v>2859</v>
      </c>
      <c r="B2342" s="5" t="n">
        <v>210</v>
      </c>
      <c r="C2342" s="5" t="n">
        <v>210</v>
      </c>
      <c r="D2342" s="5" t="n">
        <f aca="false">IF(AND(ISNUMBER(B2342),ISNUMBER(C2342)),C2342-B2342,"")</f>
        <v>0</v>
      </c>
      <c r="E2342" s="4" t="s">
        <v>531</v>
      </c>
    </row>
    <row r="2343" customFormat="false" ht="15" hidden="false" customHeight="false" outlineLevel="0" collapsed="false">
      <c r="A2343" s="4" t="s">
        <v>2860</v>
      </c>
      <c r="B2343" s="5" t="n">
        <v>0.022</v>
      </c>
      <c r="C2343" s="5" t="n">
        <v>0.022</v>
      </c>
      <c r="D2343" s="5" t="n">
        <f aca="false">IF(AND(ISNUMBER(B2343),ISNUMBER(C2343)),C2343-B2343,"")</f>
        <v>0</v>
      </c>
      <c r="E2343" s="4" t="s">
        <v>531</v>
      </c>
    </row>
    <row r="2344" customFormat="false" ht="15" hidden="false" customHeight="false" outlineLevel="0" collapsed="false">
      <c r="A2344" s="4" t="s">
        <v>2861</v>
      </c>
      <c r="B2344" s="5" t="n">
        <v>0.086</v>
      </c>
      <c r="C2344" s="5" t="n">
        <v>0.086</v>
      </c>
      <c r="D2344" s="5" t="n">
        <f aca="false">IF(AND(ISNUMBER(B2344),ISNUMBER(C2344)),C2344-B2344,"")</f>
        <v>0</v>
      </c>
      <c r="E2344" s="4" t="s">
        <v>531</v>
      </c>
    </row>
    <row r="2345" customFormat="false" ht="15" hidden="false" customHeight="false" outlineLevel="0" collapsed="false">
      <c r="A2345" s="4" t="s">
        <v>2862</v>
      </c>
      <c r="B2345" s="5" t="n">
        <v>0.085</v>
      </c>
      <c r="C2345" s="5" t="n">
        <v>0.085</v>
      </c>
      <c r="D2345" s="5" t="n">
        <f aca="false">IF(AND(ISNUMBER(B2345),ISNUMBER(C2345)),C2345-B2345,"")</f>
        <v>0</v>
      </c>
      <c r="E2345" s="4" t="s">
        <v>531</v>
      </c>
    </row>
    <row r="2346" customFormat="false" ht="15" hidden="false" customHeight="false" outlineLevel="0" collapsed="false">
      <c r="A2346" s="4" t="s">
        <v>2863</v>
      </c>
      <c r="B2346" s="5" t="n">
        <v>0.797</v>
      </c>
      <c r="C2346" s="5" t="n">
        <v>0.797</v>
      </c>
      <c r="D2346" s="5" t="n">
        <f aca="false">IF(AND(ISNUMBER(B2346),ISNUMBER(C2346)),C2346-B2346,"")</f>
        <v>0</v>
      </c>
      <c r="E2346" s="4" t="s">
        <v>531</v>
      </c>
    </row>
    <row r="2347" customFormat="false" ht="15" hidden="false" customHeight="false" outlineLevel="0" collapsed="false">
      <c r="A2347" s="4" t="s">
        <v>2864</v>
      </c>
      <c r="B2347" s="5" t="n">
        <v>1</v>
      </c>
      <c r="C2347" s="5" t="n">
        <v>1</v>
      </c>
      <c r="D2347" s="5" t="n">
        <f aca="false">IF(AND(ISNUMBER(B2347),ISNUMBER(C2347)),C2347-B2347,"")</f>
        <v>0</v>
      </c>
      <c r="E2347" s="4" t="s">
        <v>531</v>
      </c>
    </row>
    <row r="2348" customFormat="false" ht="15" hidden="false" customHeight="false" outlineLevel="0" collapsed="false">
      <c r="A2348" s="4" t="s">
        <v>2865</v>
      </c>
      <c r="B2348" s="5" t="n">
        <v>210</v>
      </c>
      <c r="C2348" s="5" t="n">
        <v>210</v>
      </c>
      <c r="D2348" s="5" t="n">
        <f aca="false">IF(AND(ISNUMBER(B2348),ISNUMBER(C2348)),C2348-B2348,"")</f>
        <v>0</v>
      </c>
      <c r="E2348" s="4" t="s">
        <v>531</v>
      </c>
    </row>
    <row r="2349" customFormat="false" ht="15" hidden="false" customHeight="false" outlineLevel="0" collapsed="false">
      <c r="A2349" s="4" t="s">
        <v>2866</v>
      </c>
      <c r="B2349" s="5" t="n">
        <v>-0.027</v>
      </c>
      <c r="C2349" s="5" t="n">
        <v>-0.027</v>
      </c>
      <c r="D2349" s="5" t="n">
        <f aca="false">IF(AND(ISNUMBER(B2349),ISNUMBER(C2349)),C2349-B2349,"")</f>
        <v>0</v>
      </c>
      <c r="E2349" s="4" t="s">
        <v>531</v>
      </c>
    </row>
    <row r="2350" customFormat="false" ht="15" hidden="false" customHeight="false" outlineLevel="0" collapsed="false">
      <c r="A2350" s="4" t="s">
        <v>2867</v>
      </c>
      <c r="B2350" s="5" t="n">
        <v>0.088</v>
      </c>
      <c r="C2350" s="5" t="n">
        <v>0.088</v>
      </c>
      <c r="D2350" s="5" t="n">
        <f aca="false">IF(AND(ISNUMBER(B2350),ISNUMBER(C2350)),C2350-B2350,"")</f>
        <v>0</v>
      </c>
      <c r="E2350" s="4" t="s">
        <v>531</v>
      </c>
    </row>
    <row r="2351" customFormat="false" ht="15" hidden="false" customHeight="false" outlineLevel="0" collapsed="false">
      <c r="A2351" s="4" t="s">
        <v>2868</v>
      </c>
      <c r="B2351" s="5" t="n">
        <v>0.088</v>
      </c>
      <c r="C2351" s="5" t="n">
        <v>0.088</v>
      </c>
      <c r="D2351" s="5" t="n">
        <f aca="false">IF(AND(ISNUMBER(B2351),ISNUMBER(C2351)),C2351-B2351,"")</f>
        <v>0</v>
      </c>
      <c r="E2351" s="4" t="s">
        <v>531</v>
      </c>
    </row>
    <row r="2352" customFormat="false" ht="15" hidden="false" customHeight="false" outlineLevel="0" collapsed="false">
      <c r="A2352" s="4" t="s">
        <v>2869</v>
      </c>
      <c r="B2352" s="5" t="n">
        <v>0.757</v>
      </c>
      <c r="C2352" s="5" t="n">
        <v>0.757</v>
      </c>
      <c r="D2352" s="5" t="n">
        <f aca="false">IF(AND(ISNUMBER(B2352),ISNUMBER(C2352)),C2352-B2352,"")</f>
        <v>0</v>
      </c>
      <c r="E2352" s="4" t="s">
        <v>531</v>
      </c>
    </row>
    <row r="2353" customFormat="false" ht="15" hidden="false" customHeight="false" outlineLevel="0" collapsed="false">
      <c r="A2353" s="4" t="s">
        <v>2870</v>
      </c>
      <c r="B2353" s="5" t="n">
        <v>1</v>
      </c>
      <c r="C2353" s="5" t="n">
        <v>1</v>
      </c>
      <c r="D2353" s="5" t="n">
        <f aca="false">IF(AND(ISNUMBER(B2353),ISNUMBER(C2353)),C2353-B2353,"")</f>
        <v>0</v>
      </c>
      <c r="E2353" s="4" t="s">
        <v>531</v>
      </c>
    </row>
    <row r="2354" customFormat="false" ht="15" hidden="false" customHeight="false" outlineLevel="0" collapsed="false">
      <c r="A2354" s="4" t="s">
        <v>2871</v>
      </c>
      <c r="B2354" s="5" t="n">
        <v>210</v>
      </c>
      <c r="C2354" s="5" t="n">
        <v>210</v>
      </c>
      <c r="D2354" s="5" t="n">
        <f aca="false">IF(AND(ISNUMBER(B2354),ISNUMBER(C2354)),C2354-B2354,"")</f>
        <v>0</v>
      </c>
      <c r="E2354" s="4" t="s">
        <v>531</v>
      </c>
    </row>
    <row r="2355" customFormat="false" ht="15" hidden="false" customHeight="false" outlineLevel="0" collapsed="false">
      <c r="A2355" s="4" t="s">
        <v>2872</v>
      </c>
      <c r="B2355" s="5" t="n">
        <v>-0.038</v>
      </c>
      <c r="C2355" s="5" t="n">
        <v>-0.038</v>
      </c>
      <c r="D2355" s="5" t="n">
        <f aca="false">IF(AND(ISNUMBER(B2355),ISNUMBER(C2355)),C2355-B2355,"")</f>
        <v>0</v>
      </c>
      <c r="E2355" s="4" t="s">
        <v>531</v>
      </c>
    </row>
    <row r="2356" customFormat="false" ht="15" hidden="false" customHeight="false" outlineLevel="0" collapsed="false">
      <c r="A2356" s="4" t="s">
        <v>2873</v>
      </c>
      <c r="B2356" s="5" t="n">
        <v>0.088</v>
      </c>
      <c r="C2356" s="5" t="n">
        <v>0.088</v>
      </c>
      <c r="D2356" s="5" t="n">
        <f aca="false">IF(AND(ISNUMBER(B2356),ISNUMBER(C2356)),C2356-B2356,"")</f>
        <v>0</v>
      </c>
      <c r="E2356" s="4" t="s">
        <v>531</v>
      </c>
    </row>
    <row r="2357" customFormat="false" ht="15" hidden="false" customHeight="false" outlineLevel="0" collapsed="false">
      <c r="A2357" s="4" t="s">
        <v>2874</v>
      </c>
      <c r="B2357" s="5" t="n">
        <v>0.091</v>
      </c>
      <c r="C2357" s="5" t="n">
        <v>0.091</v>
      </c>
      <c r="D2357" s="5" t="n">
        <f aca="false">IF(AND(ISNUMBER(B2357),ISNUMBER(C2357)),C2357-B2357,"")</f>
        <v>0</v>
      </c>
      <c r="E2357" s="4" t="s">
        <v>531</v>
      </c>
    </row>
    <row r="2358" customFormat="false" ht="15" hidden="false" customHeight="false" outlineLevel="0" collapsed="false">
      <c r="A2358" s="4" t="s">
        <v>2875</v>
      </c>
      <c r="B2358" s="5" t="n">
        <v>0.667</v>
      </c>
      <c r="C2358" s="5" t="n">
        <v>0.667</v>
      </c>
      <c r="D2358" s="5" t="n">
        <f aca="false">IF(AND(ISNUMBER(B2358),ISNUMBER(C2358)),C2358-B2358,"")</f>
        <v>0</v>
      </c>
      <c r="E2358" s="4" t="s">
        <v>531</v>
      </c>
    </row>
    <row r="2359" customFormat="false" ht="15" hidden="false" customHeight="false" outlineLevel="0" collapsed="false">
      <c r="A2359" s="4" t="s">
        <v>2876</v>
      </c>
      <c r="B2359" s="5" t="n">
        <v>1</v>
      </c>
      <c r="C2359" s="5" t="n">
        <v>1</v>
      </c>
      <c r="D2359" s="5" t="n">
        <f aca="false">IF(AND(ISNUMBER(B2359),ISNUMBER(C2359)),C2359-B2359,"")</f>
        <v>0</v>
      </c>
      <c r="E2359" s="4" t="s">
        <v>531</v>
      </c>
    </row>
    <row r="2360" customFormat="false" ht="15" hidden="false" customHeight="false" outlineLevel="0" collapsed="false">
      <c r="A2360" s="4" t="s">
        <v>2877</v>
      </c>
      <c r="B2360" s="5" t="n">
        <v>210</v>
      </c>
      <c r="C2360" s="5" t="n">
        <v>210</v>
      </c>
      <c r="D2360" s="5" t="n">
        <f aca="false">IF(AND(ISNUMBER(B2360),ISNUMBER(C2360)),C2360-B2360,"")</f>
        <v>0</v>
      </c>
      <c r="E2360" s="4" t="s">
        <v>531</v>
      </c>
    </row>
    <row r="2361" customFormat="false" ht="15" hidden="false" customHeight="false" outlineLevel="0" collapsed="false">
      <c r="A2361" s="4" t="s">
        <v>2878</v>
      </c>
      <c r="B2361" s="5" t="n">
        <v>-0.116</v>
      </c>
      <c r="C2361" s="5" t="n">
        <v>-0.116</v>
      </c>
      <c r="D2361" s="5" t="n">
        <f aca="false">IF(AND(ISNUMBER(B2361),ISNUMBER(C2361)),C2361-B2361,"")</f>
        <v>0</v>
      </c>
      <c r="E2361" s="4" t="s">
        <v>531</v>
      </c>
    </row>
    <row r="2362" customFormat="false" ht="15" hidden="false" customHeight="false" outlineLevel="0" collapsed="false">
      <c r="A2362" s="4" t="s">
        <v>2879</v>
      </c>
      <c r="B2362" s="5" t="n">
        <v>0.09</v>
      </c>
      <c r="C2362" s="5" t="n">
        <v>0.09</v>
      </c>
      <c r="D2362" s="5" t="n">
        <f aca="false">IF(AND(ISNUMBER(B2362),ISNUMBER(C2362)),C2362-B2362,"")</f>
        <v>0</v>
      </c>
      <c r="E2362" s="4" t="s">
        <v>531</v>
      </c>
    </row>
    <row r="2363" customFormat="false" ht="15" hidden="false" customHeight="false" outlineLevel="0" collapsed="false">
      <c r="A2363" s="4" t="s">
        <v>2880</v>
      </c>
      <c r="B2363" s="5" t="n">
        <v>0.089</v>
      </c>
      <c r="C2363" s="5" t="n">
        <v>0.089</v>
      </c>
      <c r="D2363" s="5" t="n">
        <f aca="false">IF(AND(ISNUMBER(B2363),ISNUMBER(C2363)),C2363-B2363,"")</f>
        <v>0</v>
      </c>
      <c r="E2363" s="4" t="s">
        <v>531</v>
      </c>
    </row>
    <row r="2364" customFormat="false" ht="15" hidden="false" customHeight="false" outlineLevel="0" collapsed="false">
      <c r="A2364" s="4" t="s">
        <v>2881</v>
      </c>
      <c r="B2364" s="5" t="n">
        <v>0.198</v>
      </c>
      <c r="C2364" s="5" t="n">
        <v>0.198</v>
      </c>
      <c r="D2364" s="5" t="n">
        <f aca="false">IF(AND(ISNUMBER(B2364),ISNUMBER(C2364)),C2364-B2364,"")</f>
        <v>0</v>
      </c>
      <c r="E2364" s="4" t="s">
        <v>531</v>
      </c>
    </row>
    <row r="2365" customFormat="false" ht="15" hidden="false" customHeight="false" outlineLevel="0" collapsed="false">
      <c r="A2365" s="4" t="s">
        <v>2882</v>
      </c>
      <c r="B2365" s="5" t="n">
        <v>0.859</v>
      </c>
      <c r="C2365" s="5" t="n">
        <v>0.843</v>
      </c>
      <c r="D2365" s="5" t="n">
        <f aca="false">IF(AND(ISNUMBER(B2365),ISNUMBER(C2365)),C2365-B2365,"")</f>
        <v>-0.016</v>
      </c>
      <c r="E2365" s="4" t="s">
        <v>2252</v>
      </c>
    </row>
    <row r="2366" customFormat="false" ht="15" hidden="false" customHeight="false" outlineLevel="0" collapsed="false">
      <c r="A2366" s="4" t="s">
        <v>2883</v>
      </c>
      <c r="B2366" s="5" t="n">
        <v>210</v>
      </c>
      <c r="C2366" s="5" t="n">
        <v>210</v>
      </c>
      <c r="D2366" s="5" t="n">
        <f aca="false">IF(AND(ISNUMBER(B2366),ISNUMBER(C2366)),C2366-B2366,"")</f>
        <v>0</v>
      </c>
      <c r="E2366" s="4" t="s">
        <v>531</v>
      </c>
    </row>
    <row r="2367" customFormat="false" ht="15" hidden="false" customHeight="false" outlineLevel="0" collapsed="false">
      <c r="A2367" s="4" t="s">
        <v>2884</v>
      </c>
      <c r="B2367" s="5" t="n">
        <v>-0.148</v>
      </c>
      <c r="C2367" s="5" t="n">
        <v>-0.148</v>
      </c>
      <c r="D2367" s="5" t="n">
        <f aca="false">IF(AND(ISNUMBER(B2367),ISNUMBER(C2367)),C2367-B2367,"")</f>
        <v>0</v>
      </c>
      <c r="E2367" s="4" t="s">
        <v>531</v>
      </c>
    </row>
    <row r="2368" customFormat="false" ht="15" hidden="false" customHeight="false" outlineLevel="0" collapsed="false">
      <c r="A2368" s="4" t="s">
        <v>2885</v>
      </c>
      <c r="B2368" s="5" t="n">
        <v>0.075</v>
      </c>
      <c r="C2368" s="5" t="n">
        <v>0.075</v>
      </c>
      <c r="D2368" s="5" t="n">
        <f aca="false">IF(AND(ISNUMBER(B2368),ISNUMBER(C2368)),C2368-B2368,"")</f>
        <v>0</v>
      </c>
      <c r="E2368" s="4" t="s">
        <v>531</v>
      </c>
    </row>
    <row r="2369" customFormat="false" ht="15" hidden="false" customHeight="false" outlineLevel="0" collapsed="false">
      <c r="A2369" s="4" t="s">
        <v>2886</v>
      </c>
      <c r="B2369" s="5" t="n">
        <v>0.074</v>
      </c>
      <c r="C2369" s="5" t="n">
        <v>0.074</v>
      </c>
      <c r="D2369" s="5" t="n">
        <f aca="false">IF(AND(ISNUMBER(B2369),ISNUMBER(C2369)),C2369-B2369,"")</f>
        <v>0</v>
      </c>
      <c r="E2369" s="4" t="s">
        <v>531</v>
      </c>
    </row>
    <row r="2370" customFormat="false" ht="15" hidden="false" customHeight="false" outlineLevel="0" collapsed="false">
      <c r="A2370" s="4" t="s">
        <v>2887</v>
      </c>
      <c r="B2370" s="5" t="n">
        <v>0.048</v>
      </c>
      <c r="C2370" s="5" t="n">
        <v>0.048</v>
      </c>
      <c r="D2370" s="5" t="n">
        <f aca="false">IF(AND(ISNUMBER(B2370),ISNUMBER(C2370)),C2370-B2370,"")</f>
        <v>0</v>
      </c>
      <c r="E2370" s="4" t="s">
        <v>531</v>
      </c>
    </row>
    <row r="2371" customFormat="false" ht="15" hidden="false" customHeight="false" outlineLevel="0" collapsed="false">
      <c r="A2371" s="4" t="s">
        <v>2888</v>
      </c>
      <c r="B2371" s="5" t="n">
        <v>0.496</v>
      </c>
      <c r="C2371" s="5" t="n">
        <v>0.456</v>
      </c>
      <c r="D2371" s="5" t="n">
        <f aca="false">IF(AND(ISNUMBER(B2371),ISNUMBER(C2371)),C2371-B2371,"")</f>
        <v>-0.04</v>
      </c>
      <c r="E2371" s="4" t="s">
        <v>2252</v>
      </c>
    </row>
    <row r="2372" customFormat="false" ht="15" hidden="false" customHeight="false" outlineLevel="0" collapsed="false">
      <c r="A2372" s="4" t="s">
        <v>2889</v>
      </c>
      <c r="B2372" s="5" t="n">
        <v>210</v>
      </c>
      <c r="C2372" s="5" t="n">
        <v>210</v>
      </c>
      <c r="D2372" s="5" t="n">
        <f aca="false">IF(AND(ISNUMBER(B2372),ISNUMBER(C2372)),C2372-B2372,"")</f>
        <v>0</v>
      </c>
      <c r="E2372" s="4" t="s">
        <v>531</v>
      </c>
    </row>
    <row r="2373" customFormat="false" ht="15" hidden="false" customHeight="false" outlineLevel="0" collapsed="false">
      <c r="A2373" s="4" t="s">
        <v>2890</v>
      </c>
      <c r="B2373" s="5" t="n">
        <v>-0.021</v>
      </c>
      <c r="C2373" s="5" t="n">
        <v>-0.021</v>
      </c>
      <c r="D2373" s="5" t="n">
        <f aca="false">IF(AND(ISNUMBER(B2373),ISNUMBER(C2373)),C2373-B2373,"")</f>
        <v>0</v>
      </c>
      <c r="E2373" s="4" t="s">
        <v>531</v>
      </c>
    </row>
    <row r="2374" customFormat="false" ht="15" hidden="false" customHeight="false" outlineLevel="0" collapsed="false">
      <c r="A2374" s="4" t="s">
        <v>2891</v>
      </c>
      <c r="B2374" s="5" t="n">
        <v>0.077</v>
      </c>
      <c r="C2374" s="5" t="n">
        <v>0.077</v>
      </c>
      <c r="D2374" s="5" t="n">
        <f aca="false">IF(AND(ISNUMBER(B2374),ISNUMBER(C2374)),C2374-B2374,"")</f>
        <v>0</v>
      </c>
      <c r="E2374" s="4" t="s">
        <v>531</v>
      </c>
    </row>
    <row r="2375" customFormat="false" ht="15" hidden="false" customHeight="false" outlineLevel="0" collapsed="false">
      <c r="A2375" s="4" t="s">
        <v>2892</v>
      </c>
      <c r="B2375" s="5" t="n">
        <v>0.076</v>
      </c>
      <c r="C2375" s="5" t="n">
        <v>0.076</v>
      </c>
      <c r="D2375" s="5" t="n">
        <f aca="false">IF(AND(ISNUMBER(B2375),ISNUMBER(C2375)),C2375-B2375,"")</f>
        <v>0</v>
      </c>
      <c r="E2375" s="4" t="s">
        <v>531</v>
      </c>
    </row>
    <row r="2376" customFormat="false" ht="15" hidden="false" customHeight="false" outlineLevel="0" collapsed="false">
      <c r="A2376" s="4" t="s">
        <v>2893</v>
      </c>
      <c r="B2376" s="5" t="n">
        <v>0.78</v>
      </c>
      <c r="C2376" s="5" t="n">
        <v>0.78</v>
      </c>
      <c r="D2376" s="5" t="n">
        <f aca="false">IF(AND(ISNUMBER(B2376),ISNUMBER(C2376)),C2376-B2376,"")</f>
        <v>0</v>
      </c>
      <c r="E2376" s="4" t="s">
        <v>531</v>
      </c>
    </row>
    <row r="2377" customFormat="false" ht="15" hidden="false" customHeight="false" outlineLevel="0" collapsed="false">
      <c r="A2377" s="4" t="s">
        <v>2894</v>
      </c>
      <c r="B2377" s="5" t="n">
        <v>1</v>
      </c>
      <c r="C2377" s="5" t="n">
        <v>1</v>
      </c>
      <c r="D2377" s="5" t="n">
        <f aca="false">IF(AND(ISNUMBER(B2377),ISNUMBER(C2377)),C2377-B2377,"")</f>
        <v>0</v>
      </c>
      <c r="E2377" s="4" t="s">
        <v>531</v>
      </c>
    </row>
    <row r="2378" customFormat="false" ht="15" hidden="false" customHeight="false" outlineLevel="0" collapsed="false">
      <c r="A2378" s="4" t="s">
        <v>2895</v>
      </c>
      <c r="B2378" s="5" t="n">
        <v>210</v>
      </c>
      <c r="C2378" s="5" t="n">
        <v>210</v>
      </c>
      <c r="D2378" s="5" t="n">
        <f aca="false">IF(AND(ISNUMBER(B2378),ISNUMBER(C2378)),C2378-B2378,"")</f>
        <v>0</v>
      </c>
      <c r="E2378" s="4" t="s">
        <v>531</v>
      </c>
    </row>
    <row r="2379" customFormat="false" ht="15" hidden="false" customHeight="false" outlineLevel="0" collapsed="false">
      <c r="A2379" s="4" t="s">
        <v>2896</v>
      </c>
      <c r="B2379" s="5" t="n">
        <v>0.046</v>
      </c>
      <c r="C2379" s="5" t="n">
        <v>0.046</v>
      </c>
      <c r="D2379" s="5" t="n">
        <f aca="false">IF(AND(ISNUMBER(B2379),ISNUMBER(C2379)),C2379-B2379,"")</f>
        <v>0</v>
      </c>
      <c r="E2379" s="4" t="s">
        <v>531</v>
      </c>
    </row>
    <row r="2380" customFormat="false" ht="15" hidden="false" customHeight="false" outlineLevel="0" collapsed="false">
      <c r="A2380" s="4" t="s">
        <v>2897</v>
      </c>
      <c r="B2380" s="5" t="n">
        <v>0.146</v>
      </c>
      <c r="C2380" s="5" t="n">
        <v>0.146</v>
      </c>
      <c r="D2380" s="5" t="n">
        <f aca="false">IF(AND(ISNUMBER(B2380),ISNUMBER(C2380)),C2380-B2380,"")</f>
        <v>0</v>
      </c>
      <c r="E2380" s="4" t="s">
        <v>531</v>
      </c>
    </row>
    <row r="2381" customFormat="false" ht="15" hidden="false" customHeight="false" outlineLevel="0" collapsed="false">
      <c r="A2381" s="4" t="s">
        <v>2898</v>
      </c>
      <c r="B2381" s="5" t="n">
        <v>0.145</v>
      </c>
      <c r="C2381" s="5" t="n">
        <v>0.145</v>
      </c>
      <c r="D2381" s="5" t="n">
        <f aca="false">IF(AND(ISNUMBER(B2381),ISNUMBER(C2381)),C2381-B2381,"")</f>
        <v>0</v>
      </c>
      <c r="E2381" s="4" t="s">
        <v>531</v>
      </c>
    </row>
    <row r="2382" customFormat="false" ht="15" hidden="false" customHeight="false" outlineLevel="0" collapsed="false">
      <c r="A2382" s="4" t="s">
        <v>2899</v>
      </c>
      <c r="B2382" s="5" t="n">
        <v>0.755</v>
      </c>
      <c r="C2382" s="5" t="n">
        <v>0.755</v>
      </c>
      <c r="D2382" s="5" t="n">
        <f aca="false">IF(AND(ISNUMBER(B2382),ISNUMBER(C2382)),C2382-B2382,"")</f>
        <v>0</v>
      </c>
      <c r="E2382" s="4" t="s">
        <v>531</v>
      </c>
    </row>
    <row r="2383" customFormat="false" ht="15" hidden="false" customHeight="false" outlineLevel="0" collapsed="false">
      <c r="A2383" s="4" t="s">
        <v>2900</v>
      </c>
      <c r="B2383" s="5" t="n">
        <v>1</v>
      </c>
      <c r="C2383" s="5" t="n">
        <v>1</v>
      </c>
      <c r="D2383" s="5" t="n">
        <f aca="false">IF(AND(ISNUMBER(B2383),ISNUMBER(C2383)),C2383-B2383,"")</f>
        <v>0</v>
      </c>
      <c r="E2383" s="4" t="s">
        <v>531</v>
      </c>
    </row>
    <row r="2384" customFormat="false" ht="15" hidden="false" customHeight="false" outlineLevel="0" collapsed="false">
      <c r="A2384" s="4" t="s">
        <v>2901</v>
      </c>
      <c r="B2384" s="5" t="n">
        <v>210</v>
      </c>
      <c r="C2384" s="5" t="n">
        <v>210</v>
      </c>
      <c r="D2384" s="5" t="n">
        <f aca="false">IF(AND(ISNUMBER(B2384),ISNUMBER(C2384)),C2384-B2384,"")</f>
        <v>0</v>
      </c>
      <c r="E2384" s="4" t="s">
        <v>531</v>
      </c>
    </row>
    <row r="2385" customFormat="false" ht="15" hidden="false" customHeight="false" outlineLevel="0" collapsed="false">
      <c r="A2385" s="4" t="s">
        <v>2902</v>
      </c>
      <c r="B2385" s="5" t="n">
        <v>0.036</v>
      </c>
      <c r="C2385" s="5" t="n">
        <v>0.036</v>
      </c>
      <c r="D2385" s="5" t="n">
        <f aca="false">IF(AND(ISNUMBER(B2385),ISNUMBER(C2385)),C2385-B2385,"")</f>
        <v>0</v>
      </c>
      <c r="E2385" s="4" t="s">
        <v>531</v>
      </c>
    </row>
    <row r="2386" customFormat="false" ht="15" hidden="false" customHeight="false" outlineLevel="0" collapsed="false">
      <c r="A2386" s="4" t="s">
        <v>2903</v>
      </c>
      <c r="B2386" s="5" t="n">
        <v>0.197</v>
      </c>
      <c r="C2386" s="5" t="n">
        <v>0.197</v>
      </c>
      <c r="D2386" s="5" t="n">
        <f aca="false">IF(AND(ISNUMBER(B2386),ISNUMBER(C2386)),C2386-B2386,"")</f>
        <v>0</v>
      </c>
      <c r="E2386" s="4" t="s">
        <v>531</v>
      </c>
    </row>
    <row r="2387" customFormat="false" ht="15" hidden="false" customHeight="false" outlineLevel="0" collapsed="false">
      <c r="A2387" s="4" t="s">
        <v>2904</v>
      </c>
      <c r="B2387" s="5" t="n">
        <v>0.201</v>
      </c>
      <c r="C2387" s="5" t="n">
        <v>0.201</v>
      </c>
      <c r="D2387" s="5" t="n">
        <f aca="false">IF(AND(ISNUMBER(B2387),ISNUMBER(C2387)),C2387-B2387,"")</f>
        <v>0</v>
      </c>
      <c r="E2387" s="4" t="s">
        <v>531</v>
      </c>
    </row>
    <row r="2388" customFormat="false" ht="15" hidden="false" customHeight="false" outlineLevel="0" collapsed="false">
      <c r="A2388" s="4" t="s">
        <v>2905</v>
      </c>
      <c r="B2388" s="5" t="n">
        <v>0.857</v>
      </c>
      <c r="C2388" s="5" t="n">
        <v>0.857</v>
      </c>
      <c r="D2388" s="5" t="n">
        <f aca="false">IF(AND(ISNUMBER(B2388),ISNUMBER(C2388)),C2388-B2388,"")</f>
        <v>0</v>
      </c>
      <c r="E2388" s="4" t="s">
        <v>531</v>
      </c>
    </row>
    <row r="2389" customFormat="false" ht="15" hidden="false" customHeight="false" outlineLevel="0" collapsed="false">
      <c r="A2389" s="4" t="s">
        <v>2906</v>
      </c>
      <c r="B2389" s="5" t="n">
        <v>1</v>
      </c>
      <c r="C2389" s="5" t="n">
        <v>1</v>
      </c>
      <c r="D2389" s="5" t="n">
        <f aca="false">IF(AND(ISNUMBER(B2389),ISNUMBER(C2389)),C2389-B2389,"")</f>
        <v>0</v>
      </c>
      <c r="E2389" s="4" t="s">
        <v>531</v>
      </c>
    </row>
    <row r="2390" customFormat="false" ht="15" hidden="false" customHeight="false" outlineLevel="0" collapsed="false">
      <c r="A2390" s="4" t="s">
        <v>2907</v>
      </c>
      <c r="B2390" s="5" t="n">
        <v>210</v>
      </c>
      <c r="C2390" s="5" t="n">
        <v>210</v>
      </c>
      <c r="D2390" s="5" t="n">
        <f aca="false">IF(AND(ISNUMBER(B2390),ISNUMBER(C2390)),C2390-B2390,"")</f>
        <v>0</v>
      </c>
      <c r="E2390" s="4" t="s">
        <v>531</v>
      </c>
    </row>
    <row r="2391" customFormat="false" ht="15" hidden="false" customHeight="false" outlineLevel="0" collapsed="false">
      <c r="A2391" s="4" t="s">
        <v>2908</v>
      </c>
      <c r="B2391" s="5" t="n">
        <v>-0.107</v>
      </c>
      <c r="C2391" s="5" t="n">
        <v>-0.107</v>
      </c>
      <c r="D2391" s="5" t="n">
        <f aca="false">IF(AND(ISNUMBER(B2391),ISNUMBER(C2391)),C2391-B2391,"")</f>
        <v>0</v>
      </c>
      <c r="E2391" s="4" t="s">
        <v>531</v>
      </c>
    </row>
    <row r="2392" customFormat="false" ht="15" hidden="false" customHeight="false" outlineLevel="0" collapsed="false">
      <c r="A2392" s="4" t="s">
        <v>2909</v>
      </c>
      <c r="B2392" s="5" t="n">
        <v>0.169</v>
      </c>
      <c r="C2392" s="5" t="n">
        <v>0.169</v>
      </c>
      <c r="D2392" s="5" t="n">
        <f aca="false">IF(AND(ISNUMBER(B2392),ISNUMBER(C2392)),C2392-B2392,"")</f>
        <v>0</v>
      </c>
      <c r="E2392" s="4" t="s">
        <v>531</v>
      </c>
    </row>
    <row r="2393" customFormat="false" ht="15" hidden="false" customHeight="false" outlineLevel="0" collapsed="false">
      <c r="A2393" s="4" t="s">
        <v>2910</v>
      </c>
      <c r="B2393" s="5" t="n">
        <v>0.17</v>
      </c>
      <c r="C2393" s="5" t="n">
        <v>0.17</v>
      </c>
      <c r="D2393" s="5" t="n">
        <f aca="false">IF(AND(ISNUMBER(B2393),ISNUMBER(C2393)),C2393-B2393,"")</f>
        <v>0</v>
      </c>
      <c r="E2393" s="4" t="s">
        <v>531</v>
      </c>
    </row>
    <row r="2394" customFormat="false" ht="15" hidden="false" customHeight="false" outlineLevel="0" collapsed="false">
      <c r="A2394" s="4" t="s">
        <v>2911</v>
      </c>
      <c r="B2394" s="5" t="n">
        <v>0.527</v>
      </c>
      <c r="C2394" s="5" t="n">
        <v>0.527</v>
      </c>
      <c r="D2394" s="5" t="n">
        <f aca="false">IF(AND(ISNUMBER(B2394),ISNUMBER(C2394)),C2394-B2394,"")</f>
        <v>0</v>
      </c>
      <c r="E2394" s="4" t="s">
        <v>531</v>
      </c>
    </row>
    <row r="2395" customFormat="false" ht="15" hidden="false" customHeight="false" outlineLevel="0" collapsed="false">
      <c r="A2395" s="4" t="s">
        <v>2912</v>
      </c>
      <c r="B2395" s="5" t="n">
        <v>0.997</v>
      </c>
      <c r="C2395" s="5" t="n">
        <v>0.992</v>
      </c>
      <c r="D2395" s="5" t="n">
        <f aca="false">IF(AND(ISNUMBER(B2395),ISNUMBER(C2395)),C2395-B2395,"")</f>
        <v>-0.005</v>
      </c>
      <c r="E2395" s="4" t="s">
        <v>2252</v>
      </c>
    </row>
    <row r="2396" customFormat="false" ht="15" hidden="false" customHeight="false" outlineLevel="0" collapsed="false">
      <c r="A2396" s="4" t="s">
        <v>2913</v>
      </c>
      <c r="B2396" s="5" t="n">
        <v>210</v>
      </c>
      <c r="C2396" s="5" t="n">
        <v>210</v>
      </c>
      <c r="D2396" s="5" t="n">
        <f aca="false">IF(AND(ISNUMBER(B2396),ISNUMBER(C2396)),C2396-B2396,"")</f>
        <v>0</v>
      </c>
      <c r="E2396" s="4" t="s">
        <v>531</v>
      </c>
    </row>
    <row r="2397" customFormat="false" ht="15" hidden="false" customHeight="false" outlineLevel="0" collapsed="false">
      <c r="A2397" s="4" t="s">
        <v>2914</v>
      </c>
      <c r="B2397" s="5" t="n">
        <v>0.027</v>
      </c>
      <c r="C2397" s="5" t="n">
        <v>0.027</v>
      </c>
      <c r="D2397" s="5" t="n">
        <f aca="false">IF(AND(ISNUMBER(B2397),ISNUMBER(C2397)),C2397-B2397,"")</f>
        <v>0</v>
      </c>
      <c r="E2397" s="4" t="s">
        <v>531</v>
      </c>
    </row>
    <row r="2398" customFormat="false" ht="15" hidden="false" customHeight="false" outlineLevel="0" collapsed="false">
      <c r="A2398" s="4" t="s">
        <v>2915</v>
      </c>
      <c r="B2398" s="5" t="n">
        <v>0.154</v>
      </c>
      <c r="C2398" s="5" t="n">
        <v>0.154</v>
      </c>
      <c r="D2398" s="5" t="n">
        <f aca="false">IF(AND(ISNUMBER(B2398),ISNUMBER(C2398)),C2398-B2398,"")</f>
        <v>0</v>
      </c>
      <c r="E2398" s="4" t="s">
        <v>531</v>
      </c>
    </row>
    <row r="2399" customFormat="false" ht="15" hidden="false" customHeight="false" outlineLevel="0" collapsed="false">
      <c r="A2399" s="4" t="s">
        <v>2916</v>
      </c>
      <c r="B2399" s="5" t="n">
        <v>0.151</v>
      </c>
      <c r="C2399" s="5" t="n">
        <v>0.151</v>
      </c>
      <c r="D2399" s="5" t="n">
        <f aca="false">IF(AND(ISNUMBER(B2399),ISNUMBER(C2399)),C2399-B2399,"")</f>
        <v>0</v>
      </c>
      <c r="E2399" s="4" t="s">
        <v>531</v>
      </c>
    </row>
    <row r="2400" customFormat="false" ht="15" hidden="false" customHeight="false" outlineLevel="0" collapsed="false">
      <c r="A2400" s="4" t="s">
        <v>2917</v>
      </c>
      <c r="B2400" s="5" t="n">
        <v>0.86</v>
      </c>
      <c r="C2400" s="5" t="n">
        <v>0.86</v>
      </c>
      <c r="D2400" s="5" t="n">
        <f aca="false">IF(AND(ISNUMBER(B2400),ISNUMBER(C2400)),C2400-B2400,"")</f>
        <v>0</v>
      </c>
      <c r="E2400" s="4" t="s">
        <v>531</v>
      </c>
    </row>
    <row r="2401" customFormat="false" ht="15" hidden="false" customHeight="false" outlineLevel="0" collapsed="false">
      <c r="A2401" s="4" t="s">
        <v>2918</v>
      </c>
      <c r="B2401" s="5" t="n">
        <v>1</v>
      </c>
      <c r="C2401" s="5" t="n">
        <v>1</v>
      </c>
      <c r="D2401" s="5" t="n">
        <f aca="false">IF(AND(ISNUMBER(B2401),ISNUMBER(C2401)),C2401-B2401,"")</f>
        <v>0</v>
      </c>
      <c r="E2401" s="4" t="s">
        <v>531</v>
      </c>
    </row>
    <row r="2402" customFormat="false" ht="15" hidden="false" customHeight="false" outlineLevel="0" collapsed="false">
      <c r="A2402" s="4" t="s">
        <v>2919</v>
      </c>
      <c r="B2402" s="5" t="n">
        <v>210</v>
      </c>
      <c r="C2402" s="5" t="n">
        <v>210</v>
      </c>
      <c r="D2402" s="5" t="n">
        <f aca="false">IF(AND(ISNUMBER(B2402),ISNUMBER(C2402)),C2402-B2402,"")</f>
        <v>0</v>
      </c>
      <c r="E2402" s="4" t="s">
        <v>531</v>
      </c>
    </row>
    <row r="2403" customFormat="false" ht="15" hidden="false" customHeight="false" outlineLevel="0" collapsed="false">
      <c r="A2403" s="4" t="s">
        <v>2920</v>
      </c>
      <c r="B2403" s="5" t="n">
        <v>-0.077</v>
      </c>
      <c r="C2403" s="5" t="n">
        <v>-0.077</v>
      </c>
      <c r="D2403" s="5" t="n">
        <f aca="false">IF(AND(ISNUMBER(B2403),ISNUMBER(C2403)),C2403-B2403,"")</f>
        <v>0</v>
      </c>
      <c r="E2403" s="4" t="s">
        <v>531</v>
      </c>
    </row>
    <row r="2404" customFormat="false" ht="15" hidden="false" customHeight="false" outlineLevel="0" collapsed="false">
      <c r="A2404" s="4" t="s">
        <v>2921</v>
      </c>
      <c r="B2404" s="5" t="n">
        <v>0.17</v>
      </c>
      <c r="C2404" s="5" t="n">
        <v>0.17</v>
      </c>
      <c r="D2404" s="5" t="n">
        <f aca="false">IF(AND(ISNUMBER(B2404),ISNUMBER(C2404)),C2404-B2404,"")</f>
        <v>0</v>
      </c>
      <c r="E2404" s="4" t="s">
        <v>531</v>
      </c>
    </row>
    <row r="2405" customFormat="false" ht="15" hidden="false" customHeight="false" outlineLevel="0" collapsed="false">
      <c r="A2405" s="4" t="s">
        <v>2922</v>
      </c>
      <c r="B2405" s="5" t="n">
        <v>0.171</v>
      </c>
      <c r="C2405" s="5" t="n">
        <v>0.171</v>
      </c>
      <c r="D2405" s="5" t="n">
        <f aca="false">IF(AND(ISNUMBER(B2405),ISNUMBER(C2405)),C2405-B2405,"")</f>
        <v>0</v>
      </c>
      <c r="E2405" s="4" t="s">
        <v>531</v>
      </c>
    </row>
    <row r="2406" customFormat="false" ht="15" hidden="false" customHeight="false" outlineLevel="0" collapsed="false">
      <c r="A2406" s="4" t="s">
        <v>2923</v>
      </c>
      <c r="B2406" s="5" t="n">
        <v>0.653</v>
      </c>
      <c r="C2406" s="5" t="n">
        <v>0.653</v>
      </c>
      <c r="D2406" s="5" t="n">
        <f aca="false">IF(AND(ISNUMBER(B2406),ISNUMBER(C2406)),C2406-B2406,"")</f>
        <v>0</v>
      </c>
      <c r="E2406" s="4" t="s">
        <v>531</v>
      </c>
    </row>
    <row r="2407" customFormat="false" ht="15" hidden="false" customHeight="false" outlineLevel="0" collapsed="false">
      <c r="A2407" s="4" t="s">
        <v>2924</v>
      </c>
      <c r="B2407" s="5" t="n">
        <v>0.979</v>
      </c>
      <c r="C2407" s="5" t="n">
        <v>0.983</v>
      </c>
      <c r="D2407" s="5" t="n">
        <f aca="false">IF(AND(ISNUMBER(B2407),ISNUMBER(C2407)),C2407-B2407,"")</f>
        <v>0.004</v>
      </c>
      <c r="E2407" s="4" t="s">
        <v>2252</v>
      </c>
    </row>
    <row r="2408" customFormat="false" ht="15" hidden="false" customHeight="false" outlineLevel="0" collapsed="false">
      <c r="A2408" s="4" t="s">
        <v>2925</v>
      </c>
      <c r="B2408" s="5" t="n">
        <v>205</v>
      </c>
      <c r="C2408" s="5" t="n">
        <v>205</v>
      </c>
      <c r="D2408" s="5" t="n">
        <f aca="false">IF(AND(ISNUMBER(B2408),ISNUMBER(C2408)),C2408-B2408,"")</f>
        <v>0</v>
      </c>
      <c r="E2408" s="4" t="s">
        <v>531</v>
      </c>
    </row>
    <row r="2409" customFormat="false" ht="15" hidden="false" customHeight="false" outlineLevel="0" collapsed="false">
      <c r="A2409" s="4" t="s">
        <v>2926</v>
      </c>
      <c r="B2409" s="5" t="n">
        <v>0.476</v>
      </c>
      <c r="C2409" s="5" t="n">
        <v>0.476</v>
      </c>
      <c r="D2409" s="5" t="n">
        <f aca="false">IF(AND(ISNUMBER(B2409),ISNUMBER(C2409)),C2409-B2409,"")</f>
        <v>0</v>
      </c>
      <c r="E2409" s="4" t="s">
        <v>531</v>
      </c>
    </row>
    <row r="2410" customFormat="false" ht="15" hidden="false" customHeight="false" outlineLevel="0" collapsed="false">
      <c r="A2410" s="4" t="s">
        <v>2927</v>
      </c>
      <c r="B2410" s="5" t="n">
        <v>0.079</v>
      </c>
      <c r="C2410" s="5" t="n">
        <v>0.079</v>
      </c>
      <c r="D2410" s="5" t="n">
        <f aca="false">IF(AND(ISNUMBER(B2410),ISNUMBER(C2410)),C2410-B2410,"")</f>
        <v>0</v>
      </c>
      <c r="E2410" s="4" t="s">
        <v>531</v>
      </c>
    </row>
    <row r="2411" customFormat="false" ht="15" hidden="false" customHeight="false" outlineLevel="0" collapsed="false">
      <c r="A2411" s="4" t="s">
        <v>2928</v>
      </c>
      <c r="B2411" s="5" t="n">
        <v>0.192</v>
      </c>
      <c r="C2411" s="5" t="n">
        <v>0.192</v>
      </c>
      <c r="D2411" s="5" t="n">
        <f aca="false">IF(AND(ISNUMBER(B2411),ISNUMBER(C2411)),C2411-B2411,"")</f>
        <v>0</v>
      </c>
      <c r="E2411" s="4" t="s">
        <v>531</v>
      </c>
    </row>
    <row r="2412" customFormat="false" ht="15" hidden="false" customHeight="false" outlineLevel="0" collapsed="false">
      <c r="A2412" s="4" t="s">
        <v>2929</v>
      </c>
      <c r="B2412" s="5" t="n">
        <v>0.197</v>
      </c>
      <c r="C2412" s="5" t="n">
        <v>0.197</v>
      </c>
      <c r="D2412" s="5" t="n">
        <f aca="false">IF(AND(ISNUMBER(B2412),ISNUMBER(C2412)),C2412-B2412,"")</f>
        <v>0</v>
      </c>
      <c r="E2412" s="4" t="s">
        <v>531</v>
      </c>
    </row>
    <row r="2413" customFormat="false" ht="15" hidden="false" customHeight="false" outlineLevel="0" collapsed="false">
      <c r="A2413" s="4" t="s">
        <v>2930</v>
      </c>
      <c r="B2413" s="5" t="n">
        <v>0.681</v>
      </c>
      <c r="C2413" s="5" t="n">
        <v>0.681</v>
      </c>
      <c r="D2413" s="5" t="n">
        <f aca="false">IF(AND(ISNUMBER(B2413),ISNUMBER(C2413)),C2413-B2413,"")</f>
        <v>0</v>
      </c>
      <c r="E2413" s="4" t="s">
        <v>531</v>
      </c>
    </row>
    <row r="2414" customFormat="false" ht="15" hidden="false" customHeight="false" outlineLevel="0" collapsed="false">
      <c r="A2414" s="4" t="s">
        <v>2931</v>
      </c>
      <c r="B2414" s="5" t="n">
        <v>0.979</v>
      </c>
      <c r="C2414" s="5" t="n">
        <v>0.983</v>
      </c>
      <c r="D2414" s="5" t="n">
        <f aca="false">IF(AND(ISNUMBER(B2414),ISNUMBER(C2414)),C2414-B2414,"")</f>
        <v>0.004</v>
      </c>
      <c r="E2414" s="4" t="s">
        <v>2252</v>
      </c>
    </row>
    <row r="2415" customFormat="false" ht="15" hidden="false" customHeight="false" outlineLevel="0" collapsed="false">
      <c r="A2415" s="4" t="s">
        <v>2932</v>
      </c>
      <c r="B2415" s="5" t="n">
        <v>187</v>
      </c>
      <c r="C2415" s="5" t="n">
        <v>187</v>
      </c>
      <c r="D2415" s="5" t="n">
        <f aca="false">IF(AND(ISNUMBER(B2415),ISNUMBER(C2415)),C2415-B2415,"")</f>
        <v>0</v>
      </c>
      <c r="E2415" s="4" t="s">
        <v>531</v>
      </c>
    </row>
    <row r="2416" customFormat="false" ht="15" hidden="false" customHeight="false" outlineLevel="0" collapsed="false">
      <c r="A2416" s="4" t="s">
        <v>2933</v>
      </c>
      <c r="B2416" s="5" t="n">
        <v>0.537</v>
      </c>
      <c r="C2416" s="5" t="n">
        <v>0.537</v>
      </c>
      <c r="D2416" s="5" t="n">
        <f aca="false">IF(AND(ISNUMBER(B2416),ISNUMBER(C2416)),C2416-B2416,"")</f>
        <v>0</v>
      </c>
      <c r="E2416" s="4" t="s">
        <v>531</v>
      </c>
    </row>
    <row r="2417" customFormat="false" ht="15" hidden="false" customHeight="false" outlineLevel="0" collapsed="false">
      <c r="A2417" s="4" t="s">
        <v>2934</v>
      </c>
      <c r="B2417" s="5" t="n">
        <v>0.306</v>
      </c>
      <c r="C2417" s="5" t="n">
        <v>0.306</v>
      </c>
      <c r="D2417" s="5" t="n">
        <f aca="false">IF(AND(ISNUMBER(B2417),ISNUMBER(C2417)),C2417-B2417,"")</f>
        <v>0</v>
      </c>
      <c r="E2417" s="4" t="s">
        <v>531</v>
      </c>
    </row>
    <row r="2418" customFormat="false" ht="15" hidden="false" customHeight="false" outlineLevel="0" collapsed="false">
      <c r="A2418" s="4" t="s">
        <v>2935</v>
      </c>
      <c r="B2418" s="5" t="n">
        <v>0.129</v>
      </c>
      <c r="C2418" s="5" t="n">
        <v>0.129</v>
      </c>
      <c r="D2418" s="5" t="n">
        <f aca="false">IF(AND(ISNUMBER(B2418),ISNUMBER(C2418)),C2418-B2418,"")</f>
        <v>0</v>
      </c>
      <c r="E2418" s="4" t="s">
        <v>531</v>
      </c>
    </row>
    <row r="2419" customFormat="false" ht="15" hidden="false" customHeight="false" outlineLevel="0" collapsed="false">
      <c r="A2419" s="4" t="s">
        <v>2936</v>
      </c>
      <c r="B2419" s="5" t="n">
        <v>0.128</v>
      </c>
      <c r="C2419" s="5" t="n">
        <v>0.128</v>
      </c>
      <c r="D2419" s="5" t="n">
        <f aca="false">IF(AND(ISNUMBER(B2419),ISNUMBER(C2419)),C2419-B2419,"")</f>
        <v>0</v>
      </c>
      <c r="E2419" s="4" t="s">
        <v>531</v>
      </c>
    </row>
    <row r="2420" customFormat="false" ht="15" hidden="false" customHeight="false" outlineLevel="0" collapsed="false">
      <c r="A2420" s="4" t="s">
        <v>2937</v>
      </c>
      <c r="B2420" s="5" t="n">
        <v>0.018</v>
      </c>
      <c r="C2420" s="5" t="n">
        <v>0.018</v>
      </c>
      <c r="D2420" s="5" t="n">
        <f aca="false">IF(AND(ISNUMBER(B2420),ISNUMBER(C2420)),C2420-B2420,"")</f>
        <v>0</v>
      </c>
      <c r="E2420" s="4" t="s">
        <v>531</v>
      </c>
    </row>
    <row r="2421" customFormat="false" ht="15" hidden="false" customHeight="false" outlineLevel="0" collapsed="false">
      <c r="A2421" s="4" t="s">
        <v>2938</v>
      </c>
      <c r="B2421" s="5" t="n">
        <v>0.254</v>
      </c>
      <c r="C2421" s="5" t="n">
        <v>0.248</v>
      </c>
      <c r="D2421" s="5" t="n">
        <f aca="false">IF(AND(ISNUMBER(B2421),ISNUMBER(C2421)),C2421-B2421,"")</f>
        <v>-0.00600000000000001</v>
      </c>
      <c r="E2421" s="4" t="s">
        <v>2252</v>
      </c>
    </row>
    <row r="2422" customFormat="false" ht="15" hidden="false" customHeight="false" outlineLevel="0" collapsed="false">
      <c r="A2422" s="4" t="s">
        <v>2939</v>
      </c>
      <c r="B2422" s="5" t="n">
        <v>211</v>
      </c>
      <c r="C2422" s="5" t="n">
        <v>211</v>
      </c>
      <c r="D2422" s="5" t="n">
        <f aca="false">IF(AND(ISNUMBER(B2422),ISNUMBER(C2422)),C2422-B2422,"")</f>
        <v>0</v>
      </c>
      <c r="E2422" s="4" t="s">
        <v>531</v>
      </c>
    </row>
    <row r="2423" customFormat="false" ht="15" hidden="false" customHeight="false" outlineLevel="0" collapsed="false">
      <c r="A2423" s="4" t="s">
        <v>2940</v>
      </c>
      <c r="B2423" s="5" t="n">
        <v>0.361</v>
      </c>
      <c r="C2423" s="5" t="n">
        <v>0.361</v>
      </c>
      <c r="D2423" s="5" t="n">
        <f aca="false">IF(AND(ISNUMBER(B2423),ISNUMBER(C2423)),C2423-B2423,"")</f>
        <v>0</v>
      </c>
      <c r="E2423" s="4" t="s">
        <v>531</v>
      </c>
    </row>
    <row r="2424" customFormat="false" ht="15" hidden="false" customHeight="false" outlineLevel="0" collapsed="false">
      <c r="A2424" s="4" t="s">
        <v>2941</v>
      </c>
      <c r="B2424" s="5" t="n">
        <v>-0.147</v>
      </c>
      <c r="C2424" s="5" t="n">
        <v>-0.147</v>
      </c>
      <c r="D2424" s="5" t="n">
        <f aca="false">IF(AND(ISNUMBER(B2424),ISNUMBER(C2424)),C2424-B2424,"")</f>
        <v>0</v>
      </c>
      <c r="E2424" s="4" t="s">
        <v>531</v>
      </c>
    </row>
    <row r="2425" customFormat="false" ht="15" hidden="false" customHeight="false" outlineLevel="0" collapsed="false">
      <c r="A2425" s="4" t="s">
        <v>2942</v>
      </c>
      <c r="B2425" s="5" t="n">
        <v>0.317</v>
      </c>
      <c r="C2425" s="5" t="n">
        <v>0.317</v>
      </c>
      <c r="D2425" s="5" t="n">
        <f aca="false">IF(AND(ISNUMBER(B2425),ISNUMBER(C2425)),C2425-B2425,"")</f>
        <v>0</v>
      </c>
      <c r="E2425" s="4" t="s">
        <v>531</v>
      </c>
    </row>
    <row r="2426" customFormat="false" ht="15" hidden="false" customHeight="false" outlineLevel="0" collapsed="false">
      <c r="A2426" s="4" t="s">
        <v>2943</v>
      </c>
      <c r="B2426" s="5" t="n">
        <v>0.313</v>
      </c>
      <c r="C2426" s="5" t="n">
        <v>0.313</v>
      </c>
      <c r="D2426" s="5" t="n">
        <f aca="false">IF(AND(ISNUMBER(B2426),ISNUMBER(C2426)),C2426-B2426,"")</f>
        <v>0</v>
      </c>
      <c r="E2426" s="4" t="s">
        <v>531</v>
      </c>
    </row>
    <row r="2427" customFormat="false" ht="15" hidden="false" customHeight="false" outlineLevel="0" collapsed="false">
      <c r="A2427" s="4" t="s">
        <v>2944</v>
      </c>
      <c r="B2427" s="5" t="n">
        <v>0.643</v>
      </c>
      <c r="C2427" s="5" t="n">
        <v>0.643</v>
      </c>
      <c r="D2427" s="5" t="n">
        <f aca="false">IF(AND(ISNUMBER(B2427),ISNUMBER(C2427)),C2427-B2427,"")</f>
        <v>0</v>
      </c>
      <c r="E2427" s="4" t="s">
        <v>531</v>
      </c>
    </row>
    <row r="2428" customFormat="false" ht="15" hidden="false" customHeight="false" outlineLevel="0" collapsed="false">
      <c r="A2428" s="4" t="s">
        <v>2945</v>
      </c>
      <c r="B2428" s="5" t="n">
        <v>0.979</v>
      </c>
      <c r="C2428" s="5" t="n">
        <v>0.983</v>
      </c>
      <c r="D2428" s="5" t="n">
        <f aca="false">IF(AND(ISNUMBER(B2428),ISNUMBER(C2428)),C2428-B2428,"")</f>
        <v>0.004</v>
      </c>
      <c r="E2428" s="4" t="s">
        <v>2252</v>
      </c>
    </row>
    <row r="2429" customFormat="false" ht="15" hidden="false" customHeight="false" outlineLevel="0" collapsed="false">
      <c r="A2429" s="4" t="s">
        <v>2946</v>
      </c>
      <c r="B2429" s="5" t="n">
        <v>193</v>
      </c>
      <c r="C2429" s="5" t="n">
        <v>193</v>
      </c>
      <c r="D2429" s="5" t="n">
        <f aca="false">IF(AND(ISNUMBER(B2429),ISNUMBER(C2429)),C2429-B2429,"")</f>
        <v>0</v>
      </c>
      <c r="E2429" s="4" t="s">
        <v>531</v>
      </c>
    </row>
    <row r="2430" customFormat="false" ht="15" hidden="false" customHeight="false" outlineLevel="0" collapsed="false">
      <c r="A2430" s="4" t="s">
        <v>2947</v>
      </c>
      <c r="B2430" s="5" t="n">
        <v>0.888</v>
      </c>
      <c r="C2430" s="5" t="n">
        <v>0.888</v>
      </c>
      <c r="D2430" s="5" t="n">
        <f aca="false">IF(AND(ISNUMBER(B2430),ISNUMBER(C2430)),C2430-B2430,"")</f>
        <v>0</v>
      </c>
      <c r="E2430" s="4" t="s">
        <v>531</v>
      </c>
    </row>
    <row r="2431" customFormat="false" ht="15" hidden="false" customHeight="false" outlineLevel="0" collapsed="false">
      <c r="A2431" s="4" t="s">
        <v>2948</v>
      </c>
      <c r="B2431" s="5" t="n">
        <v>0.094</v>
      </c>
      <c r="C2431" s="5" t="n">
        <v>0.094</v>
      </c>
      <c r="D2431" s="5" t="n">
        <f aca="false">IF(AND(ISNUMBER(B2431),ISNUMBER(C2431)),C2431-B2431,"")</f>
        <v>0</v>
      </c>
      <c r="E2431" s="4" t="s">
        <v>531</v>
      </c>
    </row>
    <row r="2432" customFormat="false" ht="15" hidden="false" customHeight="false" outlineLevel="0" collapsed="false">
      <c r="A2432" s="4" t="s">
        <v>2949</v>
      </c>
      <c r="B2432" s="5" t="n">
        <v>0.105</v>
      </c>
      <c r="C2432" s="5" t="n">
        <v>0.105</v>
      </c>
      <c r="D2432" s="5" t="n">
        <f aca="false">IF(AND(ISNUMBER(B2432),ISNUMBER(C2432)),C2432-B2432,"")</f>
        <v>0</v>
      </c>
      <c r="E2432" s="4" t="s">
        <v>531</v>
      </c>
    </row>
    <row r="2433" customFormat="false" ht="15" hidden="false" customHeight="false" outlineLevel="0" collapsed="false">
      <c r="A2433" s="4" t="s">
        <v>2950</v>
      </c>
      <c r="B2433" s="5" t="n">
        <v>0.105</v>
      </c>
      <c r="C2433" s="5" t="n">
        <v>0.105</v>
      </c>
      <c r="D2433" s="5" t="n">
        <f aca="false">IF(AND(ISNUMBER(B2433),ISNUMBER(C2433)),C2433-B2433,"")</f>
        <v>0</v>
      </c>
      <c r="E2433" s="4" t="s">
        <v>531</v>
      </c>
    </row>
    <row r="2434" customFormat="false" ht="15" hidden="false" customHeight="false" outlineLevel="0" collapsed="false">
      <c r="A2434" s="4" t="s">
        <v>2951</v>
      </c>
      <c r="B2434" s="5" t="n">
        <v>0.367</v>
      </c>
      <c r="C2434" s="5" t="n">
        <v>0.367</v>
      </c>
      <c r="D2434" s="5" t="n">
        <f aca="false">IF(AND(ISNUMBER(B2434),ISNUMBER(C2434)),C2434-B2434,"")</f>
        <v>0</v>
      </c>
      <c r="E2434" s="4" t="s">
        <v>531</v>
      </c>
    </row>
    <row r="2435" customFormat="false" ht="15" hidden="false" customHeight="false" outlineLevel="0" collapsed="false">
      <c r="A2435" s="4" t="s">
        <v>2952</v>
      </c>
      <c r="B2435" s="5" t="n">
        <v>0.947</v>
      </c>
      <c r="C2435" s="5" t="n">
        <v>0.949</v>
      </c>
      <c r="D2435" s="5" t="n">
        <f aca="false">IF(AND(ISNUMBER(B2435),ISNUMBER(C2435)),C2435-B2435,"")</f>
        <v>0.002</v>
      </c>
      <c r="E2435" s="4" t="s">
        <v>2252</v>
      </c>
    </row>
    <row r="2436" customFormat="false" ht="15" hidden="false" customHeight="false" outlineLevel="0" collapsed="false">
      <c r="A2436" s="4" t="s">
        <v>2953</v>
      </c>
      <c r="B2436" s="5" t="n">
        <v>211</v>
      </c>
      <c r="C2436" s="5" t="n">
        <v>211</v>
      </c>
      <c r="D2436" s="5" t="n">
        <f aca="false">IF(AND(ISNUMBER(B2436),ISNUMBER(C2436)),C2436-B2436,"")</f>
        <v>0</v>
      </c>
      <c r="E2436" s="4" t="s">
        <v>531</v>
      </c>
    </row>
    <row r="2437" customFormat="false" ht="15" hidden="false" customHeight="false" outlineLevel="0" collapsed="false">
      <c r="A2437" s="4" t="s">
        <v>2954</v>
      </c>
      <c r="B2437" s="5" t="n">
        <v>0.293</v>
      </c>
      <c r="C2437" s="5" t="n">
        <v>0.293</v>
      </c>
      <c r="D2437" s="5" t="n">
        <f aca="false">IF(AND(ISNUMBER(B2437),ISNUMBER(C2437)),C2437-B2437,"")</f>
        <v>0</v>
      </c>
      <c r="E2437" s="4" t="s">
        <v>531</v>
      </c>
    </row>
    <row r="2438" customFormat="false" ht="15" hidden="false" customHeight="false" outlineLevel="0" collapsed="false">
      <c r="A2438" s="4" t="s">
        <v>2955</v>
      </c>
      <c r="B2438" s="5" t="n">
        <v>2.749</v>
      </c>
      <c r="C2438" s="5" t="n">
        <v>2.749</v>
      </c>
      <c r="D2438" s="5" t="n">
        <f aca="false">IF(AND(ISNUMBER(B2438),ISNUMBER(C2438)),C2438-B2438,"")</f>
        <v>0</v>
      </c>
      <c r="E2438" s="4" t="s">
        <v>531</v>
      </c>
    </row>
    <row r="2439" customFormat="false" ht="15" hidden="false" customHeight="false" outlineLevel="0" collapsed="false">
      <c r="A2439" s="4" t="s">
        <v>2956</v>
      </c>
      <c r="B2439" s="5" t="n">
        <v>0.876</v>
      </c>
      <c r="C2439" s="5" t="n">
        <v>0.876</v>
      </c>
      <c r="D2439" s="5" t="n">
        <f aca="false">IF(AND(ISNUMBER(B2439),ISNUMBER(C2439)),C2439-B2439,"")</f>
        <v>0</v>
      </c>
      <c r="E2439" s="4" t="s">
        <v>531</v>
      </c>
    </row>
    <row r="2440" customFormat="false" ht="15" hidden="false" customHeight="false" outlineLevel="0" collapsed="false">
      <c r="A2440" s="4" t="s">
        <v>2957</v>
      </c>
      <c r="B2440" s="5" t="n">
        <v>0.871</v>
      </c>
      <c r="C2440" s="5" t="n">
        <v>0.871</v>
      </c>
      <c r="D2440" s="5" t="n">
        <f aca="false">IF(AND(ISNUMBER(B2440),ISNUMBER(C2440)),C2440-B2440,"")</f>
        <v>0</v>
      </c>
      <c r="E2440" s="4" t="s">
        <v>531</v>
      </c>
    </row>
    <row r="2441" customFormat="false" ht="15" hidden="false" customHeight="false" outlineLevel="0" collapsed="false">
      <c r="A2441" s="4" t="s">
        <v>2958</v>
      </c>
      <c r="B2441" s="5" t="n">
        <v>0.002</v>
      </c>
      <c r="C2441" s="5" t="n">
        <v>0.002</v>
      </c>
      <c r="D2441" s="5" t="n">
        <f aca="false">IF(AND(ISNUMBER(B2441),ISNUMBER(C2441)),C2441-B2441,"")</f>
        <v>0</v>
      </c>
      <c r="E2441" s="4" t="s">
        <v>531</v>
      </c>
    </row>
    <row r="2442" customFormat="false" ht="15" hidden="false" customHeight="false" outlineLevel="0" collapsed="false">
      <c r="A2442" s="4" t="s">
        <v>2959</v>
      </c>
      <c r="B2442" s="5" t="n">
        <v>0.056</v>
      </c>
      <c r="C2442" s="5" t="n">
        <v>0.057</v>
      </c>
      <c r="D2442" s="5" t="n">
        <f aca="false">IF(AND(ISNUMBER(B2442),ISNUMBER(C2442)),C2442-B2442,"")</f>
        <v>0.001</v>
      </c>
      <c r="E2442" s="4" t="s">
        <v>2252</v>
      </c>
    </row>
    <row r="2443" customFormat="false" ht="15" hidden="false" customHeight="false" outlineLevel="0" collapsed="false">
      <c r="A2443" s="4" t="s">
        <v>2960</v>
      </c>
      <c r="B2443" s="5" t="n">
        <v>210</v>
      </c>
      <c r="C2443" s="5" t="n">
        <v>210</v>
      </c>
      <c r="D2443" s="5" t="n">
        <f aca="false">IF(AND(ISNUMBER(B2443),ISNUMBER(C2443)),C2443-B2443,"")</f>
        <v>0</v>
      </c>
      <c r="E2443" s="4" t="s">
        <v>531</v>
      </c>
    </row>
    <row r="2444" customFormat="false" ht="15" hidden="false" customHeight="false" outlineLevel="0" collapsed="false">
      <c r="A2444" s="4" t="s">
        <v>2961</v>
      </c>
      <c r="B2444" s="5" t="n">
        <v>2.453</v>
      </c>
      <c r="C2444" s="5" t="n">
        <v>2.453</v>
      </c>
      <c r="D2444" s="5" t="n">
        <f aca="false">IF(AND(ISNUMBER(B2444),ISNUMBER(C2444)),C2444-B2444,"")</f>
        <v>0</v>
      </c>
      <c r="E2444" s="4" t="s">
        <v>531</v>
      </c>
    </row>
    <row r="2445" customFormat="false" ht="15" hidden="false" customHeight="false" outlineLevel="0" collapsed="false">
      <c r="A2445" s="4" t="s">
        <v>2962</v>
      </c>
      <c r="B2445" s="5" t="n">
        <v>0.337</v>
      </c>
      <c r="C2445" s="5" t="n">
        <v>0.337</v>
      </c>
      <c r="D2445" s="5" t="n">
        <f aca="false">IF(AND(ISNUMBER(B2445),ISNUMBER(C2445)),C2445-B2445,"")</f>
        <v>0</v>
      </c>
      <c r="E2445" s="4" t="s">
        <v>531</v>
      </c>
    </row>
    <row r="2446" customFormat="false" ht="15" hidden="false" customHeight="false" outlineLevel="0" collapsed="false">
      <c r="A2446" s="4" t="s">
        <v>2963</v>
      </c>
      <c r="B2446" s="5" t="n">
        <v>0.142</v>
      </c>
      <c r="C2446" s="5" t="n">
        <v>0.142</v>
      </c>
      <c r="D2446" s="5" t="n">
        <f aca="false">IF(AND(ISNUMBER(B2446),ISNUMBER(C2446)),C2446-B2446,"")</f>
        <v>0</v>
      </c>
      <c r="E2446" s="4" t="s">
        <v>531</v>
      </c>
    </row>
    <row r="2447" customFormat="false" ht="15" hidden="false" customHeight="false" outlineLevel="0" collapsed="false">
      <c r="A2447" s="4" t="s">
        <v>2964</v>
      </c>
      <c r="B2447" s="5" t="n">
        <v>0.142</v>
      </c>
      <c r="C2447" s="5" t="n">
        <v>0.142</v>
      </c>
      <c r="D2447" s="5" t="n">
        <f aca="false">IF(AND(ISNUMBER(B2447),ISNUMBER(C2447)),C2447-B2447,"")</f>
        <v>0</v>
      </c>
      <c r="E2447" s="4" t="s">
        <v>531</v>
      </c>
    </row>
    <row r="2448" customFormat="false" ht="15" hidden="false" customHeight="false" outlineLevel="0" collapsed="false">
      <c r="A2448" s="4" t="s">
        <v>2965</v>
      </c>
      <c r="B2448" s="5" t="n">
        <v>0.017</v>
      </c>
      <c r="C2448" s="5" t="n">
        <v>0.017</v>
      </c>
      <c r="D2448" s="5" t="n">
        <f aca="false">IF(AND(ISNUMBER(B2448),ISNUMBER(C2448)),C2448-B2448,"")</f>
        <v>0</v>
      </c>
      <c r="E2448" s="4" t="s">
        <v>531</v>
      </c>
    </row>
    <row r="2449" customFormat="false" ht="15" hidden="false" customHeight="false" outlineLevel="0" collapsed="false">
      <c r="A2449" s="4" t="s">
        <v>2966</v>
      </c>
      <c r="B2449" s="5" t="n">
        <v>0.259</v>
      </c>
      <c r="C2449" s="5" t="n">
        <v>0.248</v>
      </c>
      <c r="D2449" s="5" t="n">
        <f aca="false">IF(AND(ISNUMBER(B2449),ISNUMBER(C2449)),C2449-B2449,"")</f>
        <v>-0.011</v>
      </c>
      <c r="E2449" s="4" t="s">
        <v>2252</v>
      </c>
    </row>
    <row r="2450" customFormat="false" ht="15" hidden="false" customHeight="false" outlineLevel="0" collapsed="false">
      <c r="A2450" s="4" t="s">
        <v>2967</v>
      </c>
      <c r="B2450" s="5" t="n">
        <v>210</v>
      </c>
      <c r="C2450" s="5" t="n">
        <v>210</v>
      </c>
      <c r="D2450" s="5" t="n">
        <f aca="false">IF(AND(ISNUMBER(B2450),ISNUMBER(C2450)),C2450-B2450,"")</f>
        <v>0</v>
      </c>
      <c r="E2450" s="4" t="s">
        <v>531</v>
      </c>
    </row>
    <row r="2451" customFormat="false" ht="15" hidden="false" customHeight="false" outlineLevel="0" collapsed="false">
      <c r="A2451" s="4" t="s">
        <v>2968</v>
      </c>
      <c r="B2451" s="5" t="n">
        <v>0.397</v>
      </c>
      <c r="C2451" s="5" t="n">
        <v>0.397</v>
      </c>
      <c r="D2451" s="5" t="n">
        <f aca="false">IF(AND(ISNUMBER(B2451),ISNUMBER(C2451)),C2451-B2451,"")</f>
        <v>0</v>
      </c>
      <c r="E2451" s="4" t="s">
        <v>531</v>
      </c>
    </row>
    <row r="2452" customFormat="false" ht="15" hidden="false" customHeight="false" outlineLevel="0" collapsed="false">
      <c r="A2452" s="4" t="s">
        <v>2969</v>
      </c>
      <c r="B2452" s="5" t="n">
        <v>0.308</v>
      </c>
      <c r="C2452" s="5" t="n">
        <v>0.308</v>
      </c>
      <c r="D2452" s="5" t="n">
        <f aca="false">IF(AND(ISNUMBER(B2452),ISNUMBER(C2452)),C2452-B2452,"")</f>
        <v>0</v>
      </c>
      <c r="E2452" s="4" t="s">
        <v>531</v>
      </c>
    </row>
    <row r="2453" customFormat="false" ht="15" hidden="false" customHeight="false" outlineLevel="0" collapsed="false">
      <c r="A2453" s="4" t="s">
        <v>2970</v>
      </c>
      <c r="B2453" s="5" t="n">
        <v>0.12</v>
      </c>
      <c r="C2453" s="5" t="n">
        <v>0.12</v>
      </c>
      <c r="D2453" s="5" t="n">
        <f aca="false">IF(AND(ISNUMBER(B2453),ISNUMBER(C2453)),C2453-B2453,"")</f>
        <v>0</v>
      </c>
      <c r="E2453" s="4" t="s">
        <v>531</v>
      </c>
    </row>
    <row r="2454" customFormat="false" ht="15" hidden="false" customHeight="false" outlineLevel="0" collapsed="false">
      <c r="A2454" s="4" t="s">
        <v>2971</v>
      </c>
      <c r="B2454" s="5" t="n">
        <v>0.12</v>
      </c>
      <c r="C2454" s="5" t="n">
        <v>0.12</v>
      </c>
      <c r="D2454" s="5" t="n">
        <f aca="false">IF(AND(ISNUMBER(B2454),ISNUMBER(C2454)),C2454-B2454,"")</f>
        <v>0</v>
      </c>
      <c r="E2454" s="4" t="s">
        <v>531</v>
      </c>
    </row>
    <row r="2455" customFormat="false" ht="15" hidden="false" customHeight="false" outlineLevel="0" collapsed="false">
      <c r="A2455" s="4" t="s">
        <v>2972</v>
      </c>
      <c r="B2455" s="5" t="n">
        <v>0.01</v>
      </c>
      <c r="C2455" s="5" t="n">
        <v>0.01</v>
      </c>
      <c r="D2455" s="5" t="n">
        <f aca="false">IF(AND(ISNUMBER(B2455),ISNUMBER(C2455)),C2455-B2455,"")</f>
        <v>0</v>
      </c>
      <c r="E2455" s="4" t="s">
        <v>531</v>
      </c>
    </row>
    <row r="2456" customFormat="false" ht="15" hidden="false" customHeight="false" outlineLevel="0" collapsed="false">
      <c r="A2456" s="4" t="s">
        <v>2973</v>
      </c>
      <c r="B2456" s="5" t="n">
        <v>0.185</v>
      </c>
      <c r="C2456" s="5" t="n">
        <v>0.177</v>
      </c>
      <c r="D2456" s="5" t="n">
        <f aca="false">IF(AND(ISNUMBER(B2456),ISNUMBER(C2456)),C2456-B2456,"")</f>
        <v>-0.00800000000000001</v>
      </c>
      <c r="E2456" s="4" t="s">
        <v>2252</v>
      </c>
    </row>
    <row r="2457" customFormat="false" ht="15" hidden="false" customHeight="false" outlineLevel="0" collapsed="false">
      <c r="A2457" s="4" t="s">
        <v>2974</v>
      </c>
      <c r="B2457" s="5" t="n">
        <v>210</v>
      </c>
      <c r="C2457" s="5" t="n">
        <v>210</v>
      </c>
      <c r="D2457" s="5" t="n">
        <f aca="false">IF(AND(ISNUMBER(B2457),ISNUMBER(C2457)),C2457-B2457,"")</f>
        <v>0</v>
      </c>
      <c r="E2457" s="4" t="s">
        <v>531</v>
      </c>
    </row>
    <row r="2458" customFormat="false" ht="15" hidden="false" customHeight="false" outlineLevel="0" collapsed="false">
      <c r="A2458" s="4" t="s">
        <v>2975</v>
      </c>
      <c r="B2458" s="5" t="n">
        <v>0.336</v>
      </c>
      <c r="C2458" s="5" t="n">
        <v>0.336</v>
      </c>
      <c r="D2458" s="5" t="n">
        <f aca="false">IF(AND(ISNUMBER(B2458),ISNUMBER(C2458)),C2458-B2458,"")</f>
        <v>0</v>
      </c>
      <c r="E2458" s="4" t="s">
        <v>531</v>
      </c>
    </row>
    <row r="2459" customFormat="false" ht="15" hidden="false" customHeight="false" outlineLevel="0" collapsed="false">
      <c r="A2459" s="4" t="s">
        <v>2976</v>
      </c>
      <c r="B2459" s="5" t="n">
        <v>0.146</v>
      </c>
      <c r="C2459" s="5" t="n">
        <v>0.146</v>
      </c>
      <c r="D2459" s="5" t="n">
        <f aca="false">IF(AND(ISNUMBER(B2459),ISNUMBER(C2459)),C2459-B2459,"")</f>
        <v>0</v>
      </c>
      <c r="E2459" s="4" t="s">
        <v>531</v>
      </c>
    </row>
    <row r="2460" customFormat="false" ht="15" hidden="false" customHeight="false" outlineLevel="0" collapsed="false">
      <c r="A2460" s="4" t="s">
        <v>2977</v>
      </c>
      <c r="B2460" s="5" t="n">
        <v>0.144</v>
      </c>
      <c r="C2460" s="5" t="n">
        <v>0.144</v>
      </c>
      <c r="D2460" s="5" t="n">
        <f aca="false">IF(AND(ISNUMBER(B2460),ISNUMBER(C2460)),C2460-B2460,"")</f>
        <v>0</v>
      </c>
      <c r="E2460" s="4" t="s">
        <v>531</v>
      </c>
    </row>
    <row r="2461" customFormat="false" ht="15" hidden="false" customHeight="false" outlineLevel="0" collapsed="false">
      <c r="A2461" s="4" t="s">
        <v>2978</v>
      </c>
      <c r="B2461" s="5" t="n">
        <v>0.143</v>
      </c>
      <c r="C2461" s="5" t="n">
        <v>0.143</v>
      </c>
      <c r="D2461" s="5" t="n">
        <f aca="false">IF(AND(ISNUMBER(B2461),ISNUMBER(C2461)),C2461-B2461,"")</f>
        <v>0</v>
      </c>
      <c r="E2461" s="4" t="s">
        <v>531</v>
      </c>
    </row>
    <row r="2462" customFormat="false" ht="15" hidden="false" customHeight="false" outlineLevel="0" collapsed="false">
      <c r="A2462" s="4" t="s">
        <v>2979</v>
      </c>
      <c r="B2462" s="5" t="n">
        <v>0.311</v>
      </c>
      <c r="C2462" s="5" t="n">
        <v>0.311</v>
      </c>
      <c r="D2462" s="5" t="n">
        <f aca="false">IF(AND(ISNUMBER(B2462),ISNUMBER(C2462)),C2462-B2462,"")</f>
        <v>0</v>
      </c>
      <c r="E2462" s="4" t="s">
        <v>531</v>
      </c>
    </row>
    <row r="2463" customFormat="false" ht="15" hidden="false" customHeight="false" outlineLevel="0" collapsed="false">
      <c r="A2463" s="4" t="s">
        <v>2980</v>
      </c>
      <c r="B2463" s="5" t="n">
        <v>0.943</v>
      </c>
      <c r="C2463" s="5" t="n">
        <v>0.949</v>
      </c>
      <c r="D2463" s="5" t="n">
        <f aca="false">IF(AND(ISNUMBER(B2463),ISNUMBER(C2463)),C2463-B2463,"")</f>
        <v>0.00600000000000001</v>
      </c>
      <c r="E2463" s="4" t="s">
        <v>2252</v>
      </c>
    </row>
    <row r="2464" customFormat="false" ht="15" hidden="false" customHeight="false" outlineLevel="0" collapsed="false">
      <c r="A2464" s="4" t="s">
        <v>2981</v>
      </c>
      <c r="B2464" s="5" t="n">
        <v>210</v>
      </c>
      <c r="C2464" s="5" t="n">
        <v>210</v>
      </c>
      <c r="D2464" s="5" t="n">
        <f aca="false">IF(AND(ISNUMBER(B2464),ISNUMBER(C2464)),C2464-B2464,"")</f>
        <v>0</v>
      </c>
      <c r="E2464" s="4" t="s">
        <v>531</v>
      </c>
    </row>
    <row r="2465" customFormat="false" ht="15" hidden="false" customHeight="false" outlineLevel="0" collapsed="false">
      <c r="A2465" s="4" t="s">
        <v>2982</v>
      </c>
      <c r="B2465" s="5" t="n">
        <v>0.403</v>
      </c>
      <c r="C2465" s="5" t="n">
        <v>0.403</v>
      </c>
      <c r="D2465" s="5" t="n">
        <f aca="false">IF(AND(ISNUMBER(B2465),ISNUMBER(C2465)),C2465-B2465,"")</f>
        <v>0</v>
      </c>
      <c r="E2465" s="4" t="s">
        <v>531</v>
      </c>
    </row>
    <row r="2466" customFormat="false" ht="15" hidden="false" customHeight="false" outlineLevel="0" collapsed="false">
      <c r="A2466" s="4" t="s">
        <v>2983</v>
      </c>
      <c r="B2466" s="5" t="n">
        <v>0.109</v>
      </c>
      <c r="C2466" s="5" t="n">
        <v>0.109</v>
      </c>
      <c r="D2466" s="5" t="n">
        <f aca="false">IF(AND(ISNUMBER(B2466),ISNUMBER(C2466)),C2466-B2466,"")</f>
        <v>0</v>
      </c>
      <c r="E2466" s="4" t="s">
        <v>531</v>
      </c>
    </row>
    <row r="2467" customFormat="false" ht="15" hidden="false" customHeight="false" outlineLevel="0" collapsed="false">
      <c r="A2467" s="4" t="s">
        <v>2984</v>
      </c>
      <c r="B2467" s="5" t="n">
        <v>0.152</v>
      </c>
      <c r="C2467" s="5" t="n">
        <v>0.152</v>
      </c>
      <c r="D2467" s="5" t="n">
        <f aca="false">IF(AND(ISNUMBER(B2467),ISNUMBER(C2467)),C2467-B2467,"")</f>
        <v>0</v>
      </c>
      <c r="E2467" s="4" t="s">
        <v>531</v>
      </c>
    </row>
    <row r="2468" customFormat="false" ht="15" hidden="false" customHeight="false" outlineLevel="0" collapsed="false">
      <c r="A2468" s="4" t="s">
        <v>2985</v>
      </c>
      <c r="B2468" s="5" t="n">
        <v>0.152</v>
      </c>
      <c r="C2468" s="5" t="n">
        <v>0.152</v>
      </c>
      <c r="D2468" s="5" t="n">
        <f aca="false">IF(AND(ISNUMBER(B2468),ISNUMBER(C2468)),C2468-B2468,"")</f>
        <v>0</v>
      </c>
      <c r="E2468" s="4" t="s">
        <v>531</v>
      </c>
    </row>
    <row r="2469" customFormat="false" ht="15" hidden="false" customHeight="false" outlineLevel="0" collapsed="false">
      <c r="A2469" s="4" t="s">
        <v>2986</v>
      </c>
      <c r="B2469" s="5" t="n">
        <v>0.471</v>
      </c>
      <c r="C2469" s="5" t="n">
        <v>0.471</v>
      </c>
      <c r="D2469" s="5" t="n">
        <f aca="false">IF(AND(ISNUMBER(B2469),ISNUMBER(C2469)),C2469-B2469,"")</f>
        <v>0</v>
      </c>
      <c r="E2469" s="4" t="s">
        <v>531</v>
      </c>
    </row>
    <row r="2470" customFormat="false" ht="15" hidden="false" customHeight="false" outlineLevel="0" collapsed="false">
      <c r="A2470" s="4" t="s">
        <v>2987</v>
      </c>
      <c r="B2470" s="5" t="n">
        <v>0.947</v>
      </c>
      <c r="C2470" s="5" t="n">
        <v>0.949</v>
      </c>
      <c r="D2470" s="5" t="n">
        <f aca="false">IF(AND(ISNUMBER(B2470),ISNUMBER(C2470)),C2470-B2470,"")</f>
        <v>0.002</v>
      </c>
      <c r="E2470" s="4" t="s">
        <v>2252</v>
      </c>
    </row>
    <row r="2471" customFormat="false" ht="15" hidden="false" customHeight="false" outlineLevel="0" collapsed="false">
      <c r="A2471" s="4" t="s">
        <v>2988</v>
      </c>
      <c r="B2471" s="5" t="n">
        <v>210</v>
      </c>
      <c r="C2471" s="5" t="n">
        <v>210</v>
      </c>
      <c r="D2471" s="5" t="n">
        <f aca="false">IF(AND(ISNUMBER(B2471),ISNUMBER(C2471)),C2471-B2471,"")</f>
        <v>0</v>
      </c>
      <c r="E2471" s="4" t="s">
        <v>531</v>
      </c>
    </row>
    <row r="2472" customFormat="false" ht="15" hidden="false" customHeight="false" outlineLevel="0" collapsed="false">
      <c r="A2472" s="4" t="s">
        <v>2989</v>
      </c>
      <c r="B2472" s="5" t="n">
        <v>0.426</v>
      </c>
      <c r="C2472" s="5" t="n">
        <v>0.426</v>
      </c>
      <c r="D2472" s="5" t="n">
        <f aca="false">IF(AND(ISNUMBER(B2472),ISNUMBER(C2472)),C2472-B2472,"")</f>
        <v>0</v>
      </c>
      <c r="E2472" s="4" t="s">
        <v>531</v>
      </c>
    </row>
    <row r="2473" customFormat="false" ht="15" hidden="false" customHeight="false" outlineLevel="0" collapsed="false">
      <c r="A2473" s="4" t="s">
        <v>2990</v>
      </c>
      <c r="B2473" s="5" t="n">
        <v>0.557</v>
      </c>
      <c r="C2473" s="5" t="n">
        <v>0.557</v>
      </c>
      <c r="D2473" s="5" t="n">
        <f aca="false">IF(AND(ISNUMBER(B2473),ISNUMBER(C2473)),C2473-B2473,"")</f>
        <v>0</v>
      </c>
      <c r="E2473" s="4" t="s">
        <v>531</v>
      </c>
    </row>
    <row r="2474" customFormat="false" ht="15" hidden="false" customHeight="false" outlineLevel="0" collapsed="false">
      <c r="A2474" s="4" t="s">
        <v>2991</v>
      </c>
      <c r="B2474" s="5" t="n">
        <v>0.179</v>
      </c>
      <c r="C2474" s="5" t="n">
        <v>0.179</v>
      </c>
      <c r="D2474" s="5" t="n">
        <f aca="false">IF(AND(ISNUMBER(B2474),ISNUMBER(C2474)),C2474-B2474,"")</f>
        <v>0</v>
      </c>
      <c r="E2474" s="4" t="s">
        <v>531</v>
      </c>
    </row>
    <row r="2475" customFormat="false" ht="15" hidden="false" customHeight="false" outlineLevel="0" collapsed="false">
      <c r="A2475" s="4" t="s">
        <v>2992</v>
      </c>
      <c r="B2475" s="5" t="n">
        <v>0.177</v>
      </c>
      <c r="C2475" s="5" t="n">
        <v>0.177</v>
      </c>
      <c r="D2475" s="5" t="n">
        <f aca="false">IF(AND(ISNUMBER(B2475),ISNUMBER(C2475)),C2475-B2475,"")</f>
        <v>0</v>
      </c>
      <c r="E2475" s="4" t="s">
        <v>531</v>
      </c>
    </row>
    <row r="2476" customFormat="false" ht="15" hidden="false" customHeight="false" outlineLevel="0" collapsed="false">
      <c r="A2476" s="4" t="s">
        <v>2993</v>
      </c>
      <c r="B2476" s="5" t="n">
        <v>0.002</v>
      </c>
      <c r="C2476" s="5" t="n">
        <v>0.002</v>
      </c>
      <c r="D2476" s="5" t="n">
        <f aca="false">IF(AND(ISNUMBER(B2476),ISNUMBER(C2476)),C2476-B2476,"")</f>
        <v>0</v>
      </c>
      <c r="E2476" s="4" t="s">
        <v>531</v>
      </c>
    </row>
    <row r="2477" customFormat="false" ht="15" hidden="false" customHeight="false" outlineLevel="0" collapsed="false">
      <c r="A2477" s="4" t="s">
        <v>2994</v>
      </c>
      <c r="B2477" s="5" t="n">
        <v>0.056</v>
      </c>
      <c r="C2477" s="5" t="n">
        <v>0.057</v>
      </c>
      <c r="D2477" s="5" t="n">
        <f aca="false">IF(AND(ISNUMBER(B2477),ISNUMBER(C2477)),C2477-B2477,"")</f>
        <v>0.001</v>
      </c>
      <c r="E2477" s="4" t="s">
        <v>2252</v>
      </c>
    </row>
    <row r="2478" customFormat="false" ht="15" hidden="false" customHeight="false" outlineLevel="0" collapsed="false">
      <c r="A2478" s="4" t="s">
        <v>2995</v>
      </c>
      <c r="B2478" s="5" t="n">
        <v>210</v>
      </c>
      <c r="C2478" s="5" t="n">
        <v>210</v>
      </c>
      <c r="D2478" s="5" t="n">
        <f aca="false">IF(AND(ISNUMBER(B2478),ISNUMBER(C2478)),C2478-B2478,"")</f>
        <v>0</v>
      </c>
      <c r="E2478" s="4" t="s">
        <v>531</v>
      </c>
    </row>
    <row r="2479" customFormat="false" ht="15" hidden="false" customHeight="false" outlineLevel="0" collapsed="false">
      <c r="A2479" s="4" t="s">
        <v>2996</v>
      </c>
      <c r="B2479" s="5" t="n">
        <v>0.501</v>
      </c>
      <c r="C2479" s="5" t="n">
        <v>0.501</v>
      </c>
      <c r="D2479" s="5" t="n">
        <f aca="false">IF(AND(ISNUMBER(B2479),ISNUMBER(C2479)),C2479-B2479,"")</f>
        <v>0</v>
      </c>
      <c r="E2479" s="4" t="s">
        <v>531</v>
      </c>
    </row>
    <row r="2480" customFormat="false" ht="15" hidden="false" customHeight="false" outlineLevel="0" collapsed="false">
      <c r="A2480" s="4" t="s">
        <v>2997</v>
      </c>
      <c r="B2480" s="5" t="n">
        <v>0.338</v>
      </c>
      <c r="C2480" s="5" t="n">
        <v>0.338</v>
      </c>
      <c r="D2480" s="5" t="n">
        <f aca="false">IF(AND(ISNUMBER(B2480),ISNUMBER(C2480)),C2480-B2480,"")</f>
        <v>0</v>
      </c>
      <c r="E2480" s="4" t="s">
        <v>531</v>
      </c>
    </row>
    <row r="2481" customFormat="false" ht="15" hidden="false" customHeight="false" outlineLevel="0" collapsed="false">
      <c r="A2481" s="4" t="s">
        <v>2998</v>
      </c>
      <c r="B2481" s="5" t="n">
        <v>0.156</v>
      </c>
      <c r="C2481" s="5" t="n">
        <v>0.156</v>
      </c>
      <c r="D2481" s="5" t="n">
        <f aca="false">IF(AND(ISNUMBER(B2481),ISNUMBER(C2481)),C2481-B2481,"")</f>
        <v>0</v>
      </c>
      <c r="E2481" s="4" t="s">
        <v>531</v>
      </c>
    </row>
    <row r="2482" customFormat="false" ht="15" hidden="false" customHeight="false" outlineLevel="0" collapsed="false">
      <c r="A2482" s="4" t="s">
        <v>2999</v>
      </c>
      <c r="B2482" s="5" t="n">
        <v>0.155</v>
      </c>
      <c r="C2482" s="5" t="n">
        <v>0.155</v>
      </c>
      <c r="D2482" s="5" t="n">
        <f aca="false">IF(AND(ISNUMBER(B2482),ISNUMBER(C2482)),C2482-B2482,"")</f>
        <v>0</v>
      </c>
      <c r="E2482" s="4" t="s">
        <v>531</v>
      </c>
    </row>
    <row r="2483" customFormat="false" ht="15" hidden="false" customHeight="false" outlineLevel="0" collapsed="false">
      <c r="A2483" s="4" t="s">
        <v>3000</v>
      </c>
      <c r="B2483" s="5" t="n">
        <v>0.03</v>
      </c>
      <c r="C2483" s="5" t="n">
        <v>0.03</v>
      </c>
      <c r="D2483" s="5" t="n">
        <f aca="false">IF(AND(ISNUMBER(B2483),ISNUMBER(C2483)),C2483-B2483,"")</f>
        <v>0</v>
      </c>
      <c r="E2483" s="4" t="s">
        <v>531</v>
      </c>
    </row>
    <row r="2484" customFormat="false" ht="15" hidden="false" customHeight="false" outlineLevel="0" collapsed="false">
      <c r="A2484" s="4" t="s">
        <v>3001</v>
      </c>
      <c r="B2484" s="5" t="n">
        <v>0.337</v>
      </c>
      <c r="C2484" s="5" t="n">
        <v>0.312</v>
      </c>
      <c r="D2484" s="5" t="n">
        <f aca="false">IF(AND(ISNUMBER(B2484),ISNUMBER(C2484)),C2484-B2484,"")</f>
        <v>-0.025</v>
      </c>
      <c r="E2484" s="4" t="s">
        <v>2252</v>
      </c>
    </row>
    <row r="2485" customFormat="false" ht="15" hidden="false" customHeight="false" outlineLevel="0" collapsed="false">
      <c r="A2485" s="4" t="s">
        <v>3002</v>
      </c>
      <c r="B2485" s="5" t="n">
        <v>210</v>
      </c>
      <c r="C2485" s="5" t="n">
        <v>210</v>
      </c>
      <c r="D2485" s="5" t="n">
        <f aca="false">IF(AND(ISNUMBER(B2485),ISNUMBER(C2485)),C2485-B2485,"")</f>
        <v>0</v>
      </c>
      <c r="E2485" s="4" t="s">
        <v>531</v>
      </c>
    </row>
    <row r="2486" customFormat="false" ht="15" hidden="false" customHeight="false" outlineLevel="0" collapsed="false">
      <c r="A2486" s="4" t="s">
        <v>3003</v>
      </c>
      <c r="B2486" s="5" t="n">
        <v>0.436</v>
      </c>
      <c r="C2486" s="5" t="n">
        <v>0.436</v>
      </c>
      <c r="D2486" s="5" t="n">
        <f aca="false">IF(AND(ISNUMBER(B2486),ISNUMBER(C2486)),C2486-B2486,"")</f>
        <v>0</v>
      </c>
      <c r="E2486" s="4" t="s">
        <v>531</v>
      </c>
    </row>
    <row r="2487" customFormat="false" ht="15" hidden="false" customHeight="false" outlineLevel="0" collapsed="false">
      <c r="A2487" s="4" t="s">
        <v>3004</v>
      </c>
      <c r="B2487" s="5" t="n">
        <v>0.322</v>
      </c>
      <c r="C2487" s="5" t="n">
        <v>0.322</v>
      </c>
      <c r="D2487" s="5" t="n">
        <f aca="false">IF(AND(ISNUMBER(B2487),ISNUMBER(C2487)),C2487-B2487,"")</f>
        <v>0</v>
      </c>
      <c r="E2487" s="4" t="s">
        <v>531</v>
      </c>
    </row>
    <row r="2488" customFormat="false" ht="15" hidden="false" customHeight="false" outlineLevel="0" collapsed="false">
      <c r="A2488" s="4" t="s">
        <v>3005</v>
      </c>
      <c r="B2488" s="5" t="n">
        <v>0.171</v>
      </c>
      <c r="C2488" s="5" t="n">
        <v>0.171</v>
      </c>
      <c r="D2488" s="5" t="n">
        <f aca="false">IF(AND(ISNUMBER(B2488),ISNUMBER(C2488)),C2488-B2488,"")</f>
        <v>0</v>
      </c>
      <c r="E2488" s="4" t="s">
        <v>531</v>
      </c>
    </row>
    <row r="2489" customFormat="false" ht="15" hidden="false" customHeight="false" outlineLevel="0" collapsed="false">
      <c r="A2489" s="4" t="s">
        <v>3006</v>
      </c>
      <c r="B2489" s="5" t="n">
        <v>0.17</v>
      </c>
      <c r="C2489" s="5" t="n">
        <v>0.17</v>
      </c>
      <c r="D2489" s="5" t="n">
        <f aca="false">IF(AND(ISNUMBER(B2489),ISNUMBER(C2489)),C2489-B2489,"")</f>
        <v>0</v>
      </c>
      <c r="E2489" s="4" t="s">
        <v>531</v>
      </c>
    </row>
    <row r="2490" customFormat="false" ht="15" hidden="false" customHeight="false" outlineLevel="0" collapsed="false">
      <c r="A2490" s="4" t="s">
        <v>3007</v>
      </c>
      <c r="B2490" s="5" t="n">
        <v>0.06</v>
      </c>
      <c r="C2490" s="5" t="n">
        <v>0.06</v>
      </c>
      <c r="D2490" s="5" t="n">
        <f aca="false">IF(AND(ISNUMBER(B2490),ISNUMBER(C2490)),C2490-B2490,"")</f>
        <v>0</v>
      </c>
      <c r="E2490" s="4" t="s">
        <v>531</v>
      </c>
    </row>
    <row r="2491" customFormat="false" ht="15" hidden="false" customHeight="false" outlineLevel="0" collapsed="false">
      <c r="A2491" s="4" t="s">
        <v>3008</v>
      </c>
      <c r="B2491" s="5" t="n">
        <v>0.432</v>
      </c>
      <c r="C2491" s="5" t="n">
        <v>0.456</v>
      </c>
      <c r="D2491" s="5" t="n">
        <f aca="false">IF(AND(ISNUMBER(B2491),ISNUMBER(C2491)),C2491-B2491,"")</f>
        <v>0.024</v>
      </c>
      <c r="E2491" s="4" t="s">
        <v>2252</v>
      </c>
    </row>
    <row r="2492" customFormat="false" ht="15" hidden="false" customHeight="false" outlineLevel="0" collapsed="false">
      <c r="A2492" s="4" t="s">
        <v>3009</v>
      </c>
      <c r="B2492" s="5" t="n">
        <v>210</v>
      </c>
      <c r="C2492" s="5" t="n">
        <v>210</v>
      </c>
      <c r="D2492" s="5" t="n">
        <f aca="false">IF(AND(ISNUMBER(B2492),ISNUMBER(C2492)),C2492-B2492,"")</f>
        <v>0</v>
      </c>
      <c r="E2492" s="4" t="s">
        <v>531</v>
      </c>
    </row>
    <row r="2493" customFormat="false" ht="15" hidden="false" customHeight="false" outlineLevel="0" collapsed="false">
      <c r="A2493" s="4" t="s">
        <v>3010</v>
      </c>
      <c r="B2493" s="5" t="n">
        <v>0.479</v>
      </c>
      <c r="C2493" s="5" t="n">
        <v>0.479</v>
      </c>
      <c r="D2493" s="5" t="n">
        <f aca="false">IF(AND(ISNUMBER(B2493),ISNUMBER(C2493)),C2493-B2493,"")</f>
        <v>0</v>
      </c>
      <c r="E2493" s="4" t="s">
        <v>531</v>
      </c>
    </row>
    <row r="2494" customFormat="false" ht="15" hidden="false" customHeight="false" outlineLevel="0" collapsed="false">
      <c r="A2494" s="4" t="s">
        <v>3011</v>
      </c>
      <c r="B2494" s="5" t="n">
        <v>0.37</v>
      </c>
      <c r="C2494" s="5" t="n">
        <v>0.37</v>
      </c>
      <c r="D2494" s="5" t="n">
        <f aca="false">IF(AND(ISNUMBER(B2494),ISNUMBER(C2494)),C2494-B2494,"")</f>
        <v>0</v>
      </c>
      <c r="E2494" s="4" t="s">
        <v>531</v>
      </c>
    </row>
    <row r="2495" customFormat="false" ht="15" hidden="false" customHeight="false" outlineLevel="0" collapsed="false">
      <c r="A2495" s="4" t="s">
        <v>3012</v>
      </c>
      <c r="B2495" s="5" t="n">
        <v>0.168</v>
      </c>
      <c r="C2495" s="5" t="n">
        <v>0.168</v>
      </c>
      <c r="D2495" s="5" t="n">
        <f aca="false">IF(AND(ISNUMBER(B2495),ISNUMBER(C2495)),C2495-B2495,"")</f>
        <v>0</v>
      </c>
      <c r="E2495" s="4" t="s">
        <v>531</v>
      </c>
    </row>
    <row r="2496" customFormat="false" ht="15" hidden="false" customHeight="false" outlineLevel="0" collapsed="false">
      <c r="A2496" s="4" t="s">
        <v>3013</v>
      </c>
      <c r="B2496" s="5" t="n">
        <v>0.172</v>
      </c>
      <c r="C2496" s="5" t="n">
        <v>0.172</v>
      </c>
      <c r="D2496" s="5" t="n">
        <f aca="false">IF(AND(ISNUMBER(B2496),ISNUMBER(C2496)),C2496-B2496,"")</f>
        <v>0</v>
      </c>
      <c r="E2496" s="4" t="s">
        <v>531</v>
      </c>
    </row>
    <row r="2497" customFormat="false" ht="15" hidden="false" customHeight="false" outlineLevel="0" collapsed="false">
      <c r="A2497" s="4" t="s">
        <v>3014</v>
      </c>
      <c r="B2497" s="5" t="n">
        <v>0.028</v>
      </c>
      <c r="C2497" s="5" t="n">
        <v>0.028</v>
      </c>
      <c r="D2497" s="5" t="n">
        <f aca="false">IF(AND(ISNUMBER(B2497),ISNUMBER(C2497)),C2497-B2497,"")</f>
        <v>0</v>
      </c>
      <c r="E2497" s="4" t="s">
        <v>531</v>
      </c>
    </row>
    <row r="2498" customFormat="false" ht="15" hidden="false" customHeight="false" outlineLevel="0" collapsed="false">
      <c r="A2498" s="4" t="s">
        <v>3015</v>
      </c>
      <c r="B2498" s="5" t="n">
        <v>0.337</v>
      </c>
      <c r="C2498" s="5" t="n">
        <v>0.32</v>
      </c>
      <c r="D2498" s="5" t="n">
        <f aca="false">IF(AND(ISNUMBER(B2498),ISNUMBER(C2498)),C2498-B2498,"")</f>
        <v>-0.017</v>
      </c>
      <c r="E2498" s="4" t="s">
        <v>2252</v>
      </c>
    </row>
    <row r="2499" customFormat="false" ht="15" hidden="false" customHeight="false" outlineLevel="0" collapsed="false">
      <c r="A2499" s="4" t="s">
        <v>3016</v>
      </c>
      <c r="B2499" s="5" t="n">
        <v>210</v>
      </c>
      <c r="C2499" s="5" t="n">
        <v>210</v>
      </c>
      <c r="D2499" s="5" t="n">
        <f aca="false">IF(AND(ISNUMBER(B2499),ISNUMBER(C2499)),C2499-B2499,"")</f>
        <v>0</v>
      </c>
      <c r="E2499" s="4" t="s">
        <v>531</v>
      </c>
    </row>
    <row r="2500" customFormat="false" ht="15" hidden="false" customHeight="false" outlineLevel="0" collapsed="false">
      <c r="A2500" s="4" t="s">
        <v>3017</v>
      </c>
      <c r="B2500" s="5" t="n">
        <v>0.471</v>
      </c>
      <c r="C2500" s="5" t="n">
        <v>0.471</v>
      </c>
      <c r="D2500" s="5" t="n">
        <f aca="false">IF(AND(ISNUMBER(B2500),ISNUMBER(C2500)),C2500-B2500,"")</f>
        <v>0</v>
      </c>
      <c r="E2500" s="4" t="s">
        <v>531</v>
      </c>
    </row>
    <row r="2501" customFormat="false" ht="15" hidden="false" customHeight="false" outlineLevel="0" collapsed="false">
      <c r="A2501" s="4" t="s">
        <v>3018</v>
      </c>
      <c r="B2501" s="5" t="n">
        <v>0.172</v>
      </c>
      <c r="C2501" s="5" t="n">
        <v>0.172</v>
      </c>
      <c r="D2501" s="5" t="n">
        <f aca="false">IF(AND(ISNUMBER(B2501),ISNUMBER(C2501)),C2501-B2501,"")</f>
        <v>0</v>
      </c>
      <c r="E2501" s="4" t="s">
        <v>531</v>
      </c>
    </row>
    <row r="2502" customFormat="false" ht="15" hidden="false" customHeight="false" outlineLevel="0" collapsed="false">
      <c r="A2502" s="4" t="s">
        <v>3019</v>
      </c>
      <c r="B2502" s="5" t="n">
        <v>0.174</v>
      </c>
      <c r="C2502" s="5" t="n">
        <v>0.174</v>
      </c>
      <c r="D2502" s="5" t="n">
        <f aca="false">IF(AND(ISNUMBER(B2502),ISNUMBER(C2502)),C2502-B2502,"")</f>
        <v>0</v>
      </c>
      <c r="E2502" s="4" t="s">
        <v>531</v>
      </c>
    </row>
    <row r="2503" customFormat="false" ht="15" hidden="false" customHeight="false" outlineLevel="0" collapsed="false">
      <c r="A2503" s="4" t="s">
        <v>3020</v>
      </c>
      <c r="B2503" s="5" t="n">
        <v>0.172</v>
      </c>
      <c r="C2503" s="5" t="n">
        <v>0.172</v>
      </c>
      <c r="D2503" s="5" t="n">
        <f aca="false">IF(AND(ISNUMBER(B2503),ISNUMBER(C2503)),C2503-B2503,"")</f>
        <v>0</v>
      </c>
      <c r="E2503" s="4" t="s">
        <v>531</v>
      </c>
    </row>
    <row r="2504" customFormat="false" ht="15" hidden="false" customHeight="false" outlineLevel="0" collapsed="false">
      <c r="A2504" s="4" t="s">
        <v>3021</v>
      </c>
      <c r="B2504" s="5" t="n">
        <v>0.322</v>
      </c>
      <c r="C2504" s="5" t="n">
        <v>0.322</v>
      </c>
      <c r="D2504" s="5" t="n">
        <f aca="false">IF(AND(ISNUMBER(B2504),ISNUMBER(C2504)),C2504-B2504,"")</f>
        <v>0</v>
      </c>
      <c r="E2504" s="4" t="s">
        <v>531</v>
      </c>
    </row>
    <row r="2505" customFormat="false" ht="15" hidden="false" customHeight="false" outlineLevel="0" collapsed="false">
      <c r="A2505" s="4" t="s">
        <v>3022</v>
      </c>
      <c r="B2505" s="5" t="n">
        <v>0.943</v>
      </c>
      <c r="C2505" s="5" t="n">
        <v>0.949</v>
      </c>
      <c r="D2505" s="5" t="n">
        <f aca="false">IF(AND(ISNUMBER(B2505),ISNUMBER(C2505)),C2505-B2505,"")</f>
        <v>0.00600000000000001</v>
      </c>
      <c r="E2505" s="4" t="s">
        <v>2252</v>
      </c>
    </row>
    <row r="2506" customFormat="false" ht="15" hidden="false" customHeight="false" outlineLevel="0" collapsed="false">
      <c r="A2506" s="4" t="s">
        <v>3023</v>
      </c>
      <c r="B2506" s="5" t="n">
        <v>210</v>
      </c>
      <c r="C2506" s="5" t="n">
        <v>210</v>
      </c>
      <c r="D2506" s="5" t="n">
        <f aca="false">IF(AND(ISNUMBER(B2506),ISNUMBER(C2506)),C2506-B2506,"")</f>
        <v>0</v>
      </c>
      <c r="E2506" s="4" t="s">
        <v>531</v>
      </c>
    </row>
    <row r="2507" customFormat="false" ht="15" hidden="false" customHeight="false" outlineLevel="0" collapsed="false">
      <c r="A2507" s="4" t="s">
        <v>3024</v>
      </c>
      <c r="B2507" s="5" t="n">
        <v>0.486</v>
      </c>
      <c r="C2507" s="5" t="n">
        <v>0.486</v>
      </c>
      <c r="D2507" s="5" t="n">
        <f aca="false">IF(AND(ISNUMBER(B2507),ISNUMBER(C2507)),C2507-B2507,"")</f>
        <v>0</v>
      </c>
      <c r="E2507" s="4" t="s">
        <v>531</v>
      </c>
    </row>
    <row r="2508" customFormat="false" ht="15" hidden="false" customHeight="false" outlineLevel="0" collapsed="false">
      <c r="A2508" s="4" t="s">
        <v>3025</v>
      </c>
      <c r="B2508" s="5" t="n">
        <v>0.116</v>
      </c>
      <c r="C2508" s="5" t="n">
        <v>0.116</v>
      </c>
      <c r="D2508" s="5" t="n">
        <f aca="false">IF(AND(ISNUMBER(B2508),ISNUMBER(C2508)),C2508-B2508,"")</f>
        <v>0</v>
      </c>
      <c r="E2508" s="4" t="s">
        <v>531</v>
      </c>
    </row>
    <row r="2509" customFormat="false" ht="15" hidden="false" customHeight="false" outlineLevel="0" collapsed="false">
      <c r="A2509" s="4" t="s">
        <v>3026</v>
      </c>
      <c r="B2509" s="5" t="n">
        <v>0.142</v>
      </c>
      <c r="C2509" s="5" t="n">
        <v>0.142</v>
      </c>
      <c r="D2509" s="5" t="n">
        <f aca="false">IF(AND(ISNUMBER(B2509),ISNUMBER(C2509)),C2509-B2509,"")</f>
        <v>0</v>
      </c>
      <c r="E2509" s="4" t="s">
        <v>531</v>
      </c>
    </row>
    <row r="2510" customFormat="false" ht="15" hidden="false" customHeight="false" outlineLevel="0" collapsed="false">
      <c r="A2510" s="4" t="s">
        <v>3027</v>
      </c>
      <c r="B2510" s="5" t="n">
        <v>0.139</v>
      </c>
      <c r="C2510" s="5" t="n">
        <v>0.139</v>
      </c>
      <c r="D2510" s="5" t="n">
        <f aca="false">IF(AND(ISNUMBER(B2510),ISNUMBER(C2510)),C2510-B2510,"")</f>
        <v>0</v>
      </c>
      <c r="E2510" s="4" t="s">
        <v>531</v>
      </c>
    </row>
    <row r="2511" customFormat="false" ht="15" hidden="false" customHeight="false" outlineLevel="0" collapsed="false">
      <c r="A2511" s="4" t="s">
        <v>3028</v>
      </c>
      <c r="B2511" s="5" t="n">
        <v>0.412</v>
      </c>
      <c r="C2511" s="5" t="n">
        <v>0.412</v>
      </c>
      <c r="D2511" s="5" t="n">
        <f aca="false">IF(AND(ISNUMBER(B2511),ISNUMBER(C2511)),C2511-B2511,"")</f>
        <v>0</v>
      </c>
      <c r="E2511" s="4" t="s">
        <v>531</v>
      </c>
    </row>
    <row r="2512" customFormat="false" ht="15" hidden="false" customHeight="false" outlineLevel="0" collapsed="false">
      <c r="A2512" s="4" t="s">
        <v>3029</v>
      </c>
      <c r="B2512" s="5" t="n">
        <v>0.947</v>
      </c>
      <c r="C2512" s="5" t="n">
        <v>0.949</v>
      </c>
      <c r="D2512" s="5" t="n">
        <f aca="false">IF(AND(ISNUMBER(B2512),ISNUMBER(C2512)),C2512-B2512,"")</f>
        <v>0.002</v>
      </c>
      <c r="E2512" s="4" t="s">
        <v>2252</v>
      </c>
    </row>
    <row r="2513" customFormat="false" ht="15" hidden="false" customHeight="false" outlineLevel="0" collapsed="false">
      <c r="A2513" s="4" t="s">
        <v>3030</v>
      </c>
      <c r="B2513" s="5" t="n">
        <v>210</v>
      </c>
      <c r="C2513" s="5" t="n">
        <v>210</v>
      </c>
      <c r="D2513" s="5" t="n">
        <f aca="false">IF(AND(ISNUMBER(B2513),ISNUMBER(C2513)),C2513-B2513,"")</f>
        <v>0</v>
      </c>
      <c r="E2513" s="4" t="s">
        <v>531</v>
      </c>
    </row>
    <row r="2514" customFormat="false" ht="15" hidden="false" customHeight="false" outlineLevel="0" collapsed="false">
      <c r="A2514" s="4" t="s">
        <v>3031</v>
      </c>
      <c r="B2514" s="5" t="n">
        <v>0.397</v>
      </c>
      <c r="C2514" s="5" t="n">
        <v>0.397</v>
      </c>
      <c r="D2514" s="5" t="n">
        <f aca="false">IF(AND(ISNUMBER(B2514),ISNUMBER(C2514)),C2514-B2514,"")</f>
        <v>0</v>
      </c>
      <c r="E2514" s="4" t="s">
        <v>531</v>
      </c>
    </row>
    <row r="2515" customFormat="false" ht="15" hidden="false" customHeight="false" outlineLevel="0" collapsed="false">
      <c r="A2515" s="4" t="s">
        <v>3032</v>
      </c>
      <c r="B2515" s="5" t="n">
        <v>-0.026</v>
      </c>
      <c r="C2515" s="5" t="n">
        <v>-0.026</v>
      </c>
      <c r="D2515" s="5" t="n">
        <f aca="false">IF(AND(ISNUMBER(B2515),ISNUMBER(C2515)),C2515-B2515,"")</f>
        <v>0</v>
      </c>
      <c r="E2515" s="4" t="s">
        <v>531</v>
      </c>
    </row>
    <row r="2516" customFormat="false" ht="15" hidden="false" customHeight="false" outlineLevel="0" collapsed="false">
      <c r="A2516" s="4" t="s">
        <v>3033</v>
      </c>
      <c r="B2516" s="5" t="n">
        <v>0.156</v>
      </c>
      <c r="C2516" s="5" t="n">
        <v>0.156</v>
      </c>
      <c r="D2516" s="5" t="n">
        <f aca="false">IF(AND(ISNUMBER(B2516),ISNUMBER(C2516)),C2516-B2516,"")</f>
        <v>0</v>
      </c>
      <c r="E2516" s="4" t="s">
        <v>531</v>
      </c>
    </row>
    <row r="2517" customFormat="false" ht="15" hidden="false" customHeight="false" outlineLevel="0" collapsed="false">
      <c r="A2517" s="4" t="s">
        <v>3034</v>
      </c>
      <c r="B2517" s="5" t="n">
        <v>0.154</v>
      </c>
      <c r="C2517" s="5" t="n">
        <v>0.154</v>
      </c>
      <c r="D2517" s="5" t="n">
        <f aca="false">IF(AND(ISNUMBER(B2517),ISNUMBER(C2517)),C2517-B2517,"")</f>
        <v>0</v>
      </c>
      <c r="E2517" s="4" t="s">
        <v>531</v>
      </c>
    </row>
    <row r="2518" customFormat="false" ht="15" hidden="false" customHeight="false" outlineLevel="0" collapsed="false">
      <c r="A2518" s="4" t="s">
        <v>3035</v>
      </c>
      <c r="B2518" s="5" t="n">
        <v>0.868</v>
      </c>
      <c r="C2518" s="5" t="n">
        <v>0.868</v>
      </c>
      <c r="D2518" s="5" t="n">
        <f aca="false">IF(AND(ISNUMBER(B2518),ISNUMBER(C2518)),C2518-B2518,"")</f>
        <v>0</v>
      </c>
      <c r="E2518" s="4" t="s">
        <v>531</v>
      </c>
    </row>
    <row r="2519" customFormat="false" ht="15" hidden="false" customHeight="false" outlineLevel="0" collapsed="false">
      <c r="A2519" s="4" t="s">
        <v>3036</v>
      </c>
      <c r="B2519" s="5" t="n">
        <v>0.979</v>
      </c>
      <c r="C2519" s="5" t="n">
        <v>0.983</v>
      </c>
      <c r="D2519" s="5" t="n">
        <f aca="false">IF(AND(ISNUMBER(B2519),ISNUMBER(C2519)),C2519-B2519,"")</f>
        <v>0.004</v>
      </c>
      <c r="E2519" s="4" t="s">
        <v>2252</v>
      </c>
    </row>
    <row r="2520" customFormat="false" ht="15" hidden="false" customHeight="false" outlineLevel="0" collapsed="false">
      <c r="A2520" s="4" t="s">
        <v>3037</v>
      </c>
      <c r="B2520" s="5" t="n">
        <v>210</v>
      </c>
      <c r="C2520" s="5" t="n">
        <v>210</v>
      </c>
      <c r="D2520" s="5" t="n">
        <f aca="false">IF(AND(ISNUMBER(B2520),ISNUMBER(C2520)),C2520-B2520,"")</f>
        <v>0</v>
      </c>
      <c r="E2520" s="4" t="s">
        <v>531</v>
      </c>
    </row>
    <row r="2521" customFormat="false" ht="15" hidden="false" customHeight="false" outlineLevel="0" collapsed="false">
      <c r="A2521" s="4" t="s">
        <v>3038</v>
      </c>
      <c r="B2521" s="5" t="n">
        <v>0.437</v>
      </c>
      <c r="C2521" s="5" t="n">
        <v>0.437</v>
      </c>
      <c r="D2521" s="5" t="n">
        <f aca="false">IF(AND(ISNUMBER(B2521),ISNUMBER(C2521)),C2521-B2521,"")</f>
        <v>0</v>
      </c>
      <c r="E2521" s="4" t="s">
        <v>531</v>
      </c>
    </row>
    <row r="2522" customFormat="false" ht="15" hidden="false" customHeight="false" outlineLevel="0" collapsed="false">
      <c r="A2522" s="4" t="s">
        <v>3039</v>
      </c>
      <c r="B2522" s="5" t="n">
        <v>0.645</v>
      </c>
      <c r="C2522" s="5" t="n">
        <v>0.645</v>
      </c>
      <c r="D2522" s="5" t="n">
        <f aca="false">IF(AND(ISNUMBER(B2522),ISNUMBER(C2522)),C2522-B2522,"")</f>
        <v>0</v>
      </c>
      <c r="E2522" s="4" t="s">
        <v>531</v>
      </c>
    </row>
    <row r="2523" customFormat="false" ht="15" hidden="false" customHeight="false" outlineLevel="0" collapsed="false">
      <c r="A2523" s="4" t="s">
        <v>3040</v>
      </c>
      <c r="B2523" s="5" t="n">
        <v>0.245</v>
      </c>
      <c r="C2523" s="5" t="n">
        <v>0.245</v>
      </c>
      <c r="D2523" s="5" t="n">
        <f aca="false">IF(AND(ISNUMBER(B2523),ISNUMBER(C2523)),C2523-B2523,"")</f>
        <v>0</v>
      </c>
      <c r="E2523" s="4" t="s">
        <v>531</v>
      </c>
    </row>
    <row r="2524" customFormat="false" ht="15" hidden="false" customHeight="false" outlineLevel="0" collapsed="false">
      <c r="A2524" s="4" t="s">
        <v>3041</v>
      </c>
      <c r="B2524" s="5" t="n">
        <v>0.244</v>
      </c>
      <c r="C2524" s="5" t="n">
        <v>0.244</v>
      </c>
      <c r="D2524" s="5" t="n">
        <f aca="false">IF(AND(ISNUMBER(B2524),ISNUMBER(C2524)),C2524-B2524,"")</f>
        <v>0</v>
      </c>
      <c r="E2524" s="4" t="s">
        <v>531</v>
      </c>
    </row>
    <row r="2525" customFormat="false" ht="15" hidden="false" customHeight="false" outlineLevel="0" collapsed="false">
      <c r="A2525" s="4" t="s">
        <v>3042</v>
      </c>
      <c r="B2525" s="5" t="n">
        <v>0.008</v>
      </c>
      <c r="C2525" s="5" t="n">
        <v>0.008</v>
      </c>
      <c r="D2525" s="5" t="n">
        <f aca="false">IF(AND(ISNUMBER(B2525),ISNUMBER(C2525)),C2525-B2525,"")</f>
        <v>0</v>
      </c>
      <c r="E2525" s="4" t="s">
        <v>531</v>
      </c>
    </row>
    <row r="2526" customFormat="false" ht="15" hidden="false" customHeight="false" outlineLevel="0" collapsed="false">
      <c r="A2526" s="4" t="s">
        <v>3043</v>
      </c>
      <c r="B2526" s="5" t="n">
        <v>0.162</v>
      </c>
      <c r="C2526" s="5" t="n">
        <v>0.157</v>
      </c>
      <c r="D2526" s="5" t="n">
        <f aca="false">IF(AND(ISNUMBER(B2526),ISNUMBER(C2526)),C2526-B2526,"")</f>
        <v>-0.005</v>
      </c>
      <c r="E2526" s="4" t="s">
        <v>2252</v>
      </c>
    </row>
    <row r="2527" customFormat="false" ht="15" hidden="false" customHeight="false" outlineLevel="0" collapsed="false">
      <c r="A2527" s="4" t="s">
        <v>3044</v>
      </c>
      <c r="B2527" s="5" t="n">
        <v>210</v>
      </c>
      <c r="C2527" s="5" t="n">
        <v>210</v>
      </c>
      <c r="D2527" s="5" t="n">
        <f aca="false">IF(AND(ISNUMBER(B2527),ISNUMBER(C2527)),C2527-B2527,"")</f>
        <v>0</v>
      </c>
      <c r="E2527" s="4" t="s">
        <v>531</v>
      </c>
    </row>
    <row r="2528" customFormat="false" ht="15" hidden="false" customHeight="false" outlineLevel="0" collapsed="false">
      <c r="A2528" s="4" t="s">
        <v>3045</v>
      </c>
      <c r="B2528" s="5" t="n">
        <v>0.685</v>
      </c>
      <c r="C2528" s="5" t="n">
        <v>0.685</v>
      </c>
      <c r="D2528" s="5" t="n">
        <f aca="false">IF(AND(ISNUMBER(B2528),ISNUMBER(C2528)),C2528-B2528,"")</f>
        <v>0</v>
      </c>
      <c r="E2528" s="4" t="s">
        <v>531</v>
      </c>
    </row>
    <row r="2529" customFormat="false" ht="15" hidden="false" customHeight="false" outlineLevel="0" collapsed="false">
      <c r="A2529" s="4" t="s">
        <v>3046</v>
      </c>
      <c r="B2529" s="5" t="n">
        <v>1.265</v>
      </c>
      <c r="C2529" s="5" t="n">
        <v>1.265</v>
      </c>
      <c r="D2529" s="5" t="n">
        <f aca="false">IF(AND(ISNUMBER(B2529),ISNUMBER(C2529)),C2529-B2529,"")</f>
        <v>0</v>
      </c>
      <c r="E2529" s="4" t="s">
        <v>531</v>
      </c>
    </row>
    <row r="2530" customFormat="false" ht="15" hidden="false" customHeight="false" outlineLevel="0" collapsed="false">
      <c r="A2530" s="4" t="s">
        <v>3047</v>
      </c>
      <c r="B2530" s="5" t="n">
        <v>0.331</v>
      </c>
      <c r="C2530" s="5" t="n">
        <v>0.331</v>
      </c>
      <c r="D2530" s="5" t="n">
        <f aca="false">IF(AND(ISNUMBER(B2530),ISNUMBER(C2530)),C2530-B2530,"")</f>
        <v>0</v>
      </c>
      <c r="E2530" s="4" t="s">
        <v>531</v>
      </c>
    </row>
    <row r="2531" customFormat="false" ht="15" hidden="false" customHeight="false" outlineLevel="0" collapsed="false">
      <c r="A2531" s="4" t="s">
        <v>3048</v>
      </c>
      <c r="B2531" s="5" t="n">
        <v>0.333</v>
      </c>
      <c r="C2531" s="5" t="n">
        <v>0.333</v>
      </c>
      <c r="D2531" s="5" t="n">
        <f aca="false">IF(AND(ISNUMBER(B2531),ISNUMBER(C2531)),C2531-B2531,"")</f>
        <v>0</v>
      </c>
      <c r="E2531" s="4" t="s">
        <v>531</v>
      </c>
    </row>
    <row r="2532" customFormat="false" ht="15" hidden="false" customHeight="false" outlineLevel="0" collapsed="false">
      <c r="A2532" s="4" t="s">
        <v>3049</v>
      </c>
      <c r="B2532" s="5" t="n">
        <v>0</v>
      </c>
      <c r="C2532" s="5" t="n">
        <v>0</v>
      </c>
      <c r="D2532" s="5" t="n">
        <f aca="false">IF(AND(ISNUMBER(B2532),ISNUMBER(C2532)),C2532-B2532,"")</f>
        <v>0</v>
      </c>
      <c r="E2532" s="4" t="s">
        <v>531</v>
      </c>
    </row>
    <row r="2533" customFormat="false" ht="15" hidden="false" customHeight="false" outlineLevel="0" collapsed="false">
      <c r="A2533" s="4" t="s">
        <v>3050</v>
      </c>
      <c r="B2533" s="5" t="n">
        <v>0.016</v>
      </c>
      <c r="C2533" s="5" t="n">
        <v>0.011</v>
      </c>
      <c r="D2533" s="5" t="n">
        <f aca="false">IF(AND(ISNUMBER(B2533),ISNUMBER(C2533)),C2533-B2533,"")</f>
        <v>-0.005</v>
      </c>
      <c r="E2533" s="4" t="s">
        <v>2252</v>
      </c>
    </row>
    <row r="2534" customFormat="false" ht="15" hidden="false" customHeight="false" outlineLevel="0" collapsed="false">
      <c r="A2534" s="4" t="s">
        <v>3051</v>
      </c>
      <c r="B2534" s="5" t="n">
        <v>210</v>
      </c>
      <c r="C2534" s="5" t="n">
        <v>210</v>
      </c>
      <c r="D2534" s="5" t="n">
        <f aca="false">IF(AND(ISNUMBER(B2534),ISNUMBER(C2534)),C2534-B2534,"")</f>
        <v>0</v>
      </c>
      <c r="E2534" s="4" t="s">
        <v>531</v>
      </c>
    </row>
    <row r="2535" customFormat="false" ht="15" hidden="false" customHeight="false" outlineLevel="0" collapsed="false">
      <c r="A2535" s="4" t="s">
        <v>3052</v>
      </c>
      <c r="B2535" s="5" t="n">
        <v>0.928</v>
      </c>
      <c r="C2535" s="5" t="n">
        <v>0.928</v>
      </c>
      <c r="D2535" s="5" t="n">
        <f aca="false">IF(AND(ISNUMBER(B2535),ISNUMBER(C2535)),C2535-B2535,"")</f>
        <v>0</v>
      </c>
      <c r="E2535" s="4" t="s">
        <v>531</v>
      </c>
    </row>
    <row r="2536" customFormat="false" ht="15" hidden="false" customHeight="false" outlineLevel="0" collapsed="false">
      <c r="A2536" s="4" t="s">
        <v>3053</v>
      </c>
      <c r="B2536" s="5" t="n">
        <v>0.577</v>
      </c>
      <c r="C2536" s="5" t="n">
        <v>0.577</v>
      </c>
      <c r="D2536" s="5" t="n">
        <f aca="false">IF(AND(ISNUMBER(B2536),ISNUMBER(C2536)),C2536-B2536,"")</f>
        <v>0</v>
      </c>
      <c r="E2536" s="4" t="s">
        <v>531</v>
      </c>
    </row>
    <row r="2537" customFormat="false" ht="15" hidden="false" customHeight="false" outlineLevel="0" collapsed="false">
      <c r="A2537" s="4" t="s">
        <v>3054</v>
      </c>
      <c r="B2537" s="5" t="n">
        <v>0.284</v>
      </c>
      <c r="C2537" s="5" t="n">
        <v>0.284</v>
      </c>
      <c r="D2537" s="5" t="n">
        <f aca="false">IF(AND(ISNUMBER(B2537),ISNUMBER(C2537)),C2537-B2537,"")</f>
        <v>0</v>
      </c>
      <c r="E2537" s="4" t="s">
        <v>531</v>
      </c>
    </row>
    <row r="2538" customFormat="false" ht="15" hidden="false" customHeight="false" outlineLevel="0" collapsed="false">
      <c r="A2538" s="4" t="s">
        <v>3055</v>
      </c>
      <c r="B2538" s="5" t="n">
        <v>0.286</v>
      </c>
      <c r="C2538" s="5" t="n">
        <v>0.286</v>
      </c>
      <c r="D2538" s="5" t="n">
        <f aca="false">IF(AND(ISNUMBER(B2538),ISNUMBER(C2538)),C2538-B2538,"")</f>
        <v>0</v>
      </c>
      <c r="E2538" s="4" t="s">
        <v>531</v>
      </c>
    </row>
    <row r="2539" customFormat="false" ht="15" hidden="false" customHeight="false" outlineLevel="0" collapsed="false">
      <c r="A2539" s="4" t="s">
        <v>3056</v>
      </c>
      <c r="B2539" s="5" t="n">
        <v>0.042</v>
      </c>
      <c r="C2539" s="5" t="n">
        <v>0.042</v>
      </c>
      <c r="D2539" s="5" t="n">
        <f aca="false">IF(AND(ISNUMBER(B2539),ISNUMBER(C2539)),C2539-B2539,"")</f>
        <v>0</v>
      </c>
      <c r="E2539" s="4" t="s">
        <v>531</v>
      </c>
    </row>
    <row r="2540" customFormat="false" ht="15" hidden="false" customHeight="false" outlineLevel="0" collapsed="false">
      <c r="A2540" s="4" t="s">
        <v>3057</v>
      </c>
      <c r="B2540" s="5" t="n">
        <v>0.38</v>
      </c>
      <c r="C2540" s="5" t="n">
        <v>0.38</v>
      </c>
      <c r="D2540" s="5" t="n">
        <f aca="false">IF(AND(ISNUMBER(B2540),ISNUMBER(C2540)),C2540-B2540,"")</f>
        <v>0</v>
      </c>
      <c r="E2540" s="4" t="s">
        <v>531</v>
      </c>
    </row>
    <row r="2541" customFormat="false" ht="15" hidden="false" customHeight="false" outlineLevel="0" collapsed="false">
      <c r="A2541" s="4" t="s">
        <v>3058</v>
      </c>
      <c r="B2541" s="5" t="n">
        <v>210</v>
      </c>
      <c r="C2541" s="5" t="n">
        <v>210</v>
      </c>
      <c r="D2541" s="5" t="n">
        <f aca="false">IF(AND(ISNUMBER(B2541),ISNUMBER(C2541)),C2541-B2541,"")</f>
        <v>0</v>
      </c>
      <c r="E2541" s="4" t="s">
        <v>531</v>
      </c>
    </row>
    <row r="2542" customFormat="false" ht="15" hidden="false" customHeight="false" outlineLevel="0" collapsed="false">
      <c r="A2542" s="4" t="s">
        <v>3059</v>
      </c>
      <c r="B2542" s="5" t="n">
        <v>0.795</v>
      </c>
      <c r="C2542" s="5" t="n">
        <v>0.795</v>
      </c>
      <c r="D2542" s="5" t="n">
        <f aca="false">IF(AND(ISNUMBER(B2542),ISNUMBER(C2542)),C2542-B2542,"")</f>
        <v>0</v>
      </c>
      <c r="E2542" s="4" t="s">
        <v>531</v>
      </c>
    </row>
    <row r="2543" customFormat="false" ht="15" hidden="false" customHeight="false" outlineLevel="0" collapsed="false">
      <c r="A2543" s="4" t="s">
        <v>3060</v>
      </c>
      <c r="B2543" s="5" t="n">
        <v>0.613</v>
      </c>
      <c r="C2543" s="5" t="n">
        <v>0.613</v>
      </c>
      <c r="D2543" s="5" t="n">
        <f aca="false">IF(AND(ISNUMBER(B2543),ISNUMBER(C2543)),C2543-B2543,"")</f>
        <v>0</v>
      </c>
      <c r="E2543" s="4" t="s">
        <v>531</v>
      </c>
    </row>
    <row r="2544" customFormat="false" ht="15" hidden="false" customHeight="false" outlineLevel="0" collapsed="false">
      <c r="A2544" s="4" t="s">
        <v>3061</v>
      </c>
      <c r="B2544" s="5" t="n">
        <v>0.264</v>
      </c>
      <c r="C2544" s="5" t="n">
        <v>0.264</v>
      </c>
      <c r="D2544" s="5" t="n">
        <f aca="false">IF(AND(ISNUMBER(B2544),ISNUMBER(C2544)),C2544-B2544,"")</f>
        <v>0</v>
      </c>
      <c r="E2544" s="4" t="s">
        <v>531</v>
      </c>
    </row>
    <row r="2545" customFormat="false" ht="15" hidden="false" customHeight="false" outlineLevel="0" collapsed="false">
      <c r="A2545" s="4" t="s">
        <v>3062</v>
      </c>
      <c r="B2545" s="5" t="n">
        <v>0.261</v>
      </c>
      <c r="C2545" s="5" t="n">
        <v>0.261</v>
      </c>
      <c r="D2545" s="5" t="n">
        <f aca="false">IF(AND(ISNUMBER(B2545),ISNUMBER(C2545)),C2545-B2545,"")</f>
        <v>0</v>
      </c>
      <c r="E2545" s="4" t="s">
        <v>531</v>
      </c>
    </row>
    <row r="2546" customFormat="false" ht="15" hidden="false" customHeight="false" outlineLevel="0" collapsed="false">
      <c r="A2546" s="4" t="s">
        <v>3063</v>
      </c>
      <c r="B2546" s="5" t="n">
        <v>0.02</v>
      </c>
      <c r="C2546" s="5" t="n">
        <v>0.02</v>
      </c>
      <c r="D2546" s="5" t="n">
        <f aca="false">IF(AND(ISNUMBER(B2546),ISNUMBER(C2546)),C2546-B2546,"")</f>
        <v>0</v>
      </c>
      <c r="E2546" s="4" t="s">
        <v>531</v>
      </c>
    </row>
    <row r="2547" customFormat="false" ht="15" hidden="false" customHeight="false" outlineLevel="0" collapsed="false">
      <c r="A2547" s="4" t="s">
        <v>3064</v>
      </c>
      <c r="B2547" s="5" t="n">
        <v>0.259</v>
      </c>
      <c r="C2547" s="5" t="n">
        <v>0.248</v>
      </c>
      <c r="D2547" s="5" t="n">
        <f aca="false">IF(AND(ISNUMBER(B2547),ISNUMBER(C2547)),C2547-B2547,"")</f>
        <v>-0.011</v>
      </c>
      <c r="E2547" s="4" t="s">
        <v>2252</v>
      </c>
    </row>
    <row r="2548" customFormat="false" ht="15" hidden="false" customHeight="false" outlineLevel="0" collapsed="false">
      <c r="A2548" s="4" t="s">
        <v>3065</v>
      </c>
      <c r="B2548" s="5" t="n">
        <v>210</v>
      </c>
      <c r="C2548" s="5" t="n">
        <v>210</v>
      </c>
      <c r="D2548" s="5" t="n">
        <f aca="false">IF(AND(ISNUMBER(B2548),ISNUMBER(C2548)),C2548-B2548,"")</f>
        <v>0</v>
      </c>
      <c r="E2548" s="4" t="s">
        <v>531</v>
      </c>
    </row>
    <row r="2549" customFormat="false" ht="15" hidden="false" customHeight="false" outlineLevel="0" collapsed="false">
      <c r="A2549" s="4" t="s">
        <v>3066</v>
      </c>
      <c r="B2549" s="5" t="n">
        <v>0.74</v>
      </c>
      <c r="C2549" s="5" t="n">
        <v>0.74</v>
      </c>
      <c r="D2549" s="5" t="n">
        <f aca="false">IF(AND(ISNUMBER(B2549),ISNUMBER(C2549)),C2549-B2549,"")</f>
        <v>0</v>
      </c>
      <c r="E2549" s="4" t="s">
        <v>531</v>
      </c>
    </row>
    <row r="2550" customFormat="false" ht="15" hidden="false" customHeight="false" outlineLevel="0" collapsed="false">
      <c r="A2550" s="4" t="s">
        <v>3067</v>
      </c>
      <c r="B2550" s="5" t="n">
        <v>0.2</v>
      </c>
      <c r="C2550" s="5" t="n">
        <v>0.2</v>
      </c>
      <c r="D2550" s="5" t="n">
        <f aca="false">IF(AND(ISNUMBER(B2550),ISNUMBER(C2550)),C2550-B2550,"")</f>
        <v>0</v>
      </c>
      <c r="E2550" s="4" t="s">
        <v>531</v>
      </c>
    </row>
    <row r="2551" customFormat="false" ht="15" hidden="false" customHeight="false" outlineLevel="0" collapsed="false">
      <c r="A2551" s="4" t="s">
        <v>3068</v>
      </c>
      <c r="B2551" s="5" t="n">
        <v>0.067</v>
      </c>
      <c r="C2551" s="5" t="n">
        <v>0.067</v>
      </c>
      <c r="D2551" s="5" t="n">
        <f aca="false">IF(AND(ISNUMBER(B2551),ISNUMBER(C2551)),C2551-B2551,"")</f>
        <v>0</v>
      </c>
      <c r="E2551" s="4" t="s">
        <v>531</v>
      </c>
    </row>
    <row r="2552" customFormat="false" ht="15" hidden="false" customHeight="false" outlineLevel="0" collapsed="false">
      <c r="A2552" s="4" t="s">
        <v>3069</v>
      </c>
      <c r="B2552" s="5" t="n">
        <v>0.068</v>
      </c>
      <c r="C2552" s="5" t="n">
        <v>0.068</v>
      </c>
      <c r="D2552" s="5" t="n">
        <f aca="false">IF(AND(ISNUMBER(B2552),ISNUMBER(C2552)),C2552-B2552,"")</f>
        <v>0</v>
      </c>
      <c r="E2552" s="4" t="s">
        <v>531</v>
      </c>
    </row>
    <row r="2553" customFormat="false" ht="15" hidden="false" customHeight="false" outlineLevel="0" collapsed="false">
      <c r="A2553" s="4" t="s">
        <v>3070</v>
      </c>
      <c r="B2553" s="5" t="n">
        <v>0.003</v>
      </c>
      <c r="C2553" s="5" t="n">
        <v>0.003</v>
      </c>
      <c r="D2553" s="5" t="n">
        <f aca="false">IF(AND(ISNUMBER(B2553),ISNUMBER(C2553)),C2553-B2553,"")</f>
        <v>0</v>
      </c>
      <c r="E2553" s="4" t="s">
        <v>531</v>
      </c>
    </row>
    <row r="2554" customFormat="false" ht="15" hidden="false" customHeight="false" outlineLevel="0" collapsed="false">
      <c r="A2554" s="4" t="s">
        <v>3071</v>
      </c>
      <c r="B2554" s="5" t="n">
        <v>0.09</v>
      </c>
      <c r="C2554" s="5" t="n">
        <v>0.059</v>
      </c>
      <c r="D2554" s="5" t="n">
        <f aca="false">IF(AND(ISNUMBER(B2554),ISNUMBER(C2554)),C2554-B2554,"")</f>
        <v>-0.031</v>
      </c>
      <c r="E2554" s="4" t="s">
        <v>2252</v>
      </c>
    </row>
    <row r="2555" customFormat="false" ht="15" hidden="false" customHeight="false" outlineLevel="0" collapsed="false">
      <c r="A2555" s="4" t="s">
        <v>3072</v>
      </c>
      <c r="B2555" s="5" t="s">
        <v>216</v>
      </c>
      <c r="C2555" s="5" t="s">
        <v>216</v>
      </c>
      <c r="D2555" s="5" t="str">
        <f aca="false">IF(AND(ISNUMBER(B2555),ISNUMBER(C2555)),C2555-B2555,"")</f>
        <v/>
      </c>
      <c r="E2555" s="4" t="s">
        <v>531</v>
      </c>
    </row>
    <row r="2556" customFormat="false" ht="15" hidden="false" customHeight="false" outlineLevel="0" collapsed="false">
      <c r="A2556" s="4" t="s">
        <v>3073</v>
      </c>
      <c r="B2556" s="5" t="n">
        <v>0.108</v>
      </c>
      <c r="C2556" s="5" t="n">
        <v>0.108</v>
      </c>
      <c r="D2556" s="5" t="n">
        <f aca="false">IF(AND(ISNUMBER(B2556),ISNUMBER(C2556)),C2556-B2556,"")</f>
        <v>0</v>
      </c>
      <c r="E2556" s="4" t="s">
        <v>531</v>
      </c>
    </row>
    <row r="2557" customFormat="false" ht="15" hidden="false" customHeight="false" outlineLevel="0" collapsed="false">
      <c r="A2557" s="4" t="s">
        <v>3074</v>
      </c>
      <c r="B2557" s="5" t="n">
        <v>0.073</v>
      </c>
      <c r="C2557" s="5" t="n">
        <v>0.073</v>
      </c>
      <c r="D2557" s="5" t="n">
        <f aca="false">IF(AND(ISNUMBER(B2557),ISNUMBER(C2557)),C2557-B2557,"")</f>
        <v>0</v>
      </c>
      <c r="E2557" s="4" t="s">
        <v>531</v>
      </c>
    </row>
    <row r="2558" customFormat="false" ht="15" hidden="false" customHeight="false" outlineLevel="0" collapsed="false">
      <c r="A2558" s="4" t="s">
        <v>3075</v>
      </c>
      <c r="B2558" s="5" t="n">
        <v>0.074</v>
      </c>
      <c r="C2558" s="5" t="n">
        <v>0.074</v>
      </c>
      <c r="D2558" s="5" t="n">
        <f aca="false">IF(AND(ISNUMBER(B2558),ISNUMBER(C2558)),C2558-B2558,"")</f>
        <v>0</v>
      </c>
      <c r="E2558" s="4" t="s">
        <v>531</v>
      </c>
    </row>
    <row r="2559" customFormat="false" ht="15" hidden="false" customHeight="false" outlineLevel="0" collapsed="false">
      <c r="A2559" s="4" t="s">
        <v>3076</v>
      </c>
      <c r="B2559" s="5" t="n">
        <v>0.141</v>
      </c>
      <c r="C2559" s="5" t="n">
        <v>0.141</v>
      </c>
      <c r="D2559" s="5" t="n">
        <f aca="false">IF(AND(ISNUMBER(B2559),ISNUMBER(C2559)),C2559-B2559,"")</f>
        <v>0</v>
      </c>
      <c r="E2559" s="4" t="s">
        <v>531</v>
      </c>
    </row>
    <row r="2560" customFormat="false" ht="15" hidden="false" customHeight="false" outlineLevel="0" collapsed="false">
      <c r="A2560" s="4" t="s">
        <v>3077</v>
      </c>
      <c r="B2560" s="5" t="n">
        <v>0.771</v>
      </c>
      <c r="C2560" s="5" t="n">
        <v>0.754</v>
      </c>
      <c r="D2560" s="5" t="n">
        <f aca="false">IF(AND(ISNUMBER(B2560),ISNUMBER(C2560)),C2560-B2560,"")</f>
        <v>-0.017</v>
      </c>
      <c r="E2560" s="4" t="s">
        <v>2252</v>
      </c>
    </row>
    <row r="2561" customFormat="false" ht="15" hidden="false" customHeight="false" outlineLevel="0" collapsed="false">
      <c r="A2561" s="4" t="s">
        <v>3078</v>
      </c>
      <c r="B2561" s="5" t="s">
        <v>216</v>
      </c>
      <c r="C2561" s="5" t="s">
        <v>216</v>
      </c>
      <c r="D2561" s="5" t="str">
        <f aca="false">IF(AND(ISNUMBER(B2561),ISNUMBER(C2561)),C2561-B2561,"")</f>
        <v/>
      </c>
      <c r="E2561" s="4" t="s">
        <v>531</v>
      </c>
    </row>
    <row r="2562" customFormat="false" ht="15" hidden="false" customHeight="false" outlineLevel="0" collapsed="false">
      <c r="A2562" s="4" t="s">
        <v>3079</v>
      </c>
      <c r="B2562" s="5" t="n">
        <v>0.109</v>
      </c>
      <c r="C2562" s="5" t="n">
        <v>0.109</v>
      </c>
      <c r="D2562" s="5" t="n">
        <f aca="false">IF(AND(ISNUMBER(B2562),ISNUMBER(C2562)),C2562-B2562,"")</f>
        <v>0</v>
      </c>
      <c r="E2562" s="4" t="s">
        <v>531</v>
      </c>
    </row>
    <row r="2563" customFormat="false" ht="15" hidden="false" customHeight="false" outlineLevel="0" collapsed="false">
      <c r="A2563" s="4" t="s">
        <v>3080</v>
      </c>
      <c r="B2563" s="5" t="n">
        <v>0.061</v>
      </c>
      <c r="C2563" s="5" t="n">
        <v>0.061</v>
      </c>
      <c r="D2563" s="5" t="n">
        <f aca="false">IF(AND(ISNUMBER(B2563),ISNUMBER(C2563)),C2563-B2563,"")</f>
        <v>0</v>
      </c>
      <c r="E2563" s="4" t="s">
        <v>531</v>
      </c>
    </row>
    <row r="2564" customFormat="false" ht="15" hidden="false" customHeight="false" outlineLevel="0" collapsed="false">
      <c r="A2564" s="4" t="s">
        <v>3081</v>
      </c>
      <c r="B2564" s="5" t="n">
        <v>0.062</v>
      </c>
      <c r="C2564" s="5" t="n">
        <v>0.062</v>
      </c>
      <c r="D2564" s="5" t="n">
        <f aca="false">IF(AND(ISNUMBER(B2564),ISNUMBER(C2564)),C2564-B2564,"")</f>
        <v>0</v>
      </c>
      <c r="E2564" s="4" t="s">
        <v>531</v>
      </c>
    </row>
    <row r="2565" customFormat="false" ht="15" hidden="false" customHeight="false" outlineLevel="0" collapsed="false">
      <c r="A2565" s="4" t="s">
        <v>3082</v>
      </c>
      <c r="B2565" s="5" t="n">
        <v>0.075</v>
      </c>
      <c r="C2565" s="5" t="n">
        <v>0.075</v>
      </c>
      <c r="D2565" s="5" t="n">
        <f aca="false">IF(AND(ISNUMBER(B2565),ISNUMBER(C2565)),C2565-B2565,"")</f>
        <v>0</v>
      </c>
      <c r="E2565" s="4" t="s">
        <v>531</v>
      </c>
    </row>
    <row r="2566" customFormat="false" ht="15" hidden="false" customHeight="false" outlineLevel="0" collapsed="false">
      <c r="A2566" s="4" t="s">
        <v>3083</v>
      </c>
      <c r="B2566" s="5" t="n">
        <v>0.622</v>
      </c>
      <c r="C2566" s="5" t="n">
        <v>0.581</v>
      </c>
      <c r="D2566" s="5" t="n">
        <f aca="false">IF(AND(ISNUMBER(B2566),ISNUMBER(C2566)),C2566-B2566,"")</f>
        <v>-0.041</v>
      </c>
      <c r="E2566" s="4" t="s">
        <v>2252</v>
      </c>
    </row>
    <row r="2567" customFormat="false" ht="15" hidden="false" customHeight="false" outlineLevel="0" collapsed="false">
      <c r="A2567" s="4" t="s">
        <v>3084</v>
      </c>
      <c r="B2567" s="5" t="s">
        <v>216</v>
      </c>
      <c r="C2567" s="5" t="s">
        <v>216</v>
      </c>
      <c r="D2567" s="5" t="str">
        <f aca="false">IF(AND(ISNUMBER(B2567),ISNUMBER(C2567)),C2567-B2567,"")</f>
        <v/>
      </c>
      <c r="E2567" s="4" t="s">
        <v>531</v>
      </c>
    </row>
    <row r="2568" customFormat="false" ht="15" hidden="false" customHeight="false" outlineLevel="0" collapsed="false">
      <c r="A2568" s="4" t="s">
        <v>3085</v>
      </c>
      <c r="B2568" s="5" t="n">
        <v>0.245</v>
      </c>
      <c r="C2568" s="5" t="n">
        <v>0.245</v>
      </c>
      <c r="D2568" s="5" t="n">
        <f aca="false">IF(AND(ISNUMBER(B2568),ISNUMBER(C2568)),C2568-B2568,"")</f>
        <v>0</v>
      </c>
      <c r="E2568" s="4" t="s">
        <v>531</v>
      </c>
    </row>
    <row r="2569" customFormat="false" ht="15" hidden="false" customHeight="false" outlineLevel="0" collapsed="false">
      <c r="A2569" s="4" t="s">
        <v>3086</v>
      </c>
      <c r="B2569" s="5" t="n">
        <v>0.102</v>
      </c>
      <c r="C2569" s="5" t="n">
        <v>0.102</v>
      </c>
      <c r="D2569" s="5" t="n">
        <f aca="false">IF(AND(ISNUMBER(B2569),ISNUMBER(C2569)),C2569-B2569,"")</f>
        <v>0</v>
      </c>
      <c r="E2569" s="4" t="s">
        <v>531</v>
      </c>
    </row>
    <row r="2570" customFormat="false" ht="15" hidden="false" customHeight="false" outlineLevel="0" collapsed="false">
      <c r="A2570" s="4" t="s">
        <v>3087</v>
      </c>
      <c r="B2570" s="5" t="n">
        <v>0.103</v>
      </c>
      <c r="C2570" s="5" t="n">
        <v>0.103</v>
      </c>
      <c r="D2570" s="5" t="n">
        <f aca="false">IF(AND(ISNUMBER(B2570),ISNUMBER(C2570)),C2570-B2570,"")</f>
        <v>0</v>
      </c>
      <c r="E2570" s="4" t="s">
        <v>531</v>
      </c>
    </row>
    <row r="2571" customFormat="false" ht="15" hidden="false" customHeight="false" outlineLevel="0" collapsed="false">
      <c r="A2571" s="4" t="s">
        <v>3088</v>
      </c>
      <c r="B2571" s="5" t="n">
        <v>0.016</v>
      </c>
      <c r="C2571" s="5" t="n">
        <v>0.016</v>
      </c>
      <c r="D2571" s="5" t="n">
        <f aca="false">IF(AND(ISNUMBER(B2571),ISNUMBER(C2571)),C2571-B2571,"")</f>
        <v>0</v>
      </c>
      <c r="E2571" s="4" t="s">
        <v>531</v>
      </c>
    </row>
    <row r="2572" customFormat="false" ht="15" hidden="false" customHeight="false" outlineLevel="0" collapsed="false">
      <c r="A2572" s="4" t="s">
        <v>3089</v>
      </c>
      <c r="B2572" s="5" t="n">
        <v>0.267</v>
      </c>
      <c r="C2572" s="5" t="n">
        <v>0.231</v>
      </c>
      <c r="D2572" s="5" t="n">
        <f aca="false">IF(AND(ISNUMBER(B2572),ISNUMBER(C2572)),C2572-B2572,"")</f>
        <v>-0.036</v>
      </c>
      <c r="E2572" s="4" t="s">
        <v>2252</v>
      </c>
    </row>
    <row r="2573" customFormat="false" ht="15" hidden="false" customHeight="false" outlineLevel="0" collapsed="false">
      <c r="A2573" s="4" t="s">
        <v>3090</v>
      </c>
      <c r="B2573" s="5" t="s">
        <v>216</v>
      </c>
      <c r="C2573" s="5" t="s">
        <v>216</v>
      </c>
      <c r="D2573" s="5" t="str">
        <f aca="false">IF(AND(ISNUMBER(B2573),ISNUMBER(C2573)),C2573-B2573,"")</f>
        <v/>
      </c>
      <c r="E2573" s="4" t="s">
        <v>531</v>
      </c>
    </row>
    <row r="2574" customFormat="false" ht="15" hidden="false" customHeight="false" outlineLevel="0" collapsed="false">
      <c r="A2574" s="4" t="s">
        <v>3091</v>
      </c>
      <c r="B2574" s="5" t="n">
        <v>0.094</v>
      </c>
      <c r="C2574" s="5" t="n">
        <v>0.094</v>
      </c>
      <c r="D2574" s="5" t="n">
        <f aca="false">IF(AND(ISNUMBER(B2574),ISNUMBER(C2574)),C2574-B2574,"")</f>
        <v>0</v>
      </c>
      <c r="E2574" s="4" t="s">
        <v>531</v>
      </c>
    </row>
    <row r="2575" customFormat="false" ht="15" hidden="false" customHeight="false" outlineLevel="0" collapsed="false">
      <c r="A2575" s="4" t="s">
        <v>3092</v>
      </c>
      <c r="B2575" s="5" t="n">
        <v>0.04</v>
      </c>
      <c r="C2575" s="5" t="n">
        <v>0.04</v>
      </c>
      <c r="D2575" s="5" t="n">
        <f aca="false">IF(AND(ISNUMBER(B2575),ISNUMBER(C2575)),C2575-B2575,"")</f>
        <v>0</v>
      </c>
      <c r="E2575" s="4" t="s">
        <v>531</v>
      </c>
    </row>
    <row r="2576" customFormat="false" ht="15" hidden="false" customHeight="false" outlineLevel="0" collapsed="false">
      <c r="A2576" s="4" t="s">
        <v>3093</v>
      </c>
      <c r="B2576" s="5" t="n">
        <v>0.039</v>
      </c>
      <c r="C2576" s="5" t="n">
        <v>0.039</v>
      </c>
      <c r="D2576" s="5" t="n">
        <f aca="false">IF(AND(ISNUMBER(B2576),ISNUMBER(C2576)),C2576-B2576,"")</f>
        <v>0</v>
      </c>
      <c r="E2576" s="4" t="s">
        <v>531</v>
      </c>
    </row>
    <row r="2577" customFormat="false" ht="15" hidden="false" customHeight="false" outlineLevel="0" collapsed="false">
      <c r="A2577" s="4" t="s">
        <v>3094</v>
      </c>
      <c r="B2577" s="5" t="n">
        <v>0.018</v>
      </c>
      <c r="C2577" s="5" t="n">
        <v>0.018</v>
      </c>
      <c r="D2577" s="5" t="n">
        <f aca="false">IF(AND(ISNUMBER(B2577),ISNUMBER(C2577)),C2577-B2577,"")</f>
        <v>0</v>
      </c>
      <c r="E2577" s="4" t="s">
        <v>531</v>
      </c>
    </row>
    <row r="2578" customFormat="false" ht="15" hidden="false" customHeight="false" outlineLevel="0" collapsed="false">
      <c r="A2578" s="4" t="s">
        <v>3095</v>
      </c>
      <c r="B2578" s="5" t="n">
        <v>0.267</v>
      </c>
      <c r="C2578" s="5" t="n">
        <v>0.231</v>
      </c>
      <c r="D2578" s="5" t="n">
        <f aca="false">IF(AND(ISNUMBER(B2578),ISNUMBER(C2578)),C2578-B2578,"")</f>
        <v>-0.036</v>
      </c>
      <c r="E2578" s="4" t="s">
        <v>2252</v>
      </c>
    </row>
    <row r="2579" customFormat="false" ht="15" hidden="false" customHeight="false" outlineLevel="0" collapsed="false">
      <c r="A2579" s="4" t="s">
        <v>3096</v>
      </c>
      <c r="B2579" s="5" t="s">
        <v>216</v>
      </c>
      <c r="C2579" s="5" t="s">
        <v>216</v>
      </c>
      <c r="D2579" s="5" t="str">
        <f aca="false">IF(AND(ISNUMBER(B2579),ISNUMBER(C2579)),C2579-B2579,"")</f>
        <v/>
      </c>
      <c r="E2579" s="4" t="s">
        <v>531</v>
      </c>
    </row>
    <row r="2580" customFormat="false" ht="15" hidden="false" customHeight="false" outlineLevel="0" collapsed="false">
      <c r="A2580" s="4" t="s">
        <v>3097</v>
      </c>
      <c r="B2580" s="5" t="n">
        <v>0.152</v>
      </c>
      <c r="C2580" s="5" t="n">
        <v>0.152</v>
      </c>
      <c r="D2580" s="5" t="n">
        <f aca="false">IF(AND(ISNUMBER(B2580),ISNUMBER(C2580)),C2580-B2580,"")</f>
        <v>0</v>
      </c>
      <c r="E2580" s="4" t="s">
        <v>531</v>
      </c>
    </row>
    <row r="2581" customFormat="false" ht="15" hidden="false" customHeight="false" outlineLevel="0" collapsed="false">
      <c r="A2581" s="4" t="s">
        <v>3098</v>
      </c>
      <c r="B2581" s="5" t="n">
        <v>0.368</v>
      </c>
      <c r="C2581" s="5" t="n">
        <v>0.368</v>
      </c>
      <c r="D2581" s="5" t="n">
        <f aca="false">IF(AND(ISNUMBER(B2581),ISNUMBER(C2581)),C2581-B2581,"")</f>
        <v>0</v>
      </c>
      <c r="E2581" s="4" t="s">
        <v>531</v>
      </c>
    </row>
    <row r="2582" customFormat="false" ht="15" hidden="false" customHeight="false" outlineLevel="0" collapsed="false">
      <c r="A2582" s="4" t="s">
        <v>3099</v>
      </c>
      <c r="B2582" s="5" t="n">
        <v>0.369</v>
      </c>
      <c r="C2582" s="5" t="n">
        <v>0.369</v>
      </c>
      <c r="D2582" s="5" t="n">
        <f aca="false">IF(AND(ISNUMBER(B2582),ISNUMBER(C2582)),C2582-B2582,"")</f>
        <v>0</v>
      </c>
      <c r="E2582" s="4" t="s">
        <v>531</v>
      </c>
    </row>
    <row r="2583" customFormat="false" ht="15" hidden="false" customHeight="false" outlineLevel="0" collapsed="false">
      <c r="A2583" s="4" t="s">
        <v>3100</v>
      </c>
      <c r="B2583" s="5" t="n">
        <v>0.68</v>
      </c>
      <c r="C2583" s="5" t="n">
        <v>0.68</v>
      </c>
      <c r="D2583" s="5" t="n">
        <f aca="false">IF(AND(ISNUMBER(B2583),ISNUMBER(C2583)),C2583-B2583,"")</f>
        <v>0</v>
      </c>
      <c r="E2583" s="4" t="s">
        <v>531</v>
      </c>
    </row>
    <row r="2584" customFormat="false" ht="15" hidden="false" customHeight="false" outlineLevel="0" collapsed="false">
      <c r="A2584" s="4" t="s">
        <v>3101</v>
      </c>
      <c r="B2584" s="5" t="n">
        <v>0.992</v>
      </c>
      <c r="C2584" s="5" t="n">
        <v>0.996</v>
      </c>
      <c r="D2584" s="5" t="n">
        <f aca="false">IF(AND(ISNUMBER(B2584),ISNUMBER(C2584)),C2584-B2584,"")</f>
        <v>0.004</v>
      </c>
      <c r="E2584" s="4" t="s">
        <v>2252</v>
      </c>
    </row>
    <row r="2585" customFormat="false" ht="15" hidden="false" customHeight="false" outlineLevel="0" collapsed="false">
      <c r="A2585" s="4" t="s">
        <v>3102</v>
      </c>
      <c r="B2585" s="5" t="s">
        <v>216</v>
      </c>
      <c r="C2585" s="5" t="s">
        <v>216</v>
      </c>
      <c r="D2585" s="5" t="str">
        <f aca="false">IF(AND(ISNUMBER(B2585),ISNUMBER(C2585)),C2585-B2585,"")</f>
        <v/>
      </c>
      <c r="E2585" s="4" t="s">
        <v>531</v>
      </c>
    </row>
    <row r="2586" customFormat="false" ht="15" hidden="false" customHeight="false" outlineLevel="0" collapsed="false">
      <c r="A2586" s="4" t="s">
        <v>3103</v>
      </c>
      <c r="B2586" s="5" t="n">
        <v>0.095</v>
      </c>
      <c r="C2586" s="5" t="n">
        <v>0.095</v>
      </c>
      <c r="D2586" s="5" t="n">
        <f aca="false">IF(AND(ISNUMBER(B2586),ISNUMBER(C2586)),C2586-B2586,"")</f>
        <v>0</v>
      </c>
      <c r="E2586" s="4" t="s">
        <v>531</v>
      </c>
    </row>
    <row r="2587" customFormat="false" ht="15" hidden="false" customHeight="false" outlineLevel="0" collapsed="false">
      <c r="A2587" s="4" t="s">
        <v>3104</v>
      </c>
      <c r="B2587" s="5" t="n">
        <v>0.064</v>
      </c>
      <c r="C2587" s="5" t="n">
        <v>0.064</v>
      </c>
      <c r="D2587" s="5" t="n">
        <f aca="false">IF(AND(ISNUMBER(B2587),ISNUMBER(C2587)),C2587-B2587,"")</f>
        <v>0</v>
      </c>
      <c r="E2587" s="4" t="s">
        <v>531</v>
      </c>
    </row>
    <row r="2588" customFormat="false" ht="15" hidden="false" customHeight="false" outlineLevel="0" collapsed="false">
      <c r="A2588" s="4" t="s">
        <v>3105</v>
      </c>
      <c r="B2588" s="5" t="n">
        <v>0.064</v>
      </c>
      <c r="C2588" s="5" t="n">
        <v>0.064</v>
      </c>
      <c r="D2588" s="5" t="n">
        <f aca="false">IF(AND(ISNUMBER(B2588),ISNUMBER(C2588)),C2588-B2588,"")</f>
        <v>0</v>
      </c>
      <c r="E2588" s="4" t="s">
        <v>531</v>
      </c>
    </row>
    <row r="2589" customFormat="false" ht="15" hidden="false" customHeight="false" outlineLevel="0" collapsed="false">
      <c r="A2589" s="4" t="s">
        <v>3106</v>
      </c>
      <c r="B2589" s="5" t="n">
        <v>0.139</v>
      </c>
      <c r="C2589" s="5" t="n">
        <v>0.139</v>
      </c>
      <c r="D2589" s="5" t="n">
        <f aca="false">IF(AND(ISNUMBER(B2589),ISNUMBER(C2589)),C2589-B2589,"")</f>
        <v>0</v>
      </c>
      <c r="E2589" s="4" t="s">
        <v>531</v>
      </c>
    </row>
    <row r="2590" customFormat="false" ht="15" hidden="false" customHeight="false" outlineLevel="0" collapsed="false">
      <c r="A2590" s="4" t="s">
        <v>3107</v>
      </c>
      <c r="B2590" s="5" t="n">
        <v>0.771</v>
      </c>
      <c r="C2590" s="5" t="n">
        <v>0.754</v>
      </c>
      <c r="D2590" s="5" t="n">
        <f aca="false">IF(AND(ISNUMBER(B2590),ISNUMBER(C2590)),C2590-B2590,"")</f>
        <v>-0.017</v>
      </c>
      <c r="E2590" s="4" t="s">
        <v>2252</v>
      </c>
    </row>
    <row r="2591" customFormat="false" ht="15" hidden="false" customHeight="false" outlineLevel="0" collapsed="false">
      <c r="A2591" s="4" t="s">
        <v>3108</v>
      </c>
      <c r="B2591" s="5" t="s">
        <v>216</v>
      </c>
      <c r="C2591" s="5" t="s">
        <v>216</v>
      </c>
      <c r="D2591" s="5" t="str">
        <f aca="false">IF(AND(ISNUMBER(B2591),ISNUMBER(C2591)),C2591-B2591,"")</f>
        <v/>
      </c>
      <c r="E2591" s="4" t="s">
        <v>531</v>
      </c>
    </row>
    <row r="2592" customFormat="false" ht="15" hidden="false" customHeight="false" outlineLevel="0" collapsed="false">
      <c r="A2592" s="4" t="s">
        <v>3109</v>
      </c>
      <c r="B2592" s="5" t="n">
        <v>0.13</v>
      </c>
      <c r="C2592" s="5" t="n">
        <v>0.13</v>
      </c>
      <c r="D2592" s="5" t="n">
        <f aca="false">IF(AND(ISNUMBER(B2592),ISNUMBER(C2592)),C2592-B2592,"")</f>
        <v>0</v>
      </c>
      <c r="E2592" s="4" t="s">
        <v>531</v>
      </c>
    </row>
    <row r="2593" customFormat="false" ht="15" hidden="false" customHeight="false" outlineLevel="0" collapsed="false">
      <c r="A2593" s="4" t="s">
        <v>3110</v>
      </c>
      <c r="B2593" s="5" t="n">
        <v>0.062</v>
      </c>
      <c r="C2593" s="5" t="n">
        <v>0.062</v>
      </c>
      <c r="D2593" s="5" t="n">
        <f aca="false">IF(AND(ISNUMBER(B2593),ISNUMBER(C2593)),C2593-B2593,"")</f>
        <v>0</v>
      </c>
      <c r="E2593" s="4" t="s">
        <v>531</v>
      </c>
    </row>
    <row r="2594" customFormat="false" ht="15" hidden="false" customHeight="false" outlineLevel="0" collapsed="false">
      <c r="A2594" s="4" t="s">
        <v>3111</v>
      </c>
      <c r="B2594" s="5" t="n">
        <v>0.061</v>
      </c>
      <c r="C2594" s="5" t="n">
        <v>0.061</v>
      </c>
      <c r="D2594" s="5" t="n">
        <f aca="false">IF(AND(ISNUMBER(B2594),ISNUMBER(C2594)),C2594-B2594,"")</f>
        <v>0</v>
      </c>
      <c r="E2594" s="4" t="s">
        <v>531</v>
      </c>
    </row>
    <row r="2595" customFormat="false" ht="15" hidden="false" customHeight="false" outlineLevel="0" collapsed="false">
      <c r="A2595" s="4" t="s">
        <v>3112</v>
      </c>
      <c r="B2595" s="5" t="n">
        <v>0.038</v>
      </c>
      <c r="C2595" s="5" t="n">
        <v>0.038</v>
      </c>
      <c r="D2595" s="5" t="n">
        <f aca="false">IF(AND(ISNUMBER(B2595),ISNUMBER(C2595)),C2595-B2595,"")</f>
        <v>0</v>
      </c>
      <c r="E2595" s="4" t="s">
        <v>531</v>
      </c>
    </row>
    <row r="2596" customFormat="false" ht="15" hidden="false" customHeight="false" outlineLevel="0" collapsed="false">
      <c r="A2596" s="4" t="s">
        <v>3113</v>
      </c>
      <c r="B2596" s="5" t="n">
        <v>0.38</v>
      </c>
      <c r="C2596" s="5" t="n">
        <v>0.335</v>
      </c>
      <c r="D2596" s="5" t="n">
        <f aca="false">IF(AND(ISNUMBER(B2596),ISNUMBER(C2596)),C2596-B2596,"")</f>
        <v>-0.045</v>
      </c>
      <c r="E2596" s="4" t="s">
        <v>2252</v>
      </c>
    </row>
    <row r="2597" customFormat="false" ht="15" hidden="false" customHeight="false" outlineLevel="0" collapsed="false">
      <c r="A2597" s="4" t="s">
        <v>3114</v>
      </c>
      <c r="B2597" s="5" t="s">
        <v>216</v>
      </c>
      <c r="C2597" s="5" t="s">
        <v>216</v>
      </c>
      <c r="D2597" s="5" t="str">
        <f aca="false">IF(AND(ISNUMBER(B2597),ISNUMBER(C2597)),C2597-B2597,"")</f>
        <v/>
      </c>
      <c r="E2597" s="4" t="s">
        <v>531</v>
      </c>
    </row>
    <row r="2598" customFormat="false" ht="15" hidden="false" customHeight="false" outlineLevel="0" collapsed="false">
      <c r="A2598" s="4" t="s">
        <v>3115</v>
      </c>
      <c r="B2598" s="5" t="n">
        <v>-0.02</v>
      </c>
      <c r="C2598" s="5" t="n">
        <v>-0.02</v>
      </c>
      <c r="D2598" s="5" t="n">
        <f aca="false">IF(AND(ISNUMBER(B2598),ISNUMBER(C2598)),C2598-B2598,"")</f>
        <v>0</v>
      </c>
      <c r="E2598" s="4" t="s">
        <v>531</v>
      </c>
    </row>
    <row r="2599" customFormat="false" ht="15" hidden="false" customHeight="false" outlineLevel="0" collapsed="false">
      <c r="A2599" s="4" t="s">
        <v>3116</v>
      </c>
      <c r="B2599" s="5" t="n">
        <v>0.053</v>
      </c>
      <c r="C2599" s="5" t="n">
        <v>0.053</v>
      </c>
      <c r="D2599" s="5" t="n">
        <f aca="false">IF(AND(ISNUMBER(B2599),ISNUMBER(C2599)),C2599-B2599,"")</f>
        <v>0</v>
      </c>
      <c r="E2599" s="4" t="s">
        <v>531</v>
      </c>
    </row>
    <row r="2600" customFormat="false" ht="15" hidden="false" customHeight="false" outlineLevel="0" collapsed="false">
      <c r="A2600" s="4" t="s">
        <v>3117</v>
      </c>
      <c r="B2600" s="5" t="n">
        <v>0.053</v>
      </c>
      <c r="C2600" s="5" t="n">
        <v>0.053</v>
      </c>
      <c r="D2600" s="5" t="n">
        <f aca="false">IF(AND(ISNUMBER(B2600),ISNUMBER(C2600)),C2600-B2600,"")</f>
        <v>0</v>
      </c>
      <c r="E2600" s="4" t="s">
        <v>531</v>
      </c>
    </row>
    <row r="2601" customFormat="false" ht="15" hidden="false" customHeight="false" outlineLevel="0" collapsed="false">
      <c r="A2601" s="4" t="s">
        <v>3118</v>
      </c>
      <c r="B2601" s="5" t="n">
        <v>0.71</v>
      </c>
      <c r="C2601" s="5" t="n">
        <v>0.71</v>
      </c>
      <c r="D2601" s="5" t="n">
        <f aca="false">IF(AND(ISNUMBER(B2601),ISNUMBER(C2601)),C2601-B2601,"")</f>
        <v>0</v>
      </c>
      <c r="E2601" s="4" t="s">
        <v>531</v>
      </c>
    </row>
    <row r="2602" customFormat="false" ht="15" hidden="false" customHeight="false" outlineLevel="0" collapsed="false">
      <c r="A2602" s="4" t="s">
        <v>3119</v>
      </c>
      <c r="B2602" s="5" t="n">
        <v>0.992</v>
      </c>
      <c r="C2602" s="5" t="n">
        <v>0.996</v>
      </c>
      <c r="D2602" s="5" t="n">
        <f aca="false">IF(AND(ISNUMBER(B2602),ISNUMBER(C2602)),C2602-B2602,"")</f>
        <v>0.004</v>
      </c>
      <c r="E2602" s="4" t="s">
        <v>2252</v>
      </c>
    </row>
    <row r="2603" customFormat="false" ht="15" hidden="false" customHeight="false" outlineLevel="0" collapsed="false">
      <c r="A2603" s="4" t="s">
        <v>3120</v>
      </c>
      <c r="B2603" s="5" t="s">
        <v>216</v>
      </c>
      <c r="C2603" s="5" t="s">
        <v>216</v>
      </c>
      <c r="D2603" s="5" t="str">
        <f aca="false">IF(AND(ISNUMBER(B2603),ISNUMBER(C2603)),C2603-B2603,"")</f>
        <v/>
      </c>
      <c r="E2603" s="4" t="s">
        <v>531</v>
      </c>
    </row>
    <row r="2604" customFormat="false" ht="15" hidden="false" customHeight="false" outlineLevel="0" collapsed="false">
      <c r="A2604" s="4" t="s">
        <v>3121</v>
      </c>
      <c r="B2604" s="5" t="n">
        <v>-0.069</v>
      </c>
      <c r="C2604" s="5" t="n">
        <v>-0.069</v>
      </c>
      <c r="D2604" s="5" t="n">
        <f aca="false">IF(AND(ISNUMBER(B2604),ISNUMBER(C2604)),C2604-B2604,"")</f>
        <v>0</v>
      </c>
      <c r="E2604" s="4" t="s">
        <v>531</v>
      </c>
    </row>
    <row r="2605" customFormat="false" ht="15" hidden="false" customHeight="false" outlineLevel="0" collapsed="false">
      <c r="A2605" s="4" t="s">
        <v>3122</v>
      </c>
      <c r="B2605" s="5" t="n">
        <v>0.054</v>
      </c>
      <c r="C2605" s="5" t="n">
        <v>0.054</v>
      </c>
      <c r="D2605" s="5" t="n">
        <f aca="false">IF(AND(ISNUMBER(B2605),ISNUMBER(C2605)),C2605-B2605,"")</f>
        <v>0</v>
      </c>
      <c r="E2605" s="4" t="s">
        <v>531</v>
      </c>
    </row>
    <row r="2606" customFormat="false" ht="15" hidden="false" customHeight="false" outlineLevel="0" collapsed="false">
      <c r="A2606" s="4" t="s">
        <v>3123</v>
      </c>
      <c r="B2606" s="5" t="n">
        <v>0.054</v>
      </c>
      <c r="C2606" s="5" t="n">
        <v>0.054</v>
      </c>
      <c r="D2606" s="5" t="n">
        <f aca="false">IF(AND(ISNUMBER(B2606),ISNUMBER(C2606)),C2606-B2606,"")</f>
        <v>0</v>
      </c>
      <c r="E2606" s="4" t="s">
        <v>531</v>
      </c>
    </row>
    <row r="2607" customFormat="false" ht="15" hidden="false" customHeight="false" outlineLevel="0" collapsed="false">
      <c r="A2607" s="4" t="s">
        <v>3124</v>
      </c>
      <c r="B2607" s="5" t="n">
        <v>0.208</v>
      </c>
      <c r="C2607" s="5" t="n">
        <v>0.208</v>
      </c>
      <c r="D2607" s="5" t="n">
        <f aca="false">IF(AND(ISNUMBER(B2607),ISNUMBER(C2607)),C2607-B2607,"")</f>
        <v>0</v>
      </c>
      <c r="E2607" s="4" t="s">
        <v>531</v>
      </c>
    </row>
    <row r="2608" customFormat="false" ht="15" hidden="false" customHeight="false" outlineLevel="0" collapsed="false">
      <c r="A2608" s="4" t="s">
        <v>3125</v>
      </c>
      <c r="B2608" s="5" t="n">
        <v>0.801</v>
      </c>
      <c r="C2608" s="5" t="n">
        <v>0.796</v>
      </c>
      <c r="D2608" s="5" t="n">
        <f aca="false">IF(AND(ISNUMBER(B2608),ISNUMBER(C2608)),C2608-B2608,"")</f>
        <v>-0.005</v>
      </c>
      <c r="E2608" s="4" t="s">
        <v>2252</v>
      </c>
    </row>
    <row r="2609" customFormat="false" ht="15" hidden="false" customHeight="false" outlineLevel="0" collapsed="false">
      <c r="A2609" s="4" t="s">
        <v>3126</v>
      </c>
      <c r="B2609" s="5" t="s">
        <v>216</v>
      </c>
      <c r="C2609" s="5" t="s">
        <v>216</v>
      </c>
      <c r="D2609" s="5" t="str">
        <f aca="false">IF(AND(ISNUMBER(B2609),ISNUMBER(C2609)),C2609-B2609,"")</f>
        <v/>
      </c>
      <c r="E2609" s="4" t="s">
        <v>531</v>
      </c>
    </row>
    <row r="2610" customFormat="false" ht="15" hidden="false" customHeight="false" outlineLevel="0" collapsed="false">
      <c r="A2610" s="4" t="s">
        <v>3127</v>
      </c>
      <c r="B2610" s="5" t="n">
        <v>0.075</v>
      </c>
      <c r="C2610" s="5" t="n">
        <v>0.075</v>
      </c>
      <c r="D2610" s="5" t="n">
        <f aca="false">IF(AND(ISNUMBER(B2610),ISNUMBER(C2610)),C2610-B2610,"")</f>
        <v>0</v>
      </c>
      <c r="E2610" s="4" t="s">
        <v>531</v>
      </c>
    </row>
    <row r="2611" customFormat="false" ht="15" hidden="false" customHeight="false" outlineLevel="0" collapsed="false">
      <c r="A2611" s="4" t="s">
        <v>3128</v>
      </c>
      <c r="B2611" s="5" t="n">
        <v>0.073</v>
      </c>
      <c r="C2611" s="5" t="n">
        <v>0.073</v>
      </c>
      <c r="D2611" s="5" t="n">
        <f aca="false">IF(AND(ISNUMBER(B2611),ISNUMBER(C2611)),C2611-B2611,"")</f>
        <v>0</v>
      </c>
      <c r="E2611" s="4" t="s">
        <v>531</v>
      </c>
    </row>
    <row r="2612" customFormat="false" ht="15" hidden="false" customHeight="false" outlineLevel="0" collapsed="false">
      <c r="A2612" s="4" t="s">
        <v>3129</v>
      </c>
      <c r="B2612" s="5" t="n">
        <v>0.073</v>
      </c>
      <c r="C2612" s="5" t="n">
        <v>0.073</v>
      </c>
      <c r="D2612" s="5" t="n">
        <f aca="false">IF(AND(ISNUMBER(B2612),ISNUMBER(C2612)),C2612-B2612,"")</f>
        <v>0</v>
      </c>
      <c r="E2612" s="4" t="s">
        <v>531</v>
      </c>
    </row>
    <row r="2613" customFormat="false" ht="15" hidden="false" customHeight="false" outlineLevel="0" collapsed="false">
      <c r="A2613" s="4" t="s">
        <v>3130</v>
      </c>
      <c r="B2613" s="5" t="n">
        <v>0.304</v>
      </c>
      <c r="C2613" s="5" t="n">
        <v>0.304</v>
      </c>
      <c r="D2613" s="5" t="n">
        <f aca="false">IF(AND(ISNUMBER(B2613),ISNUMBER(C2613)),C2613-B2613,"")</f>
        <v>0</v>
      </c>
      <c r="E2613" s="4" t="s">
        <v>531</v>
      </c>
    </row>
    <row r="2614" customFormat="false" ht="15" hidden="false" customHeight="false" outlineLevel="0" collapsed="false">
      <c r="A2614" s="4" t="s">
        <v>3131</v>
      </c>
      <c r="B2614" s="5" t="n">
        <v>0.879</v>
      </c>
      <c r="C2614" s="5" t="n">
        <v>0.892</v>
      </c>
      <c r="D2614" s="5" t="n">
        <f aca="false">IF(AND(ISNUMBER(B2614),ISNUMBER(C2614)),C2614-B2614,"")</f>
        <v>0.013</v>
      </c>
      <c r="E2614" s="4" t="s">
        <v>2252</v>
      </c>
    </row>
    <row r="2615" customFormat="false" ht="15" hidden="false" customHeight="false" outlineLevel="0" collapsed="false">
      <c r="A2615" s="4" t="s">
        <v>3132</v>
      </c>
      <c r="B2615" s="5" t="s">
        <v>216</v>
      </c>
      <c r="C2615" s="5" t="s">
        <v>216</v>
      </c>
      <c r="D2615" s="5" t="str">
        <f aca="false">IF(AND(ISNUMBER(B2615),ISNUMBER(C2615)),C2615-B2615,"")</f>
        <v/>
      </c>
      <c r="E2615" s="4" t="s">
        <v>531</v>
      </c>
    </row>
    <row r="2616" customFormat="false" ht="15" hidden="false" customHeight="false" outlineLevel="0" collapsed="false">
      <c r="A2616" s="4" t="s">
        <v>3133</v>
      </c>
      <c r="B2616" s="5" t="n">
        <v>-0.003</v>
      </c>
      <c r="C2616" s="5" t="n">
        <v>-0.003</v>
      </c>
      <c r="D2616" s="5" t="n">
        <f aca="false">IF(AND(ISNUMBER(B2616),ISNUMBER(C2616)),C2616-B2616,"")</f>
        <v>0</v>
      </c>
      <c r="E2616" s="4" t="s">
        <v>531</v>
      </c>
    </row>
    <row r="2617" customFormat="false" ht="15" hidden="false" customHeight="false" outlineLevel="0" collapsed="false">
      <c r="A2617" s="4" t="s">
        <v>3134</v>
      </c>
      <c r="B2617" s="5" t="n">
        <v>0.064</v>
      </c>
      <c r="C2617" s="5" t="n">
        <v>0.064</v>
      </c>
      <c r="D2617" s="5" t="n">
        <f aca="false">IF(AND(ISNUMBER(B2617),ISNUMBER(C2617)),C2617-B2617,"")</f>
        <v>0</v>
      </c>
      <c r="E2617" s="4" t="s">
        <v>531</v>
      </c>
    </row>
    <row r="2618" customFormat="false" ht="15" hidden="false" customHeight="false" outlineLevel="0" collapsed="false">
      <c r="A2618" s="4" t="s">
        <v>3135</v>
      </c>
      <c r="B2618" s="5" t="n">
        <v>0.065</v>
      </c>
      <c r="C2618" s="5" t="n">
        <v>0.065</v>
      </c>
      <c r="D2618" s="5" t="n">
        <f aca="false">IF(AND(ISNUMBER(B2618),ISNUMBER(C2618)),C2618-B2618,"")</f>
        <v>0</v>
      </c>
      <c r="E2618" s="4" t="s">
        <v>531</v>
      </c>
    </row>
    <row r="2619" customFormat="false" ht="15" hidden="false" customHeight="false" outlineLevel="0" collapsed="false">
      <c r="A2619" s="4" t="s">
        <v>3136</v>
      </c>
      <c r="B2619" s="5" t="n">
        <v>0.957</v>
      </c>
      <c r="C2619" s="5" t="n">
        <v>0.957</v>
      </c>
      <c r="D2619" s="5" t="n">
        <f aca="false">IF(AND(ISNUMBER(B2619),ISNUMBER(C2619)),C2619-B2619,"")</f>
        <v>0</v>
      </c>
      <c r="E2619" s="4" t="s">
        <v>531</v>
      </c>
    </row>
    <row r="2620" customFormat="false" ht="15" hidden="false" customHeight="false" outlineLevel="0" collapsed="false">
      <c r="A2620" s="4" t="s">
        <v>3137</v>
      </c>
      <c r="B2620" s="5" t="n">
        <v>0.992</v>
      </c>
      <c r="C2620" s="5" t="n">
        <v>0.996</v>
      </c>
      <c r="D2620" s="5" t="n">
        <f aca="false">IF(AND(ISNUMBER(B2620),ISNUMBER(C2620)),C2620-B2620,"")</f>
        <v>0.004</v>
      </c>
      <c r="E2620" s="4" t="s">
        <v>2252</v>
      </c>
    </row>
    <row r="2621" customFormat="false" ht="15" hidden="false" customHeight="false" outlineLevel="0" collapsed="false">
      <c r="A2621" s="4" t="s">
        <v>3138</v>
      </c>
      <c r="B2621" s="5" t="s">
        <v>216</v>
      </c>
      <c r="C2621" s="5" t="s">
        <v>216</v>
      </c>
      <c r="D2621" s="5" t="str">
        <f aca="false">IF(AND(ISNUMBER(B2621),ISNUMBER(C2621)),C2621-B2621,"")</f>
        <v/>
      </c>
      <c r="E2621" s="4" t="s">
        <v>531</v>
      </c>
    </row>
    <row r="2622" customFormat="false" ht="15" hidden="false" customHeight="false" outlineLevel="0" collapsed="false">
      <c r="A2622" s="4" t="s">
        <v>3139</v>
      </c>
      <c r="B2622" s="5" t="n">
        <v>-0.015</v>
      </c>
      <c r="C2622" s="5" t="n">
        <v>-0.015</v>
      </c>
      <c r="D2622" s="5" t="n">
        <f aca="false">IF(AND(ISNUMBER(B2622),ISNUMBER(C2622)),C2622-B2622,"")</f>
        <v>0</v>
      </c>
      <c r="E2622" s="4" t="s">
        <v>531</v>
      </c>
    </row>
    <row r="2623" customFormat="false" ht="15" hidden="false" customHeight="false" outlineLevel="0" collapsed="false">
      <c r="A2623" s="4" t="s">
        <v>3140</v>
      </c>
      <c r="B2623" s="5" t="n">
        <v>0.066</v>
      </c>
      <c r="C2623" s="5" t="n">
        <v>0.066</v>
      </c>
      <c r="D2623" s="5" t="n">
        <f aca="false">IF(AND(ISNUMBER(B2623),ISNUMBER(C2623)),C2623-B2623,"")</f>
        <v>0</v>
      </c>
      <c r="E2623" s="4" t="s">
        <v>531</v>
      </c>
    </row>
    <row r="2624" customFormat="false" ht="15" hidden="false" customHeight="false" outlineLevel="0" collapsed="false">
      <c r="A2624" s="4" t="s">
        <v>3141</v>
      </c>
      <c r="B2624" s="5" t="n">
        <v>0.066</v>
      </c>
      <c r="C2624" s="5" t="n">
        <v>0.066</v>
      </c>
      <c r="D2624" s="5" t="n">
        <f aca="false">IF(AND(ISNUMBER(B2624),ISNUMBER(C2624)),C2624-B2624,"")</f>
        <v>0</v>
      </c>
      <c r="E2624" s="4" t="s">
        <v>531</v>
      </c>
    </row>
    <row r="2625" customFormat="false" ht="15" hidden="false" customHeight="false" outlineLevel="0" collapsed="false">
      <c r="A2625" s="4" t="s">
        <v>3142</v>
      </c>
      <c r="B2625" s="5" t="n">
        <v>0.824</v>
      </c>
      <c r="C2625" s="5" t="n">
        <v>0.824</v>
      </c>
      <c r="D2625" s="5" t="n">
        <f aca="false">IF(AND(ISNUMBER(B2625),ISNUMBER(C2625)),C2625-B2625,"")</f>
        <v>0</v>
      </c>
      <c r="E2625" s="4" t="s">
        <v>531</v>
      </c>
    </row>
    <row r="2626" customFormat="false" ht="15" hidden="false" customHeight="false" outlineLevel="0" collapsed="false">
      <c r="A2626" s="4" t="s">
        <v>3143</v>
      </c>
      <c r="B2626" s="5" t="n">
        <v>0.992</v>
      </c>
      <c r="C2626" s="5" t="n">
        <v>0.996</v>
      </c>
      <c r="D2626" s="5" t="n">
        <f aca="false">IF(AND(ISNUMBER(B2626),ISNUMBER(C2626)),C2626-B2626,"")</f>
        <v>0.004</v>
      </c>
      <c r="E2626" s="4" t="s">
        <v>2252</v>
      </c>
    </row>
    <row r="2627" customFormat="false" ht="15" hidden="false" customHeight="false" outlineLevel="0" collapsed="false">
      <c r="A2627" s="4" t="s">
        <v>3144</v>
      </c>
      <c r="B2627" s="5" t="s">
        <v>216</v>
      </c>
      <c r="C2627" s="5" t="s">
        <v>216</v>
      </c>
      <c r="D2627" s="5" t="str">
        <f aca="false">IF(AND(ISNUMBER(B2627),ISNUMBER(C2627)),C2627-B2627,"")</f>
        <v/>
      </c>
      <c r="E2627" s="4" t="s">
        <v>531</v>
      </c>
    </row>
    <row r="2628" customFormat="false" ht="15" hidden="false" customHeight="false" outlineLevel="0" collapsed="false">
      <c r="A2628" s="4" t="s">
        <v>3145</v>
      </c>
      <c r="B2628" s="5" t="n">
        <v>0.027</v>
      </c>
      <c r="C2628" s="5" t="n">
        <v>0.027</v>
      </c>
      <c r="D2628" s="5" t="n">
        <f aca="false">IF(AND(ISNUMBER(B2628),ISNUMBER(C2628)),C2628-B2628,"")</f>
        <v>0</v>
      </c>
      <c r="E2628" s="4" t="s">
        <v>531</v>
      </c>
    </row>
    <row r="2629" customFormat="false" ht="15" hidden="false" customHeight="false" outlineLevel="0" collapsed="false">
      <c r="A2629" s="4" t="s">
        <v>3146</v>
      </c>
      <c r="B2629" s="5" t="n">
        <v>0.069</v>
      </c>
      <c r="C2629" s="5" t="n">
        <v>0.069</v>
      </c>
      <c r="D2629" s="5" t="n">
        <f aca="false">IF(AND(ISNUMBER(B2629),ISNUMBER(C2629)),C2629-B2629,"")</f>
        <v>0</v>
      </c>
      <c r="E2629" s="4" t="s">
        <v>531</v>
      </c>
    </row>
    <row r="2630" customFormat="false" ht="15" hidden="false" customHeight="false" outlineLevel="0" collapsed="false">
      <c r="A2630" s="4" t="s">
        <v>3147</v>
      </c>
      <c r="B2630" s="5" t="n">
        <v>0.07</v>
      </c>
      <c r="C2630" s="5" t="n">
        <v>0.07</v>
      </c>
      <c r="D2630" s="5" t="n">
        <f aca="false">IF(AND(ISNUMBER(B2630),ISNUMBER(C2630)),C2630-B2630,"")</f>
        <v>0</v>
      </c>
      <c r="E2630" s="4" t="s">
        <v>531</v>
      </c>
    </row>
    <row r="2631" customFormat="false" ht="15" hidden="false" customHeight="false" outlineLevel="0" collapsed="false">
      <c r="A2631" s="4" t="s">
        <v>3148</v>
      </c>
      <c r="B2631" s="5" t="n">
        <v>0.693</v>
      </c>
      <c r="C2631" s="5" t="n">
        <v>0.693</v>
      </c>
      <c r="D2631" s="5" t="n">
        <f aca="false">IF(AND(ISNUMBER(B2631),ISNUMBER(C2631)),C2631-B2631,"")</f>
        <v>0</v>
      </c>
      <c r="E2631" s="4" t="s">
        <v>531</v>
      </c>
    </row>
    <row r="2632" customFormat="false" ht="15" hidden="false" customHeight="false" outlineLevel="0" collapsed="false">
      <c r="A2632" s="4" t="s">
        <v>3149</v>
      </c>
      <c r="B2632" s="5" t="n">
        <v>0.992</v>
      </c>
      <c r="C2632" s="5" t="n">
        <v>0.996</v>
      </c>
      <c r="D2632" s="5" t="n">
        <f aca="false">IF(AND(ISNUMBER(B2632),ISNUMBER(C2632)),C2632-B2632,"")</f>
        <v>0.004</v>
      </c>
      <c r="E2632" s="4" t="s">
        <v>2252</v>
      </c>
    </row>
    <row r="2633" customFormat="false" ht="15" hidden="false" customHeight="false" outlineLevel="0" collapsed="false">
      <c r="A2633" s="4" t="s">
        <v>3150</v>
      </c>
      <c r="B2633" s="5" t="s">
        <v>216</v>
      </c>
      <c r="C2633" s="5" t="s">
        <v>216</v>
      </c>
      <c r="D2633" s="5" t="str">
        <f aca="false">IF(AND(ISNUMBER(B2633),ISNUMBER(C2633)),C2633-B2633,"")</f>
        <v/>
      </c>
      <c r="E2633" s="4" t="s">
        <v>531</v>
      </c>
    </row>
    <row r="2634" customFormat="false" ht="15" hidden="false" customHeight="false" outlineLevel="0" collapsed="false">
      <c r="A2634" s="4" t="s">
        <v>3151</v>
      </c>
      <c r="B2634" s="5" t="n">
        <v>-0.056</v>
      </c>
      <c r="C2634" s="5" t="n">
        <v>-0.056</v>
      </c>
      <c r="D2634" s="5" t="n">
        <f aca="false">IF(AND(ISNUMBER(B2634),ISNUMBER(C2634)),C2634-B2634,"")</f>
        <v>0</v>
      </c>
      <c r="E2634" s="4" t="s">
        <v>531</v>
      </c>
    </row>
    <row r="2635" customFormat="false" ht="15" hidden="false" customHeight="false" outlineLevel="0" collapsed="false">
      <c r="A2635" s="4" t="s">
        <v>3152</v>
      </c>
      <c r="B2635" s="5" t="n">
        <v>0.07</v>
      </c>
      <c r="C2635" s="5" t="n">
        <v>0.07</v>
      </c>
      <c r="D2635" s="5" t="n">
        <f aca="false">IF(AND(ISNUMBER(B2635),ISNUMBER(C2635)),C2635-B2635,"")</f>
        <v>0</v>
      </c>
      <c r="E2635" s="4" t="s">
        <v>531</v>
      </c>
    </row>
    <row r="2636" customFormat="false" ht="15" hidden="false" customHeight="false" outlineLevel="0" collapsed="false">
      <c r="A2636" s="4" t="s">
        <v>3153</v>
      </c>
      <c r="B2636" s="5" t="n">
        <v>0.068</v>
      </c>
      <c r="C2636" s="5" t="n">
        <v>0.068</v>
      </c>
      <c r="D2636" s="5" t="n">
        <f aca="false">IF(AND(ISNUMBER(B2636),ISNUMBER(C2636)),C2636-B2636,"")</f>
        <v>0</v>
      </c>
      <c r="E2636" s="4" t="s">
        <v>531</v>
      </c>
    </row>
    <row r="2637" customFormat="false" ht="15" hidden="false" customHeight="false" outlineLevel="0" collapsed="false">
      <c r="A2637" s="4" t="s">
        <v>3154</v>
      </c>
      <c r="B2637" s="5" t="n">
        <v>0.426</v>
      </c>
      <c r="C2637" s="5" t="n">
        <v>0.426</v>
      </c>
      <c r="D2637" s="5" t="n">
        <f aca="false">IF(AND(ISNUMBER(B2637),ISNUMBER(C2637)),C2637-B2637,"")</f>
        <v>0</v>
      </c>
      <c r="E2637" s="4" t="s">
        <v>531</v>
      </c>
    </row>
    <row r="2638" customFormat="false" ht="15" hidden="false" customHeight="false" outlineLevel="0" collapsed="false">
      <c r="A2638" s="4" t="s">
        <v>3155</v>
      </c>
      <c r="B2638" s="5" t="n">
        <v>0.929</v>
      </c>
      <c r="C2638" s="5" t="n">
        <v>0.943</v>
      </c>
      <c r="D2638" s="5" t="n">
        <f aca="false">IF(AND(ISNUMBER(B2638),ISNUMBER(C2638)),C2638-B2638,"")</f>
        <v>0.0139999999999999</v>
      </c>
      <c r="E2638" s="4" t="s">
        <v>2252</v>
      </c>
    </row>
    <row r="2639" customFormat="false" ht="15" hidden="false" customHeight="false" outlineLevel="0" collapsed="false">
      <c r="A2639" s="4" t="s">
        <v>3156</v>
      </c>
      <c r="B2639" s="5" t="s">
        <v>216</v>
      </c>
      <c r="C2639" s="5" t="s">
        <v>216</v>
      </c>
      <c r="D2639" s="5" t="str">
        <f aca="false">IF(AND(ISNUMBER(B2639),ISNUMBER(C2639)),C2639-B2639,"")</f>
        <v/>
      </c>
      <c r="E2639" s="4" t="s">
        <v>531</v>
      </c>
    </row>
    <row r="2640" customFormat="false" ht="15" hidden="false" customHeight="false" outlineLevel="0" collapsed="false">
      <c r="A2640" s="4" t="s">
        <v>3157</v>
      </c>
      <c r="B2640" s="5" t="n">
        <v>-0.088</v>
      </c>
      <c r="C2640" s="5" t="n">
        <v>-0.088</v>
      </c>
      <c r="D2640" s="5" t="n">
        <f aca="false">IF(AND(ISNUMBER(B2640),ISNUMBER(C2640)),C2640-B2640,"")</f>
        <v>0</v>
      </c>
      <c r="E2640" s="4" t="s">
        <v>531</v>
      </c>
    </row>
    <row r="2641" customFormat="false" ht="15" hidden="false" customHeight="false" outlineLevel="0" collapsed="false">
      <c r="A2641" s="4" t="s">
        <v>3158</v>
      </c>
      <c r="B2641" s="5" t="n">
        <v>0.06</v>
      </c>
      <c r="C2641" s="5" t="n">
        <v>0.06</v>
      </c>
      <c r="D2641" s="5" t="n">
        <f aca="false">IF(AND(ISNUMBER(B2641),ISNUMBER(C2641)),C2641-B2641,"")</f>
        <v>0</v>
      </c>
      <c r="E2641" s="4" t="s">
        <v>531</v>
      </c>
    </row>
    <row r="2642" customFormat="false" ht="15" hidden="false" customHeight="false" outlineLevel="0" collapsed="false">
      <c r="A2642" s="4" t="s">
        <v>3159</v>
      </c>
      <c r="B2642" s="5" t="n">
        <v>0.059</v>
      </c>
      <c r="C2642" s="5" t="n">
        <v>0.059</v>
      </c>
      <c r="D2642" s="5" t="n">
        <f aca="false">IF(AND(ISNUMBER(B2642),ISNUMBER(C2642)),C2642-B2642,"")</f>
        <v>0</v>
      </c>
      <c r="E2642" s="4" t="s">
        <v>531</v>
      </c>
    </row>
    <row r="2643" customFormat="false" ht="15" hidden="false" customHeight="false" outlineLevel="0" collapsed="false">
      <c r="A2643" s="4" t="s">
        <v>3160</v>
      </c>
      <c r="B2643" s="5" t="n">
        <v>0.141</v>
      </c>
      <c r="C2643" s="5" t="n">
        <v>0.141</v>
      </c>
      <c r="D2643" s="5" t="n">
        <f aca="false">IF(AND(ISNUMBER(B2643),ISNUMBER(C2643)),C2643-B2643,"")</f>
        <v>0</v>
      </c>
      <c r="E2643" s="4" t="s">
        <v>531</v>
      </c>
    </row>
    <row r="2644" customFormat="false" ht="15" hidden="false" customHeight="false" outlineLevel="0" collapsed="false">
      <c r="A2644" s="4" t="s">
        <v>3161</v>
      </c>
      <c r="B2644" s="5" t="n">
        <v>0.771</v>
      </c>
      <c r="C2644" s="5" t="n">
        <v>0.754</v>
      </c>
      <c r="D2644" s="5" t="n">
        <f aca="false">IF(AND(ISNUMBER(B2644),ISNUMBER(C2644)),C2644-B2644,"")</f>
        <v>-0.017</v>
      </c>
      <c r="E2644" s="4" t="s">
        <v>2252</v>
      </c>
    </row>
    <row r="2645" customFormat="false" ht="15" hidden="false" customHeight="false" outlineLevel="0" collapsed="false">
      <c r="A2645" s="4" t="s">
        <v>3162</v>
      </c>
      <c r="B2645" s="5" t="s">
        <v>216</v>
      </c>
      <c r="C2645" s="5" t="s">
        <v>216</v>
      </c>
      <c r="D2645" s="5" t="str">
        <f aca="false">IF(AND(ISNUMBER(B2645),ISNUMBER(C2645)),C2645-B2645,"")</f>
        <v/>
      </c>
      <c r="E2645" s="4" t="s">
        <v>531</v>
      </c>
    </row>
    <row r="2646" customFormat="false" ht="15" hidden="false" customHeight="false" outlineLevel="0" collapsed="false">
      <c r="A2646" s="4" t="s">
        <v>3163</v>
      </c>
      <c r="B2646" s="5" t="n">
        <v>0.075</v>
      </c>
      <c r="C2646" s="5" t="n">
        <v>0.075</v>
      </c>
      <c r="D2646" s="5" t="n">
        <f aca="false">IF(AND(ISNUMBER(B2646),ISNUMBER(C2646)),C2646-B2646,"")</f>
        <v>0</v>
      </c>
      <c r="E2646" s="4" t="s">
        <v>531</v>
      </c>
    </row>
    <row r="2647" customFormat="false" ht="15" hidden="false" customHeight="false" outlineLevel="0" collapsed="false">
      <c r="A2647" s="4" t="s">
        <v>3164</v>
      </c>
      <c r="B2647" s="5" t="n">
        <v>0.059</v>
      </c>
      <c r="C2647" s="5" t="n">
        <v>0.059</v>
      </c>
      <c r="D2647" s="5" t="n">
        <f aca="false">IF(AND(ISNUMBER(B2647),ISNUMBER(C2647)),C2647-B2647,"")</f>
        <v>0</v>
      </c>
      <c r="E2647" s="4" t="s">
        <v>531</v>
      </c>
    </row>
    <row r="2648" customFormat="false" ht="15" hidden="false" customHeight="false" outlineLevel="0" collapsed="false">
      <c r="A2648" s="4" t="s">
        <v>3165</v>
      </c>
      <c r="B2648" s="5" t="n">
        <v>0.059</v>
      </c>
      <c r="C2648" s="5" t="n">
        <v>0.059</v>
      </c>
      <c r="D2648" s="5" t="n">
        <f aca="false">IF(AND(ISNUMBER(B2648),ISNUMBER(C2648)),C2648-B2648,"")</f>
        <v>0</v>
      </c>
      <c r="E2648" s="4" t="s">
        <v>531</v>
      </c>
    </row>
    <row r="2649" customFormat="false" ht="15" hidden="false" customHeight="false" outlineLevel="0" collapsed="false">
      <c r="A2649" s="4" t="s">
        <v>3166</v>
      </c>
      <c r="B2649" s="5" t="n">
        <v>0.204</v>
      </c>
      <c r="C2649" s="5" t="n">
        <v>0.204</v>
      </c>
      <c r="D2649" s="5" t="n">
        <f aca="false">IF(AND(ISNUMBER(B2649),ISNUMBER(C2649)),C2649-B2649,"")</f>
        <v>0</v>
      </c>
      <c r="E2649" s="4" t="s">
        <v>531</v>
      </c>
    </row>
    <row r="2650" customFormat="false" ht="15" hidden="false" customHeight="false" outlineLevel="0" collapsed="false">
      <c r="A2650" s="4" t="s">
        <v>3167</v>
      </c>
      <c r="B2650" s="5" t="n">
        <v>0.801</v>
      </c>
      <c r="C2650" s="5" t="n">
        <v>0.796</v>
      </c>
      <c r="D2650" s="5" t="n">
        <f aca="false">IF(AND(ISNUMBER(B2650),ISNUMBER(C2650)),C2650-B2650,"")</f>
        <v>-0.005</v>
      </c>
      <c r="E2650" s="4" t="s">
        <v>2252</v>
      </c>
    </row>
    <row r="2651" customFormat="false" ht="15" hidden="false" customHeight="false" outlineLevel="0" collapsed="false">
      <c r="A2651" s="4" t="s">
        <v>3168</v>
      </c>
      <c r="B2651" s="5" t="s">
        <v>216</v>
      </c>
      <c r="C2651" s="5" t="s">
        <v>216</v>
      </c>
      <c r="D2651" s="5" t="str">
        <f aca="false">IF(AND(ISNUMBER(B2651),ISNUMBER(C2651)),C2651-B2651,"")</f>
        <v/>
      </c>
      <c r="E2651" s="4" t="s">
        <v>531</v>
      </c>
    </row>
    <row r="2652" customFormat="false" ht="15" hidden="false" customHeight="false" outlineLevel="0" collapsed="false">
      <c r="A2652" s="4" t="s">
        <v>3169</v>
      </c>
      <c r="B2652" s="5" t="n">
        <v>0.225</v>
      </c>
      <c r="C2652" s="5" t="n">
        <v>0.225</v>
      </c>
      <c r="D2652" s="5" t="n">
        <f aca="false">IF(AND(ISNUMBER(B2652),ISNUMBER(C2652)),C2652-B2652,"")</f>
        <v>0</v>
      </c>
      <c r="E2652" s="4" t="s">
        <v>531</v>
      </c>
    </row>
    <row r="2653" customFormat="false" ht="15" hidden="false" customHeight="false" outlineLevel="0" collapsed="false">
      <c r="A2653" s="4" t="s">
        <v>3170</v>
      </c>
      <c r="B2653" s="5" t="n">
        <v>0.119</v>
      </c>
      <c r="C2653" s="5" t="n">
        <v>0.119</v>
      </c>
      <c r="D2653" s="5" t="n">
        <f aca="false">IF(AND(ISNUMBER(B2653),ISNUMBER(C2653)),C2653-B2653,"")</f>
        <v>0</v>
      </c>
      <c r="E2653" s="4" t="s">
        <v>531</v>
      </c>
    </row>
    <row r="2654" customFormat="false" ht="15" hidden="false" customHeight="false" outlineLevel="0" collapsed="false">
      <c r="A2654" s="4" t="s">
        <v>3171</v>
      </c>
      <c r="B2654" s="5" t="n">
        <v>0.117</v>
      </c>
      <c r="C2654" s="5" t="n">
        <v>0.117</v>
      </c>
      <c r="D2654" s="5" t="n">
        <f aca="false">IF(AND(ISNUMBER(B2654),ISNUMBER(C2654)),C2654-B2654,"")</f>
        <v>0</v>
      </c>
      <c r="E2654" s="4" t="s">
        <v>531</v>
      </c>
    </row>
    <row r="2655" customFormat="false" ht="15" hidden="false" customHeight="false" outlineLevel="0" collapsed="false">
      <c r="A2655" s="4" t="s">
        <v>3172</v>
      </c>
      <c r="B2655" s="5" t="n">
        <v>0.058</v>
      </c>
      <c r="C2655" s="5" t="n">
        <v>0.058</v>
      </c>
      <c r="D2655" s="5" t="n">
        <f aca="false">IF(AND(ISNUMBER(B2655),ISNUMBER(C2655)),C2655-B2655,"")</f>
        <v>0</v>
      </c>
      <c r="E2655" s="4" t="s">
        <v>531</v>
      </c>
    </row>
    <row r="2656" customFormat="false" ht="15" hidden="false" customHeight="false" outlineLevel="0" collapsed="false">
      <c r="A2656" s="4" t="s">
        <v>3173</v>
      </c>
      <c r="B2656" s="5" t="n">
        <v>0.519</v>
      </c>
      <c r="C2656" s="5" t="n">
        <v>0.464</v>
      </c>
      <c r="D2656" s="5" t="n">
        <f aca="false">IF(AND(ISNUMBER(B2656),ISNUMBER(C2656)),C2656-B2656,"")</f>
        <v>-0.055</v>
      </c>
      <c r="E2656" s="4" t="s">
        <v>2252</v>
      </c>
    </row>
    <row r="2657" customFormat="false" ht="15" hidden="false" customHeight="false" outlineLevel="0" collapsed="false">
      <c r="A2657" s="4" t="s">
        <v>3174</v>
      </c>
      <c r="B2657" s="5" t="s">
        <v>216</v>
      </c>
      <c r="C2657" s="5" t="s">
        <v>216</v>
      </c>
      <c r="D2657" s="5" t="str">
        <f aca="false">IF(AND(ISNUMBER(B2657),ISNUMBER(C2657)),C2657-B2657,"")</f>
        <v/>
      </c>
      <c r="E2657" s="4" t="s">
        <v>531</v>
      </c>
    </row>
    <row r="2658" customFormat="false" ht="15" hidden="false" customHeight="false" outlineLevel="0" collapsed="false">
      <c r="A2658" s="4" t="s">
        <v>3175</v>
      </c>
      <c r="B2658" s="5" t="n">
        <v>0.098</v>
      </c>
      <c r="C2658" s="5" t="n">
        <v>0.098</v>
      </c>
      <c r="D2658" s="5" t="n">
        <f aca="false">IF(AND(ISNUMBER(B2658),ISNUMBER(C2658)),C2658-B2658,"")</f>
        <v>0</v>
      </c>
      <c r="E2658" s="4" t="s">
        <v>531</v>
      </c>
    </row>
    <row r="2659" customFormat="false" ht="15" hidden="false" customHeight="false" outlineLevel="0" collapsed="false">
      <c r="A2659" s="4" t="s">
        <v>3176</v>
      </c>
      <c r="B2659" s="5" t="n">
        <v>0.146</v>
      </c>
      <c r="C2659" s="5" t="n">
        <v>0.146</v>
      </c>
      <c r="D2659" s="5" t="n">
        <f aca="false">IF(AND(ISNUMBER(B2659),ISNUMBER(C2659)),C2659-B2659,"")</f>
        <v>0</v>
      </c>
      <c r="E2659" s="4" t="s">
        <v>531</v>
      </c>
    </row>
    <row r="2660" customFormat="false" ht="15" hidden="false" customHeight="false" outlineLevel="0" collapsed="false">
      <c r="A2660" s="4" t="s">
        <v>3177</v>
      </c>
      <c r="B2660" s="5" t="n">
        <v>0.149</v>
      </c>
      <c r="C2660" s="5" t="n">
        <v>0.149</v>
      </c>
      <c r="D2660" s="5" t="n">
        <f aca="false">IF(AND(ISNUMBER(B2660),ISNUMBER(C2660)),C2660-B2660,"")</f>
        <v>0</v>
      </c>
      <c r="E2660" s="4" t="s">
        <v>531</v>
      </c>
    </row>
    <row r="2661" customFormat="false" ht="15" hidden="false" customHeight="false" outlineLevel="0" collapsed="false">
      <c r="A2661" s="4" t="s">
        <v>3178</v>
      </c>
      <c r="B2661" s="5" t="n">
        <v>0.501</v>
      </c>
      <c r="C2661" s="5" t="n">
        <v>0.501</v>
      </c>
      <c r="D2661" s="5" t="n">
        <f aca="false">IF(AND(ISNUMBER(B2661),ISNUMBER(C2661)),C2661-B2661,"")</f>
        <v>0</v>
      </c>
      <c r="E2661" s="4" t="s">
        <v>531</v>
      </c>
    </row>
    <row r="2662" customFormat="false" ht="15" hidden="false" customHeight="false" outlineLevel="0" collapsed="false">
      <c r="A2662" s="4" t="s">
        <v>3179</v>
      </c>
      <c r="B2662" s="5" t="n">
        <v>0.947</v>
      </c>
      <c r="C2662" s="5" t="n">
        <v>0.961</v>
      </c>
      <c r="D2662" s="5" t="n">
        <f aca="false">IF(AND(ISNUMBER(B2662),ISNUMBER(C2662)),C2662-B2662,"")</f>
        <v>0.014</v>
      </c>
      <c r="E2662" s="4" t="s">
        <v>2252</v>
      </c>
    </row>
    <row r="2663" customFormat="false" ht="15" hidden="false" customHeight="false" outlineLevel="0" collapsed="false">
      <c r="A2663" s="4" t="s">
        <v>3180</v>
      </c>
      <c r="B2663" s="5" t="s">
        <v>216</v>
      </c>
      <c r="C2663" s="5" t="s">
        <v>216</v>
      </c>
      <c r="D2663" s="5" t="str">
        <f aca="false">IF(AND(ISNUMBER(B2663),ISNUMBER(C2663)),C2663-B2663,"")</f>
        <v/>
      </c>
      <c r="E2663" s="4" t="s">
        <v>531</v>
      </c>
    </row>
    <row r="2664" customFormat="false" ht="15" hidden="false" customHeight="false" outlineLevel="0" collapsed="false">
      <c r="A2664" s="4" t="s">
        <v>3181</v>
      </c>
      <c r="B2664" s="5" t="n">
        <v>-0.103</v>
      </c>
      <c r="C2664" s="5" t="n">
        <v>-0.103</v>
      </c>
      <c r="D2664" s="5" t="n">
        <f aca="false">IF(AND(ISNUMBER(B2664),ISNUMBER(C2664)),C2664-B2664,"")</f>
        <v>0</v>
      </c>
      <c r="E2664" s="4" t="s">
        <v>531</v>
      </c>
    </row>
    <row r="2665" customFormat="false" ht="15" hidden="false" customHeight="false" outlineLevel="0" collapsed="false">
      <c r="A2665" s="4" t="s">
        <v>3182</v>
      </c>
      <c r="B2665" s="5" t="n">
        <v>0.119</v>
      </c>
      <c r="C2665" s="5" t="n">
        <v>0.119</v>
      </c>
      <c r="D2665" s="5" t="n">
        <f aca="false">IF(AND(ISNUMBER(B2665),ISNUMBER(C2665)),C2665-B2665,"")</f>
        <v>0</v>
      </c>
      <c r="E2665" s="4" t="s">
        <v>531</v>
      </c>
    </row>
    <row r="2666" customFormat="false" ht="15" hidden="false" customHeight="false" outlineLevel="0" collapsed="false">
      <c r="A2666" s="4" t="s">
        <v>3183</v>
      </c>
      <c r="B2666" s="5" t="n">
        <v>0.119</v>
      </c>
      <c r="C2666" s="5" t="n">
        <v>0.119</v>
      </c>
      <c r="D2666" s="5" t="n">
        <f aca="false">IF(AND(ISNUMBER(B2666),ISNUMBER(C2666)),C2666-B2666,"")</f>
        <v>0</v>
      </c>
      <c r="E2666" s="4" t="s">
        <v>531</v>
      </c>
    </row>
    <row r="2667" customFormat="false" ht="15" hidden="false" customHeight="false" outlineLevel="0" collapsed="false">
      <c r="A2667" s="4" t="s">
        <v>3184</v>
      </c>
      <c r="B2667" s="5" t="n">
        <v>0.385</v>
      </c>
      <c r="C2667" s="5" t="n">
        <v>0.385</v>
      </c>
      <c r="D2667" s="5" t="n">
        <f aca="false">IF(AND(ISNUMBER(B2667),ISNUMBER(C2667)),C2667-B2667,"")</f>
        <v>0</v>
      </c>
      <c r="E2667" s="4" t="s">
        <v>531</v>
      </c>
    </row>
    <row r="2668" customFormat="false" ht="15" hidden="false" customHeight="false" outlineLevel="0" collapsed="false">
      <c r="A2668" s="4" t="s">
        <v>3185</v>
      </c>
      <c r="B2668" s="5" t="n">
        <v>0.921</v>
      </c>
      <c r="C2668" s="5" t="n">
        <v>0.921</v>
      </c>
      <c r="D2668" s="5" t="n">
        <f aca="false">IF(AND(ISNUMBER(B2668),ISNUMBER(C2668)),C2668-B2668,"")</f>
        <v>0</v>
      </c>
      <c r="E2668" s="4" t="s">
        <v>531</v>
      </c>
    </row>
    <row r="2669" customFormat="false" ht="15" hidden="false" customHeight="false" outlineLevel="0" collapsed="false">
      <c r="A2669" s="4" t="s">
        <v>3186</v>
      </c>
      <c r="B2669" s="5" t="s">
        <v>216</v>
      </c>
      <c r="C2669" s="5" t="s">
        <v>216</v>
      </c>
      <c r="D2669" s="5" t="str">
        <f aca="false">IF(AND(ISNUMBER(B2669),ISNUMBER(C2669)),C2669-B2669,"")</f>
        <v/>
      </c>
      <c r="E2669" s="4" t="s">
        <v>531</v>
      </c>
    </row>
    <row r="2670" customFormat="false" ht="15" hidden="false" customHeight="false" outlineLevel="0" collapsed="false">
      <c r="A2670" s="4" t="s">
        <v>3187</v>
      </c>
      <c r="B2670" s="5" t="n">
        <v>0.15</v>
      </c>
      <c r="C2670" s="5" t="n">
        <v>0.15</v>
      </c>
      <c r="D2670" s="5" t="n">
        <f aca="false">IF(AND(ISNUMBER(B2670),ISNUMBER(C2670)),C2670-B2670,"")</f>
        <v>0</v>
      </c>
      <c r="E2670" s="4" t="s">
        <v>531</v>
      </c>
    </row>
    <row r="2671" customFormat="false" ht="15" hidden="false" customHeight="false" outlineLevel="0" collapsed="false">
      <c r="A2671" s="4" t="s">
        <v>3188</v>
      </c>
      <c r="B2671" s="5" t="n">
        <v>0.115</v>
      </c>
      <c r="C2671" s="5" t="n">
        <v>0.115</v>
      </c>
      <c r="D2671" s="5" t="n">
        <f aca="false">IF(AND(ISNUMBER(B2671),ISNUMBER(C2671)),C2671-B2671,"")</f>
        <v>0</v>
      </c>
      <c r="E2671" s="4" t="s">
        <v>531</v>
      </c>
    </row>
    <row r="2672" customFormat="false" ht="15" hidden="false" customHeight="false" outlineLevel="0" collapsed="false">
      <c r="A2672" s="4" t="s">
        <v>3189</v>
      </c>
      <c r="B2672" s="5" t="n">
        <v>0.113</v>
      </c>
      <c r="C2672" s="5" t="n">
        <v>0.113</v>
      </c>
      <c r="D2672" s="5" t="n">
        <f aca="false">IF(AND(ISNUMBER(B2672),ISNUMBER(C2672)),C2672-B2672,"")</f>
        <v>0</v>
      </c>
      <c r="E2672" s="4" t="s">
        <v>531</v>
      </c>
    </row>
    <row r="2673" customFormat="false" ht="15" hidden="false" customHeight="false" outlineLevel="0" collapsed="false">
      <c r="A2673" s="4" t="s">
        <v>3190</v>
      </c>
      <c r="B2673" s="5" t="n">
        <v>0.19</v>
      </c>
      <c r="C2673" s="5" t="n">
        <v>0.19</v>
      </c>
      <c r="D2673" s="5" t="n">
        <f aca="false">IF(AND(ISNUMBER(B2673),ISNUMBER(C2673)),C2673-B2673,"")</f>
        <v>0</v>
      </c>
      <c r="E2673" s="4" t="s">
        <v>531</v>
      </c>
    </row>
    <row r="2674" customFormat="false" ht="15" hidden="false" customHeight="false" outlineLevel="0" collapsed="false">
      <c r="A2674" s="4" t="s">
        <v>3191</v>
      </c>
      <c r="B2674" s="5" t="n">
        <v>0.776</v>
      </c>
      <c r="C2674" s="5" t="n">
        <v>0.761</v>
      </c>
      <c r="D2674" s="5" t="n">
        <f aca="false">IF(AND(ISNUMBER(B2674),ISNUMBER(C2674)),C2674-B2674,"")</f>
        <v>-0.015</v>
      </c>
      <c r="E2674" s="4" t="s">
        <v>2252</v>
      </c>
    </row>
    <row r="2675" customFormat="false" ht="15" hidden="false" customHeight="false" outlineLevel="0" collapsed="false">
      <c r="A2675" s="4" t="s">
        <v>3192</v>
      </c>
      <c r="B2675" s="5" t="s">
        <v>216</v>
      </c>
      <c r="C2675" s="5" t="s">
        <v>216</v>
      </c>
      <c r="D2675" s="5" t="str">
        <f aca="false">IF(AND(ISNUMBER(B2675),ISNUMBER(C2675)),C2675-B2675,"")</f>
        <v/>
      </c>
      <c r="E2675" s="4" t="s">
        <v>531</v>
      </c>
    </row>
    <row r="2676" customFormat="false" ht="15" hidden="false" customHeight="false" outlineLevel="0" collapsed="false">
      <c r="A2676" s="4" t="s">
        <v>3193</v>
      </c>
      <c r="B2676" s="5" t="n">
        <v>-0.05</v>
      </c>
      <c r="C2676" s="5" t="n">
        <v>-0.05</v>
      </c>
      <c r="D2676" s="5" t="n">
        <f aca="false">IF(AND(ISNUMBER(B2676),ISNUMBER(C2676)),C2676-B2676,"")</f>
        <v>0</v>
      </c>
      <c r="E2676" s="4" t="s">
        <v>531</v>
      </c>
    </row>
    <row r="2677" customFormat="false" ht="15" hidden="false" customHeight="false" outlineLevel="0" collapsed="false">
      <c r="A2677" s="4" t="s">
        <v>3194</v>
      </c>
      <c r="B2677" s="5" t="n">
        <v>0.14</v>
      </c>
      <c r="C2677" s="5" t="n">
        <v>0.14</v>
      </c>
      <c r="D2677" s="5" t="n">
        <f aca="false">IF(AND(ISNUMBER(B2677),ISNUMBER(C2677)),C2677-B2677,"")</f>
        <v>0</v>
      </c>
      <c r="E2677" s="4" t="s">
        <v>531</v>
      </c>
    </row>
    <row r="2678" customFormat="false" ht="15" hidden="false" customHeight="false" outlineLevel="0" collapsed="false">
      <c r="A2678" s="4" t="s">
        <v>3195</v>
      </c>
      <c r="B2678" s="5" t="n">
        <v>0.141</v>
      </c>
      <c r="C2678" s="5" t="n">
        <v>0.141</v>
      </c>
      <c r="D2678" s="5" t="n">
        <f aca="false">IF(AND(ISNUMBER(B2678),ISNUMBER(C2678)),C2678-B2678,"")</f>
        <v>0</v>
      </c>
      <c r="E2678" s="4" t="s">
        <v>531</v>
      </c>
    </row>
    <row r="2679" customFormat="false" ht="15" hidden="false" customHeight="false" outlineLevel="0" collapsed="false">
      <c r="A2679" s="4" t="s">
        <v>3196</v>
      </c>
      <c r="B2679" s="5" t="n">
        <v>0.72</v>
      </c>
      <c r="C2679" s="5" t="n">
        <v>0.72</v>
      </c>
      <c r="D2679" s="5" t="n">
        <f aca="false">IF(AND(ISNUMBER(B2679),ISNUMBER(C2679)),C2679-B2679,"")</f>
        <v>0</v>
      </c>
      <c r="E2679" s="4" t="s">
        <v>531</v>
      </c>
    </row>
    <row r="2680" customFormat="false" ht="15" hidden="false" customHeight="false" outlineLevel="0" collapsed="false">
      <c r="A2680" s="4" t="s">
        <v>3197</v>
      </c>
      <c r="B2680" s="5" t="n">
        <v>0.978</v>
      </c>
      <c r="C2680" s="5" t="n">
        <v>0.992</v>
      </c>
      <c r="D2680" s="5" t="n">
        <f aca="false">IF(AND(ISNUMBER(B2680),ISNUMBER(C2680)),C2680-B2680,"")</f>
        <v>0.014</v>
      </c>
      <c r="E2680" s="4" t="s">
        <v>2252</v>
      </c>
    </row>
    <row r="2681" customFormat="false" ht="15" hidden="false" customHeight="false" outlineLevel="0" collapsed="false">
      <c r="A2681" s="4" t="s">
        <v>3198</v>
      </c>
      <c r="B2681" s="5" t="s">
        <v>216</v>
      </c>
      <c r="C2681" s="5" t="s">
        <v>216</v>
      </c>
      <c r="D2681" s="5" t="str">
        <f aca="false">IF(AND(ISNUMBER(B2681),ISNUMBER(C2681)),C2681-B2681,"")</f>
        <v/>
      </c>
      <c r="E2681" s="4" t="s">
        <v>531</v>
      </c>
    </row>
    <row r="2682" customFormat="false" ht="15" hidden="false" customHeight="false" outlineLevel="0" collapsed="false">
      <c r="A2682" s="4" t="s">
        <v>3199</v>
      </c>
      <c r="B2682" s="5" t="n">
        <v>0.392</v>
      </c>
      <c r="C2682" s="5" t="n">
        <v>0.392</v>
      </c>
      <c r="D2682" s="5" t="n">
        <f aca="false">IF(AND(ISNUMBER(B2682),ISNUMBER(C2682)),C2682-B2682,"")</f>
        <v>0</v>
      </c>
      <c r="E2682" s="4" t="s">
        <v>531</v>
      </c>
    </row>
    <row r="2683" customFormat="false" ht="15" hidden="false" customHeight="false" outlineLevel="0" collapsed="false">
      <c r="A2683" s="4" t="s">
        <v>3200</v>
      </c>
      <c r="B2683" s="5" t="n">
        <v>0.128</v>
      </c>
      <c r="C2683" s="5" t="n">
        <v>0.128</v>
      </c>
      <c r="D2683" s="5" t="n">
        <f aca="false">IF(AND(ISNUMBER(B2683),ISNUMBER(C2683)),C2683-B2683,"")</f>
        <v>0</v>
      </c>
      <c r="E2683" s="4" t="s">
        <v>531</v>
      </c>
    </row>
    <row r="2684" customFormat="false" ht="15" hidden="false" customHeight="false" outlineLevel="0" collapsed="false">
      <c r="A2684" s="4" t="s">
        <v>3201</v>
      </c>
      <c r="B2684" s="5" t="n">
        <v>0.16</v>
      </c>
      <c r="C2684" s="5" t="n">
        <v>0.16</v>
      </c>
      <c r="D2684" s="5" t="n">
        <f aca="false">IF(AND(ISNUMBER(B2684),ISNUMBER(C2684)),C2684-B2684,"")</f>
        <v>0</v>
      </c>
      <c r="E2684" s="4" t="s">
        <v>531</v>
      </c>
    </row>
    <row r="2685" customFormat="false" ht="15" hidden="false" customHeight="false" outlineLevel="0" collapsed="false">
      <c r="A2685" s="4" t="s">
        <v>3202</v>
      </c>
      <c r="B2685" s="5" t="n">
        <v>0.163</v>
      </c>
      <c r="C2685" s="5" t="n">
        <v>0.163</v>
      </c>
      <c r="D2685" s="5" t="n">
        <f aca="false">IF(AND(ISNUMBER(B2685),ISNUMBER(C2685)),C2685-B2685,"")</f>
        <v>0</v>
      </c>
      <c r="E2685" s="4" t="s">
        <v>531</v>
      </c>
    </row>
    <row r="2686" customFormat="false" ht="15" hidden="false" customHeight="false" outlineLevel="0" collapsed="false">
      <c r="A2686" s="4" t="s">
        <v>3203</v>
      </c>
      <c r="B2686" s="5" t="n">
        <v>0.426</v>
      </c>
      <c r="C2686" s="5" t="n">
        <v>0.426</v>
      </c>
      <c r="D2686" s="5" t="n">
        <f aca="false">IF(AND(ISNUMBER(B2686),ISNUMBER(C2686)),C2686-B2686,"")</f>
        <v>0</v>
      </c>
      <c r="E2686" s="4" t="s">
        <v>531</v>
      </c>
    </row>
    <row r="2687" customFormat="false" ht="15" hidden="false" customHeight="false" outlineLevel="0" collapsed="false">
      <c r="A2687" s="4" t="s">
        <v>3204</v>
      </c>
      <c r="B2687" s="5" t="n">
        <v>0.961</v>
      </c>
      <c r="C2687" s="5" t="n">
        <v>0.96</v>
      </c>
      <c r="D2687" s="5" t="n">
        <f aca="false">IF(AND(ISNUMBER(B2687),ISNUMBER(C2687)),C2687-B2687,"")</f>
        <v>-0.001</v>
      </c>
      <c r="E2687" s="4" t="s">
        <v>2252</v>
      </c>
    </row>
    <row r="2688" customFormat="false" ht="15" hidden="false" customHeight="false" outlineLevel="0" collapsed="false">
      <c r="A2688" s="4" t="s">
        <v>3205</v>
      </c>
      <c r="B2688" s="5" t="s">
        <v>216</v>
      </c>
      <c r="C2688" s="5" t="s">
        <v>216</v>
      </c>
      <c r="D2688" s="5" t="str">
        <f aca="false">IF(AND(ISNUMBER(B2688),ISNUMBER(C2688)),C2688-B2688,"")</f>
        <v/>
      </c>
      <c r="E2688" s="4" t="s">
        <v>531</v>
      </c>
    </row>
    <row r="2689" customFormat="false" ht="15" hidden="false" customHeight="false" outlineLevel="0" collapsed="false">
      <c r="A2689" s="4" t="s">
        <v>3206</v>
      </c>
      <c r="B2689" s="5" t="n">
        <v>0.449</v>
      </c>
      <c r="C2689" s="5" t="n">
        <v>0.449</v>
      </c>
      <c r="D2689" s="5" t="n">
        <f aca="false">IF(AND(ISNUMBER(B2689),ISNUMBER(C2689)),C2689-B2689,"")</f>
        <v>0</v>
      </c>
      <c r="E2689" s="4" t="s">
        <v>531</v>
      </c>
    </row>
    <row r="2690" customFormat="false" ht="15" hidden="false" customHeight="false" outlineLevel="0" collapsed="false">
      <c r="A2690" s="4" t="s">
        <v>3207</v>
      </c>
      <c r="B2690" s="5" t="n">
        <v>0.36</v>
      </c>
      <c r="C2690" s="5" t="n">
        <v>0.36</v>
      </c>
      <c r="D2690" s="5" t="n">
        <f aca="false">IF(AND(ISNUMBER(B2690),ISNUMBER(C2690)),C2690-B2690,"")</f>
        <v>0</v>
      </c>
      <c r="E2690" s="4" t="s">
        <v>531</v>
      </c>
    </row>
    <row r="2691" customFormat="false" ht="15" hidden="false" customHeight="false" outlineLevel="0" collapsed="false">
      <c r="A2691" s="4" t="s">
        <v>3208</v>
      </c>
      <c r="B2691" s="5" t="n">
        <v>0.1</v>
      </c>
      <c r="C2691" s="5" t="n">
        <v>0.1</v>
      </c>
      <c r="D2691" s="5" t="n">
        <f aca="false">IF(AND(ISNUMBER(B2691),ISNUMBER(C2691)),C2691-B2691,"")</f>
        <v>0</v>
      </c>
      <c r="E2691" s="4" t="s">
        <v>531</v>
      </c>
    </row>
    <row r="2692" customFormat="false" ht="15" hidden="false" customHeight="false" outlineLevel="0" collapsed="false">
      <c r="A2692" s="4" t="s">
        <v>3209</v>
      </c>
      <c r="B2692" s="5" t="n">
        <v>0.1</v>
      </c>
      <c r="C2692" s="5" t="n">
        <v>0.1</v>
      </c>
      <c r="D2692" s="5" t="n">
        <f aca="false">IF(AND(ISNUMBER(B2692),ISNUMBER(C2692)),C2692-B2692,"")</f>
        <v>0</v>
      </c>
      <c r="E2692" s="4" t="s">
        <v>531</v>
      </c>
    </row>
    <row r="2693" customFormat="false" ht="15" hidden="false" customHeight="false" outlineLevel="0" collapsed="false">
      <c r="A2693" s="4" t="s">
        <v>3210</v>
      </c>
      <c r="B2693" s="5" t="n">
        <v>0</v>
      </c>
      <c r="C2693" s="5" t="n">
        <v>0</v>
      </c>
      <c r="D2693" s="5" t="n">
        <f aca="false">IF(AND(ISNUMBER(B2693),ISNUMBER(C2693)),C2693-B2693,"")</f>
        <v>0</v>
      </c>
      <c r="E2693" s="4" t="s">
        <v>531</v>
      </c>
    </row>
    <row r="2694" customFormat="false" ht="15" hidden="false" customHeight="false" outlineLevel="0" collapsed="false">
      <c r="A2694" s="4" t="s">
        <v>3211</v>
      </c>
      <c r="B2694" s="5" t="n">
        <v>0.022</v>
      </c>
      <c r="C2694" s="5" t="n">
        <v>0.018</v>
      </c>
      <c r="D2694" s="5" t="n">
        <f aca="false">IF(AND(ISNUMBER(B2694),ISNUMBER(C2694)),C2694-B2694,"")</f>
        <v>-0.004</v>
      </c>
      <c r="E2694" s="4" t="s">
        <v>2252</v>
      </c>
    </row>
    <row r="2695" customFormat="false" ht="15" hidden="false" customHeight="false" outlineLevel="0" collapsed="false">
      <c r="A2695" s="4" t="s">
        <v>3212</v>
      </c>
      <c r="B2695" s="5" t="s">
        <v>216</v>
      </c>
      <c r="C2695" s="5" t="s">
        <v>216</v>
      </c>
      <c r="D2695" s="5" t="str">
        <f aca="false">IF(AND(ISNUMBER(B2695),ISNUMBER(C2695)),C2695-B2695,"")</f>
        <v/>
      </c>
      <c r="E2695" s="4" t="s">
        <v>531</v>
      </c>
    </row>
    <row r="2696" customFormat="false" ht="15" hidden="false" customHeight="false" outlineLevel="0" collapsed="false">
      <c r="A2696" s="4" t="s">
        <v>3213</v>
      </c>
      <c r="B2696" s="5" t="n">
        <v>0.281</v>
      </c>
      <c r="C2696" s="5" t="n">
        <v>0.281</v>
      </c>
      <c r="D2696" s="5" t="n">
        <f aca="false">IF(AND(ISNUMBER(B2696),ISNUMBER(C2696)),C2696-B2696,"")</f>
        <v>0</v>
      </c>
      <c r="E2696" s="4" t="s">
        <v>531</v>
      </c>
    </row>
    <row r="2697" customFormat="false" ht="15" hidden="false" customHeight="false" outlineLevel="0" collapsed="false">
      <c r="A2697" s="4" t="s">
        <v>3214</v>
      </c>
      <c r="B2697" s="5" t="n">
        <v>-0.12</v>
      </c>
      <c r="C2697" s="5" t="n">
        <v>-0.12</v>
      </c>
      <c r="D2697" s="5" t="n">
        <f aca="false">IF(AND(ISNUMBER(B2697),ISNUMBER(C2697)),C2697-B2697,"")</f>
        <v>0</v>
      </c>
      <c r="E2697" s="4" t="s">
        <v>531</v>
      </c>
    </row>
    <row r="2698" customFormat="false" ht="15" hidden="false" customHeight="false" outlineLevel="0" collapsed="false">
      <c r="A2698" s="4" t="s">
        <v>3215</v>
      </c>
      <c r="B2698" s="5" t="n">
        <v>0.233</v>
      </c>
      <c r="C2698" s="5" t="n">
        <v>0.233</v>
      </c>
      <c r="D2698" s="5" t="n">
        <f aca="false">IF(AND(ISNUMBER(B2698),ISNUMBER(C2698)),C2698-B2698,"")</f>
        <v>0</v>
      </c>
      <c r="E2698" s="4" t="s">
        <v>531</v>
      </c>
    </row>
    <row r="2699" customFormat="false" ht="15" hidden="false" customHeight="false" outlineLevel="0" collapsed="false">
      <c r="A2699" s="4" t="s">
        <v>3216</v>
      </c>
      <c r="B2699" s="5" t="n">
        <v>0.233</v>
      </c>
      <c r="C2699" s="5" t="n">
        <v>0.233</v>
      </c>
      <c r="D2699" s="5" t="n">
        <f aca="false">IF(AND(ISNUMBER(B2699),ISNUMBER(C2699)),C2699-B2699,"")</f>
        <v>0</v>
      </c>
      <c r="E2699" s="4" t="s">
        <v>531</v>
      </c>
    </row>
    <row r="2700" customFormat="false" ht="15" hidden="false" customHeight="false" outlineLevel="0" collapsed="false">
      <c r="A2700" s="4" t="s">
        <v>3217</v>
      </c>
      <c r="B2700" s="5" t="n">
        <v>0.607</v>
      </c>
      <c r="C2700" s="5" t="n">
        <v>0.607</v>
      </c>
      <c r="D2700" s="5" t="n">
        <f aca="false">IF(AND(ISNUMBER(B2700),ISNUMBER(C2700)),C2700-B2700,"")</f>
        <v>0</v>
      </c>
      <c r="E2700" s="4" t="s">
        <v>531</v>
      </c>
    </row>
    <row r="2701" customFormat="false" ht="15" hidden="false" customHeight="false" outlineLevel="0" collapsed="false">
      <c r="A2701" s="4" t="s">
        <v>3218</v>
      </c>
      <c r="B2701" s="5" t="n">
        <v>0.978</v>
      </c>
      <c r="C2701" s="5" t="n">
        <v>0.992</v>
      </c>
      <c r="D2701" s="5" t="n">
        <f aca="false">IF(AND(ISNUMBER(B2701),ISNUMBER(C2701)),C2701-B2701,"")</f>
        <v>0.014</v>
      </c>
      <c r="E2701" s="4" t="s">
        <v>2252</v>
      </c>
    </row>
    <row r="2702" customFormat="false" ht="15" hidden="false" customHeight="false" outlineLevel="0" collapsed="false">
      <c r="A2702" s="4" t="s">
        <v>3219</v>
      </c>
      <c r="B2702" s="5" t="s">
        <v>216</v>
      </c>
      <c r="C2702" s="5" t="s">
        <v>216</v>
      </c>
      <c r="D2702" s="5" t="str">
        <f aca="false">IF(AND(ISNUMBER(B2702),ISNUMBER(C2702)),C2702-B2702,"")</f>
        <v/>
      </c>
      <c r="E2702" s="4" t="s">
        <v>531</v>
      </c>
    </row>
    <row r="2703" customFormat="false" ht="15" hidden="false" customHeight="false" outlineLevel="0" collapsed="false">
      <c r="A2703" s="4" t="s">
        <v>3220</v>
      </c>
      <c r="B2703" s="5" t="n">
        <v>0.654</v>
      </c>
      <c r="C2703" s="5" t="n">
        <v>0.654</v>
      </c>
      <c r="D2703" s="5" t="n">
        <f aca="false">IF(AND(ISNUMBER(B2703),ISNUMBER(C2703)),C2703-B2703,"")</f>
        <v>0</v>
      </c>
      <c r="E2703" s="4" t="s">
        <v>531</v>
      </c>
    </row>
    <row r="2704" customFormat="false" ht="15" hidden="false" customHeight="false" outlineLevel="0" collapsed="false">
      <c r="A2704" s="4" t="s">
        <v>3221</v>
      </c>
      <c r="B2704" s="5" t="n">
        <v>0.103</v>
      </c>
      <c r="C2704" s="5" t="n">
        <v>0.103</v>
      </c>
      <c r="D2704" s="5" t="n">
        <f aca="false">IF(AND(ISNUMBER(B2704),ISNUMBER(C2704)),C2704-B2704,"")</f>
        <v>0</v>
      </c>
      <c r="E2704" s="4" t="s">
        <v>531</v>
      </c>
    </row>
    <row r="2705" customFormat="false" ht="15" hidden="false" customHeight="false" outlineLevel="0" collapsed="false">
      <c r="A2705" s="4" t="s">
        <v>3222</v>
      </c>
      <c r="B2705" s="5" t="n">
        <v>0.09</v>
      </c>
      <c r="C2705" s="5" t="n">
        <v>0.09</v>
      </c>
      <c r="D2705" s="5" t="n">
        <f aca="false">IF(AND(ISNUMBER(B2705),ISNUMBER(C2705)),C2705-B2705,"")</f>
        <v>0</v>
      </c>
      <c r="E2705" s="4" t="s">
        <v>531</v>
      </c>
    </row>
    <row r="2706" customFormat="false" ht="15" hidden="false" customHeight="false" outlineLevel="0" collapsed="false">
      <c r="A2706" s="4" t="s">
        <v>3223</v>
      </c>
      <c r="B2706" s="5" t="n">
        <v>0.089</v>
      </c>
      <c r="C2706" s="5" t="n">
        <v>0.089</v>
      </c>
      <c r="D2706" s="5" t="n">
        <f aca="false">IF(AND(ISNUMBER(B2706),ISNUMBER(C2706)),C2706-B2706,"")</f>
        <v>0</v>
      </c>
      <c r="E2706" s="4" t="s">
        <v>531</v>
      </c>
    </row>
    <row r="2707" customFormat="false" ht="15" hidden="false" customHeight="false" outlineLevel="0" collapsed="false">
      <c r="A2707" s="4" t="s">
        <v>3224</v>
      </c>
      <c r="B2707" s="5" t="n">
        <v>0.252</v>
      </c>
      <c r="C2707" s="5" t="n">
        <v>0.252</v>
      </c>
      <c r="D2707" s="5" t="n">
        <f aca="false">IF(AND(ISNUMBER(B2707),ISNUMBER(C2707)),C2707-B2707,"")</f>
        <v>0</v>
      </c>
      <c r="E2707" s="4" t="s">
        <v>531</v>
      </c>
    </row>
    <row r="2708" customFormat="false" ht="15" hidden="false" customHeight="false" outlineLevel="0" collapsed="false">
      <c r="A2708" s="4" t="s">
        <v>3225</v>
      </c>
      <c r="B2708" s="5" t="n">
        <v>0.897</v>
      </c>
      <c r="C2708" s="5" t="n">
        <v>0.899</v>
      </c>
      <c r="D2708" s="5" t="n">
        <f aca="false">IF(AND(ISNUMBER(B2708),ISNUMBER(C2708)),C2708-B2708,"")</f>
        <v>0.002</v>
      </c>
      <c r="E2708" s="4" t="s">
        <v>2252</v>
      </c>
    </row>
    <row r="2709" customFormat="false" ht="15" hidden="false" customHeight="false" outlineLevel="0" collapsed="false">
      <c r="A2709" s="4" t="s">
        <v>3226</v>
      </c>
      <c r="B2709" s="5" t="s">
        <v>216</v>
      </c>
      <c r="C2709" s="5" t="s">
        <v>216</v>
      </c>
      <c r="D2709" s="5" t="str">
        <f aca="false">IF(AND(ISNUMBER(B2709),ISNUMBER(C2709)),C2709-B2709,"")</f>
        <v/>
      </c>
      <c r="E2709" s="4" t="s">
        <v>531</v>
      </c>
    </row>
    <row r="2710" customFormat="false" ht="15" hidden="false" customHeight="false" outlineLevel="0" collapsed="false">
      <c r="A2710" s="4" t="s">
        <v>3227</v>
      </c>
      <c r="B2710" s="5" t="n">
        <v>0.251</v>
      </c>
      <c r="C2710" s="5" t="n">
        <v>0.251</v>
      </c>
      <c r="D2710" s="5" t="n">
        <f aca="false">IF(AND(ISNUMBER(B2710),ISNUMBER(C2710)),C2710-B2710,"")</f>
        <v>0</v>
      </c>
      <c r="E2710" s="4" t="s">
        <v>531</v>
      </c>
    </row>
    <row r="2711" customFormat="false" ht="15" hidden="false" customHeight="false" outlineLevel="0" collapsed="false">
      <c r="A2711" s="4" t="s">
        <v>3228</v>
      </c>
      <c r="B2711" s="5" t="n">
        <v>2.276</v>
      </c>
      <c r="C2711" s="5" t="n">
        <v>2.276</v>
      </c>
      <c r="D2711" s="5" t="n">
        <f aca="false">IF(AND(ISNUMBER(B2711),ISNUMBER(C2711)),C2711-B2711,"")</f>
        <v>0</v>
      </c>
      <c r="E2711" s="4" t="s">
        <v>531</v>
      </c>
    </row>
    <row r="2712" customFormat="false" ht="15" hidden="false" customHeight="false" outlineLevel="0" collapsed="false">
      <c r="A2712" s="4" t="s">
        <v>3229</v>
      </c>
      <c r="B2712" s="5" t="n">
        <v>0.647</v>
      </c>
      <c r="C2712" s="5" t="n">
        <v>0.647</v>
      </c>
      <c r="D2712" s="5" t="n">
        <f aca="false">IF(AND(ISNUMBER(B2712),ISNUMBER(C2712)),C2712-B2712,"")</f>
        <v>0</v>
      </c>
      <c r="E2712" s="4" t="s">
        <v>531</v>
      </c>
    </row>
    <row r="2713" customFormat="false" ht="15" hidden="false" customHeight="false" outlineLevel="0" collapsed="false">
      <c r="A2713" s="4" t="s">
        <v>3230</v>
      </c>
      <c r="B2713" s="5" t="n">
        <v>0.644</v>
      </c>
      <c r="C2713" s="5" t="n">
        <v>0.644</v>
      </c>
      <c r="D2713" s="5" t="n">
        <f aca="false">IF(AND(ISNUMBER(B2713),ISNUMBER(C2713)),C2713-B2713,"")</f>
        <v>0</v>
      </c>
      <c r="E2713" s="4" t="s">
        <v>531</v>
      </c>
    </row>
    <row r="2714" customFormat="false" ht="15" hidden="false" customHeight="false" outlineLevel="0" collapsed="false">
      <c r="A2714" s="4" t="s">
        <v>3231</v>
      </c>
      <c r="B2714" s="5" t="n">
        <v>0</v>
      </c>
      <c r="C2714" s="5" t="n">
        <v>0</v>
      </c>
      <c r="D2714" s="5" t="n">
        <f aca="false">IF(AND(ISNUMBER(B2714),ISNUMBER(C2714)),C2714-B2714,"")</f>
        <v>0</v>
      </c>
      <c r="E2714" s="4" t="s">
        <v>531</v>
      </c>
    </row>
    <row r="2715" customFormat="false" ht="15" hidden="false" customHeight="false" outlineLevel="0" collapsed="false">
      <c r="A2715" s="4" t="s">
        <v>3232</v>
      </c>
      <c r="B2715" s="5" t="n">
        <v>0.026</v>
      </c>
      <c r="C2715" s="5" t="n">
        <v>0.022</v>
      </c>
      <c r="D2715" s="5" t="n">
        <f aca="false">IF(AND(ISNUMBER(B2715),ISNUMBER(C2715)),C2715-B2715,"")</f>
        <v>-0.004</v>
      </c>
      <c r="E2715" s="4" t="s">
        <v>2252</v>
      </c>
    </row>
    <row r="2716" customFormat="false" ht="15" hidden="false" customHeight="false" outlineLevel="0" collapsed="false">
      <c r="A2716" s="4" t="s">
        <v>3233</v>
      </c>
      <c r="B2716" s="5" t="s">
        <v>216</v>
      </c>
      <c r="C2716" s="5" t="s">
        <v>216</v>
      </c>
      <c r="D2716" s="5" t="str">
        <f aca="false">IF(AND(ISNUMBER(B2716),ISNUMBER(C2716)),C2716-B2716,"")</f>
        <v/>
      </c>
      <c r="E2716" s="4" t="s">
        <v>531</v>
      </c>
    </row>
    <row r="2717" customFormat="false" ht="15" hidden="false" customHeight="false" outlineLevel="0" collapsed="false">
      <c r="A2717" s="4" t="s">
        <v>3234</v>
      </c>
      <c r="B2717" s="5" t="n">
        <v>1.812</v>
      </c>
      <c r="C2717" s="5" t="n">
        <v>1.812</v>
      </c>
      <c r="D2717" s="5" t="n">
        <f aca="false">IF(AND(ISNUMBER(B2717),ISNUMBER(C2717)),C2717-B2717,"")</f>
        <v>0</v>
      </c>
      <c r="E2717" s="4" t="s">
        <v>531</v>
      </c>
    </row>
    <row r="2718" customFormat="false" ht="15" hidden="false" customHeight="false" outlineLevel="0" collapsed="false">
      <c r="A2718" s="4" t="s">
        <v>3235</v>
      </c>
      <c r="B2718" s="5" t="n">
        <v>0.252</v>
      </c>
      <c r="C2718" s="5" t="n">
        <v>0.252</v>
      </c>
      <c r="D2718" s="5" t="n">
        <f aca="false">IF(AND(ISNUMBER(B2718),ISNUMBER(C2718)),C2718-B2718,"")</f>
        <v>0</v>
      </c>
      <c r="E2718" s="4" t="s">
        <v>531</v>
      </c>
    </row>
    <row r="2719" customFormat="false" ht="15" hidden="false" customHeight="false" outlineLevel="0" collapsed="false">
      <c r="A2719" s="4" t="s">
        <v>3236</v>
      </c>
      <c r="B2719" s="5" t="n">
        <v>0.113</v>
      </c>
      <c r="C2719" s="5" t="n">
        <v>0.113</v>
      </c>
      <c r="D2719" s="5" t="n">
        <f aca="false">IF(AND(ISNUMBER(B2719),ISNUMBER(C2719)),C2719-B2719,"")</f>
        <v>0</v>
      </c>
      <c r="E2719" s="4" t="s">
        <v>531</v>
      </c>
    </row>
    <row r="2720" customFormat="false" ht="15" hidden="false" customHeight="false" outlineLevel="0" collapsed="false">
      <c r="A2720" s="4" t="s">
        <v>3237</v>
      </c>
      <c r="B2720" s="5" t="n">
        <v>0.116</v>
      </c>
      <c r="C2720" s="5" t="n">
        <v>0.116</v>
      </c>
      <c r="D2720" s="5" t="n">
        <f aca="false">IF(AND(ISNUMBER(B2720),ISNUMBER(C2720)),C2720-B2720,"")</f>
        <v>0</v>
      </c>
      <c r="E2720" s="4" t="s">
        <v>531</v>
      </c>
    </row>
    <row r="2721" customFormat="false" ht="15" hidden="false" customHeight="false" outlineLevel="0" collapsed="false">
      <c r="A2721" s="4" t="s">
        <v>3238</v>
      </c>
      <c r="B2721" s="5" t="n">
        <v>0.026</v>
      </c>
      <c r="C2721" s="5" t="n">
        <v>0.026</v>
      </c>
      <c r="D2721" s="5" t="n">
        <f aca="false">IF(AND(ISNUMBER(B2721),ISNUMBER(C2721)),C2721-B2721,"")</f>
        <v>0</v>
      </c>
      <c r="E2721" s="4" t="s">
        <v>531</v>
      </c>
    </row>
    <row r="2722" customFormat="false" ht="15" hidden="false" customHeight="false" outlineLevel="0" collapsed="false">
      <c r="A2722" s="4" t="s">
        <v>3239</v>
      </c>
      <c r="B2722" s="5" t="n">
        <v>0.35</v>
      </c>
      <c r="C2722" s="5" t="n">
        <v>0.336</v>
      </c>
      <c r="D2722" s="5" t="n">
        <f aca="false">IF(AND(ISNUMBER(B2722),ISNUMBER(C2722)),C2722-B2722,"")</f>
        <v>-0.014</v>
      </c>
      <c r="E2722" s="4" t="s">
        <v>2252</v>
      </c>
    </row>
    <row r="2723" customFormat="false" ht="15" hidden="false" customHeight="false" outlineLevel="0" collapsed="false">
      <c r="A2723" s="4" t="s">
        <v>3240</v>
      </c>
      <c r="B2723" s="5" t="s">
        <v>216</v>
      </c>
      <c r="C2723" s="5" t="s">
        <v>216</v>
      </c>
      <c r="D2723" s="5" t="str">
        <f aca="false">IF(AND(ISNUMBER(B2723),ISNUMBER(C2723)),C2723-B2723,"")</f>
        <v/>
      </c>
      <c r="E2723" s="4" t="s">
        <v>531</v>
      </c>
    </row>
    <row r="2724" customFormat="false" ht="15" hidden="false" customHeight="false" outlineLevel="0" collapsed="false">
      <c r="A2724" s="4" t="s">
        <v>3241</v>
      </c>
      <c r="B2724" s="5" t="n">
        <v>0.318</v>
      </c>
      <c r="C2724" s="5" t="n">
        <v>0.318</v>
      </c>
      <c r="D2724" s="5" t="n">
        <f aca="false">IF(AND(ISNUMBER(B2724),ISNUMBER(C2724)),C2724-B2724,"")</f>
        <v>0</v>
      </c>
      <c r="E2724" s="4" t="s">
        <v>531</v>
      </c>
    </row>
    <row r="2725" customFormat="false" ht="15" hidden="false" customHeight="false" outlineLevel="0" collapsed="false">
      <c r="A2725" s="4" t="s">
        <v>3242</v>
      </c>
      <c r="B2725" s="5" t="n">
        <v>0.19</v>
      </c>
      <c r="C2725" s="5" t="n">
        <v>0.19</v>
      </c>
      <c r="D2725" s="5" t="n">
        <f aca="false">IF(AND(ISNUMBER(B2725),ISNUMBER(C2725)),C2725-B2725,"")</f>
        <v>0</v>
      </c>
      <c r="E2725" s="4" t="s">
        <v>531</v>
      </c>
    </row>
    <row r="2726" customFormat="false" ht="15" hidden="false" customHeight="false" outlineLevel="0" collapsed="false">
      <c r="A2726" s="4" t="s">
        <v>3243</v>
      </c>
      <c r="B2726" s="5" t="n">
        <v>0.1</v>
      </c>
      <c r="C2726" s="5" t="n">
        <v>0.1</v>
      </c>
      <c r="D2726" s="5" t="n">
        <f aca="false">IF(AND(ISNUMBER(B2726),ISNUMBER(C2726)),C2726-B2726,"")</f>
        <v>0</v>
      </c>
      <c r="E2726" s="4" t="s">
        <v>531</v>
      </c>
    </row>
    <row r="2727" customFormat="false" ht="15" hidden="false" customHeight="false" outlineLevel="0" collapsed="false">
      <c r="A2727" s="4" t="s">
        <v>3244</v>
      </c>
      <c r="B2727" s="5" t="n">
        <v>0.099</v>
      </c>
      <c r="C2727" s="5" t="n">
        <v>0.099</v>
      </c>
      <c r="D2727" s="5" t="n">
        <f aca="false">IF(AND(ISNUMBER(B2727),ISNUMBER(C2727)),C2727-B2727,"")</f>
        <v>0</v>
      </c>
      <c r="E2727" s="4" t="s">
        <v>531</v>
      </c>
    </row>
    <row r="2728" customFormat="false" ht="15" hidden="false" customHeight="false" outlineLevel="0" collapsed="false">
      <c r="A2728" s="4" t="s">
        <v>3245</v>
      </c>
      <c r="B2728" s="5" t="n">
        <v>0.057</v>
      </c>
      <c r="C2728" s="5" t="n">
        <v>0.057</v>
      </c>
      <c r="D2728" s="5" t="n">
        <f aca="false">IF(AND(ISNUMBER(B2728),ISNUMBER(C2728)),C2728-B2728,"")</f>
        <v>0</v>
      </c>
      <c r="E2728" s="4" t="s">
        <v>531</v>
      </c>
    </row>
    <row r="2729" customFormat="false" ht="15" hidden="false" customHeight="false" outlineLevel="0" collapsed="false">
      <c r="A2729" s="4" t="s">
        <v>3246</v>
      </c>
      <c r="B2729" s="5" t="n">
        <v>0.478</v>
      </c>
      <c r="C2729" s="5" t="n">
        <v>0.486</v>
      </c>
      <c r="D2729" s="5" t="n">
        <f aca="false">IF(AND(ISNUMBER(B2729),ISNUMBER(C2729)),C2729-B2729,"")</f>
        <v>0.00800000000000001</v>
      </c>
      <c r="E2729" s="4" t="s">
        <v>2252</v>
      </c>
    </row>
    <row r="2730" customFormat="false" ht="15" hidden="false" customHeight="false" outlineLevel="0" collapsed="false">
      <c r="A2730" s="4" t="s">
        <v>3247</v>
      </c>
      <c r="B2730" s="5" t="s">
        <v>216</v>
      </c>
      <c r="C2730" s="5" t="s">
        <v>216</v>
      </c>
      <c r="D2730" s="5" t="str">
        <f aca="false">IF(AND(ISNUMBER(B2730),ISNUMBER(C2730)),C2730-B2730,"")</f>
        <v/>
      </c>
      <c r="E2730" s="4" t="s">
        <v>531</v>
      </c>
    </row>
    <row r="2731" customFormat="false" ht="15" hidden="false" customHeight="false" outlineLevel="0" collapsed="false">
      <c r="A2731" s="4" t="s">
        <v>3248</v>
      </c>
      <c r="B2731" s="5" t="n">
        <v>0.28</v>
      </c>
      <c r="C2731" s="5" t="n">
        <v>0.28</v>
      </c>
      <c r="D2731" s="5" t="n">
        <f aca="false">IF(AND(ISNUMBER(B2731),ISNUMBER(C2731)),C2731-B2731,"")</f>
        <v>0</v>
      </c>
      <c r="E2731" s="4" t="s">
        <v>531</v>
      </c>
    </row>
    <row r="2732" customFormat="false" ht="15" hidden="false" customHeight="false" outlineLevel="0" collapsed="false">
      <c r="A2732" s="4" t="s">
        <v>3249</v>
      </c>
      <c r="B2732" s="5" t="n">
        <v>0.093</v>
      </c>
      <c r="C2732" s="5" t="n">
        <v>0.093</v>
      </c>
      <c r="D2732" s="5" t="n">
        <f aca="false">IF(AND(ISNUMBER(B2732),ISNUMBER(C2732)),C2732-B2732,"")</f>
        <v>0</v>
      </c>
      <c r="E2732" s="4" t="s">
        <v>531</v>
      </c>
    </row>
    <row r="2733" customFormat="false" ht="15" hidden="false" customHeight="false" outlineLevel="0" collapsed="false">
      <c r="A2733" s="4" t="s">
        <v>3250</v>
      </c>
      <c r="B2733" s="5" t="n">
        <v>0.11</v>
      </c>
      <c r="C2733" s="5" t="n">
        <v>0.11</v>
      </c>
      <c r="D2733" s="5" t="n">
        <f aca="false">IF(AND(ISNUMBER(B2733),ISNUMBER(C2733)),C2733-B2733,"")</f>
        <v>0</v>
      </c>
      <c r="E2733" s="4" t="s">
        <v>531</v>
      </c>
    </row>
    <row r="2734" customFormat="false" ht="15" hidden="false" customHeight="false" outlineLevel="0" collapsed="false">
      <c r="A2734" s="4" t="s">
        <v>3251</v>
      </c>
      <c r="B2734" s="5" t="n">
        <v>0.109</v>
      </c>
      <c r="C2734" s="5" t="n">
        <v>0.109</v>
      </c>
      <c r="D2734" s="5" t="n">
        <f aca="false">IF(AND(ISNUMBER(B2734),ISNUMBER(C2734)),C2734-B2734,"")</f>
        <v>0</v>
      </c>
      <c r="E2734" s="4" t="s">
        <v>531</v>
      </c>
    </row>
    <row r="2735" customFormat="false" ht="15" hidden="false" customHeight="false" outlineLevel="0" collapsed="false">
      <c r="A2735" s="4" t="s">
        <v>3252</v>
      </c>
      <c r="B2735" s="5" t="n">
        <v>0.395</v>
      </c>
      <c r="C2735" s="5" t="n">
        <v>0.395</v>
      </c>
      <c r="D2735" s="5" t="n">
        <f aca="false">IF(AND(ISNUMBER(B2735),ISNUMBER(C2735)),C2735-B2735,"")</f>
        <v>0</v>
      </c>
      <c r="E2735" s="4" t="s">
        <v>531</v>
      </c>
    </row>
    <row r="2736" customFormat="false" ht="15" hidden="false" customHeight="false" outlineLevel="0" collapsed="false">
      <c r="A2736" s="4" t="s">
        <v>3253</v>
      </c>
      <c r="B2736" s="5" t="n">
        <v>0.961</v>
      </c>
      <c r="C2736" s="5" t="n">
        <v>0.958</v>
      </c>
      <c r="D2736" s="5" t="n">
        <f aca="false">IF(AND(ISNUMBER(B2736),ISNUMBER(C2736)),C2736-B2736,"")</f>
        <v>-0.003</v>
      </c>
      <c r="E2736" s="4" t="s">
        <v>2252</v>
      </c>
    </row>
    <row r="2737" customFormat="false" ht="15" hidden="false" customHeight="false" outlineLevel="0" collapsed="false">
      <c r="A2737" s="4" t="s">
        <v>3254</v>
      </c>
      <c r="B2737" s="5" t="s">
        <v>216</v>
      </c>
      <c r="C2737" s="5" t="s">
        <v>216</v>
      </c>
      <c r="D2737" s="5" t="str">
        <f aca="false">IF(AND(ISNUMBER(B2737),ISNUMBER(C2737)),C2737-B2737,"")</f>
        <v/>
      </c>
      <c r="E2737" s="4" t="s">
        <v>531</v>
      </c>
    </row>
    <row r="2738" customFormat="false" ht="15" hidden="false" customHeight="false" outlineLevel="0" collapsed="false">
      <c r="A2738" s="4" t="s">
        <v>3255</v>
      </c>
      <c r="B2738" s="5" t="n">
        <v>0.307</v>
      </c>
      <c r="C2738" s="5" t="n">
        <v>0.307</v>
      </c>
      <c r="D2738" s="5" t="n">
        <f aca="false">IF(AND(ISNUMBER(B2738),ISNUMBER(C2738)),C2738-B2738,"")</f>
        <v>0</v>
      </c>
      <c r="E2738" s="4" t="s">
        <v>531</v>
      </c>
    </row>
    <row r="2739" customFormat="false" ht="15" hidden="false" customHeight="false" outlineLevel="0" collapsed="false">
      <c r="A2739" s="4" t="s">
        <v>3256</v>
      </c>
      <c r="B2739" s="5" t="n">
        <v>0.043</v>
      </c>
      <c r="C2739" s="5" t="n">
        <v>0.043</v>
      </c>
      <c r="D2739" s="5" t="n">
        <f aca="false">IF(AND(ISNUMBER(B2739),ISNUMBER(C2739)),C2739-B2739,"")</f>
        <v>0</v>
      </c>
      <c r="E2739" s="4" t="s">
        <v>531</v>
      </c>
    </row>
    <row r="2740" customFormat="false" ht="15" hidden="false" customHeight="false" outlineLevel="0" collapsed="false">
      <c r="A2740" s="4" t="s">
        <v>3257</v>
      </c>
      <c r="B2740" s="5" t="n">
        <v>0.119</v>
      </c>
      <c r="C2740" s="5" t="n">
        <v>0.119</v>
      </c>
      <c r="D2740" s="5" t="n">
        <f aca="false">IF(AND(ISNUMBER(B2740),ISNUMBER(C2740)),C2740-B2740,"")</f>
        <v>0</v>
      </c>
      <c r="E2740" s="4" t="s">
        <v>531</v>
      </c>
    </row>
    <row r="2741" customFormat="false" ht="15" hidden="false" customHeight="false" outlineLevel="0" collapsed="false">
      <c r="A2741" s="4" t="s">
        <v>3258</v>
      </c>
      <c r="B2741" s="5" t="n">
        <v>0.119</v>
      </c>
      <c r="C2741" s="5" t="n">
        <v>0.119</v>
      </c>
      <c r="D2741" s="5" t="n">
        <f aca="false">IF(AND(ISNUMBER(B2741),ISNUMBER(C2741)),C2741-B2741,"")</f>
        <v>0</v>
      </c>
      <c r="E2741" s="4" t="s">
        <v>531</v>
      </c>
    </row>
    <row r="2742" customFormat="false" ht="15" hidden="false" customHeight="false" outlineLevel="0" collapsed="false">
      <c r="A2742" s="4" t="s">
        <v>3259</v>
      </c>
      <c r="B2742" s="5" t="n">
        <v>0.716</v>
      </c>
      <c r="C2742" s="5" t="n">
        <v>0.716</v>
      </c>
      <c r="D2742" s="5" t="n">
        <f aca="false">IF(AND(ISNUMBER(B2742),ISNUMBER(C2742)),C2742-B2742,"")</f>
        <v>0</v>
      </c>
      <c r="E2742" s="4" t="s">
        <v>531</v>
      </c>
    </row>
    <row r="2743" customFormat="false" ht="15" hidden="false" customHeight="false" outlineLevel="0" collapsed="false">
      <c r="A2743" s="4" t="s">
        <v>3260</v>
      </c>
      <c r="B2743" s="5" t="n">
        <v>0.978</v>
      </c>
      <c r="C2743" s="5" t="n">
        <v>0.992</v>
      </c>
      <c r="D2743" s="5" t="n">
        <f aca="false">IF(AND(ISNUMBER(B2743),ISNUMBER(C2743)),C2743-B2743,"")</f>
        <v>0.014</v>
      </c>
      <c r="E2743" s="4" t="s">
        <v>2252</v>
      </c>
    </row>
    <row r="2744" customFormat="false" ht="15" hidden="false" customHeight="false" outlineLevel="0" collapsed="false">
      <c r="A2744" s="4" t="s">
        <v>3261</v>
      </c>
      <c r="B2744" s="5" t="s">
        <v>216</v>
      </c>
      <c r="C2744" s="5" t="s">
        <v>216</v>
      </c>
      <c r="D2744" s="5" t="str">
        <f aca="false">IF(AND(ISNUMBER(B2744),ISNUMBER(C2744)),C2744-B2744,"")</f>
        <v/>
      </c>
      <c r="E2744" s="4" t="s">
        <v>531</v>
      </c>
    </row>
    <row r="2745" customFormat="false" ht="15" hidden="false" customHeight="false" outlineLevel="0" collapsed="false">
      <c r="A2745" s="4" t="s">
        <v>3262</v>
      </c>
      <c r="B2745" s="5" t="n">
        <v>0.334</v>
      </c>
      <c r="C2745" s="5" t="n">
        <v>0.334</v>
      </c>
      <c r="D2745" s="5" t="n">
        <f aca="false">IF(AND(ISNUMBER(B2745),ISNUMBER(C2745)),C2745-B2745,"")</f>
        <v>0</v>
      </c>
      <c r="E2745" s="4" t="s">
        <v>531</v>
      </c>
    </row>
    <row r="2746" customFormat="false" ht="15" hidden="false" customHeight="false" outlineLevel="0" collapsed="false">
      <c r="A2746" s="4" t="s">
        <v>3263</v>
      </c>
      <c r="B2746" s="5" t="n">
        <v>0.499</v>
      </c>
      <c r="C2746" s="5" t="n">
        <v>0.499</v>
      </c>
      <c r="D2746" s="5" t="n">
        <f aca="false">IF(AND(ISNUMBER(B2746),ISNUMBER(C2746)),C2746-B2746,"")</f>
        <v>0</v>
      </c>
      <c r="E2746" s="4" t="s">
        <v>531</v>
      </c>
    </row>
    <row r="2747" customFormat="false" ht="15" hidden="false" customHeight="false" outlineLevel="0" collapsed="false">
      <c r="A2747" s="4" t="s">
        <v>3264</v>
      </c>
      <c r="B2747" s="5" t="n">
        <v>0.147</v>
      </c>
      <c r="C2747" s="5" t="n">
        <v>0.147</v>
      </c>
      <c r="D2747" s="5" t="n">
        <f aca="false">IF(AND(ISNUMBER(B2747),ISNUMBER(C2747)),C2747-B2747,"")</f>
        <v>0</v>
      </c>
      <c r="E2747" s="4" t="s">
        <v>531</v>
      </c>
    </row>
    <row r="2748" customFormat="false" ht="15" hidden="false" customHeight="false" outlineLevel="0" collapsed="false">
      <c r="A2748" s="4" t="s">
        <v>3265</v>
      </c>
      <c r="B2748" s="5" t="n">
        <v>0.146</v>
      </c>
      <c r="C2748" s="5" t="n">
        <v>0.146</v>
      </c>
      <c r="D2748" s="5" t="n">
        <f aca="false">IF(AND(ISNUMBER(B2748),ISNUMBER(C2748)),C2748-B2748,"")</f>
        <v>0</v>
      </c>
      <c r="E2748" s="4" t="s">
        <v>531</v>
      </c>
    </row>
    <row r="2749" customFormat="false" ht="15" hidden="false" customHeight="false" outlineLevel="0" collapsed="false">
      <c r="A2749" s="4" t="s">
        <v>3266</v>
      </c>
      <c r="B2749" s="5" t="n">
        <v>0.001</v>
      </c>
      <c r="C2749" s="5" t="n">
        <v>0.001</v>
      </c>
      <c r="D2749" s="5" t="n">
        <f aca="false">IF(AND(ISNUMBER(B2749),ISNUMBER(C2749)),C2749-B2749,"")</f>
        <v>0</v>
      </c>
      <c r="E2749" s="4" t="s">
        <v>531</v>
      </c>
    </row>
    <row r="2750" customFormat="false" ht="15" hidden="false" customHeight="false" outlineLevel="0" collapsed="false">
      <c r="A2750" s="4" t="s">
        <v>3267</v>
      </c>
      <c r="B2750" s="5" t="n">
        <v>0.03</v>
      </c>
      <c r="C2750" s="5" t="n">
        <v>0.024</v>
      </c>
      <c r="D2750" s="5" t="n">
        <f aca="false">IF(AND(ISNUMBER(B2750),ISNUMBER(C2750)),C2750-B2750,"")</f>
        <v>-0.006</v>
      </c>
      <c r="E2750" s="4" t="s">
        <v>2252</v>
      </c>
    </row>
    <row r="2751" customFormat="false" ht="15" hidden="false" customHeight="false" outlineLevel="0" collapsed="false">
      <c r="A2751" s="4" t="s">
        <v>3268</v>
      </c>
      <c r="B2751" s="5" t="s">
        <v>216</v>
      </c>
      <c r="C2751" s="5" t="s">
        <v>216</v>
      </c>
      <c r="D2751" s="5" t="str">
        <f aca="false">IF(AND(ISNUMBER(B2751),ISNUMBER(C2751)),C2751-B2751,"")</f>
        <v/>
      </c>
      <c r="E2751" s="4" t="s">
        <v>531</v>
      </c>
    </row>
    <row r="2752" customFormat="false" ht="15" hidden="false" customHeight="false" outlineLevel="0" collapsed="false">
      <c r="A2752" s="4" t="s">
        <v>3269</v>
      </c>
      <c r="B2752" s="5" t="n">
        <v>0.412</v>
      </c>
      <c r="C2752" s="5" t="n">
        <v>0.412</v>
      </c>
      <c r="D2752" s="5" t="n">
        <f aca="false">IF(AND(ISNUMBER(B2752),ISNUMBER(C2752)),C2752-B2752,"")</f>
        <v>0</v>
      </c>
      <c r="E2752" s="4" t="s">
        <v>531</v>
      </c>
    </row>
    <row r="2753" customFormat="false" ht="15" hidden="false" customHeight="false" outlineLevel="0" collapsed="false">
      <c r="A2753" s="4" t="s">
        <v>3270</v>
      </c>
      <c r="B2753" s="5" t="n">
        <v>0.347</v>
      </c>
      <c r="C2753" s="5" t="n">
        <v>0.347</v>
      </c>
      <c r="D2753" s="5" t="n">
        <f aca="false">IF(AND(ISNUMBER(B2753),ISNUMBER(C2753)),C2753-B2753,"")</f>
        <v>0</v>
      </c>
      <c r="E2753" s="4" t="s">
        <v>531</v>
      </c>
    </row>
    <row r="2754" customFormat="false" ht="15" hidden="false" customHeight="false" outlineLevel="0" collapsed="false">
      <c r="A2754" s="4" t="s">
        <v>3271</v>
      </c>
      <c r="B2754" s="5" t="n">
        <v>0.122</v>
      </c>
      <c r="C2754" s="5" t="n">
        <v>0.122</v>
      </c>
      <c r="D2754" s="5" t="n">
        <f aca="false">IF(AND(ISNUMBER(B2754),ISNUMBER(C2754)),C2754-B2754,"")</f>
        <v>0</v>
      </c>
      <c r="E2754" s="4" t="s">
        <v>531</v>
      </c>
    </row>
    <row r="2755" customFormat="false" ht="15" hidden="false" customHeight="false" outlineLevel="0" collapsed="false">
      <c r="A2755" s="4" t="s">
        <v>3272</v>
      </c>
      <c r="B2755" s="5" t="n">
        <v>0.123</v>
      </c>
      <c r="C2755" s="5" t="n">
        <v>0.123</v>
      </c>
      <c r="D2755" s="5" t="n">
        <f aca="false">IF(AND(ISNUMBER(B2755),ISNUMBER(C2755)),C2755-B2755,"")</f>
        <v>0</v>
      </c>
      <c r="E2755" s="4" t="s">
        <v>531</v>
      </c>
    </row>
    <row r="2756" customFormat="false" ht="15" hidden="false" customHeight="false" outlineLevel="0" collapsed="false">
      <c r="A2756" s="4" t="s">
        <v>3273</v>
      </c>
      <c r="B2756" s="5" t="n">
        <v>0.004</v>
      </c>
      <c r="C2756" s="5" t="n">
        <v>0.004</v>
      </c>
      <c r="D2756" s="5" t="n">
        <f aca="false">IF(AND(ISNUMBER(B2756),ISNUMBER(C2756)),C2756-B2756,"")</f>
        <v>0</v>
      </c>
      <c r="E2756" s="4" t="s">
        <v>531</v>
      </c>
    </row>
    <row r="2757" customFormat="false" ht="15" hidden="false" customHeight="false" outlineLevel="0" collapsed="false">
      <c r="A2757" s="4" t="s">
        <v>3274</v>
      </c>
      <c r="B2757" s="5" t="n">
        <v>0.09</v>
      </c>
      <c r="C2757" s="5" t="n">
        <v>0.098</v>
      </c>
      <c r="D2757" s="5" t="n">
        <f aca="false">IF(AND(ISNUMBER(B2757),ISNUMBER(C2757)),C2757-B2757,"")</f>
        <v>0.00800000000000001</v>
      </c>
      <c r="E2757" s="4" t="s">
        <v>2252</v>
      </c>
    </row>
    <row r="2758" customFormat="false" ht="15" hidden="false" customHeight="false" outlineLevel="0" collapsed="false">
      <c r="A2758" s="4" t="s">
        <v>3275</v>
      </c>
      <c r="B2758" s="5" t="s">
        <v>216</v>
      </c>
      <c r="C2758" s="5" t="s">
        <v>216</v>
      </c>
      <c r="D2758" s="5" t="str">
        <f aca="false">IF(AND(ISNUMBER(B2758),ISNUMBER(C2758)),C2758-B2758,"")</f>
        <v/>
      </c>
      <c r="E2758" s="4" t="s">
        <v>531</v>
      </c>
    </row>
    <row r="2759" customFormat="false" ht="15" hidden="false" customHeight="false" outlineLevel="0" collapsed="false">
      <c r="A2759" s="4" t="s">
        <v>3276</v>
      </c>
      <c r="B2759" s="5" t="n">
        <v>0.341</v>
      </c>
      <c r="C2759" s="5" t="n">
        <v>0.341</v>
      </c>
      <c r="D2759" s="5" t="n">
        <f aca="false">IF(AND(ISNUMBER(B2759),ISNUMBER(C2759)),C2759-B2759,"")</f>
        <v>0</v>
      </c>
      <c r="E2759" s="4" t="s">
        <v>531</v>
      </c>
    </row>
    <row r="2760" customFormat="false" ht="15" hidden="false" customHeight="false" outlineLevel="0" collapsed="false">
      <c r="A2760" s="4" t="s">
        <v>3277</v>
      </c>
      <c r="B2760" s="5" t="n">
        <v>0.272</v>
      </c>
      <c r="C2760" s="5" t="n">
        <v>0.272</v>
      </c>
      <c r="D2760" s="5" t="n">
        <f aca="false">IF(AND(ISNUMBER(B2760),ISNUMBER(C2760)),C2760-B2760,"")</f>
        <v>0</v>
      </c>
      <c r="E2760" s="4" t="s">
        <v>531</v>
      </c>
    </row>
    <row r="2761" customFormat="false" ht="15" hidden="false" customHeight="false" outlineLevel="0" collapsed="false">
      <c r="A2761" s="4" t="s">
        <v>3278</v>
      </c>
      <c r="B2761" s="5" t="n">
        <v>0.142</v>
      </c>
      <c r="C2761" s="5" t="n">
        <v>0.142</v>
      </c>
      <c r="D2761" s="5" t="n">
        <f aca="false">IF(AND(ISNUMBER(B2761),ISNUMBER(C2761)),C2761-B2761,"")</f>
        <v>0</v>
      </c>
      <c r="E2761" s="4" t="s">
        <v>531</v>
      </c>
    </row>
    <row r="2762" customFormat="false" ht="15" hidden="false" customHeight="false" outlineLevel="0" collapsed="false">
      <c r="A2762" s="4" t="s">
        <v>3279</v>
      </c>
      <c r="B2762" s="5" t="n">
        <v>0.142</v>
      </c>
      <c r="C2762" s="5" t="n">
        <v>0.142</v>
      </c>
      <c r="D2762" s="5" t="n">
        <f aca="false">IF(AND(ISNUMBER(B2762),ISNUMBER(C2762)),C2762-B2762,"")</f>
        <v>0</v>
      </c>
      <c r="E2762" s="4" t="s">
        <v>531</v>
      </c>
    </row>
    <row r="2763" customFormat="false" ht="15" hidden="false" customHeight="false" outlineLevel="0" collapsed="false">
      <c r="A2763" s="4" t="s">
        <v>3280</v>
      </c>
      <c r="B2763" s="5" t="n">
        <v>0.054</v>
      </c>
      <c r="C2763" s="5" t="n">
        <v>0.054</v>
      </c>
      <c r="D2763" s="5" t="n">
        <f aca="false">IF(AND(ISNUMBER(B2763),ISNUMBER(C2763)),C2763-B2763,"")</f>
        <v>0</v>
      </c>
      <c r="E2763" s="4" t="s">
        <v>531</v>
      </c>
    </row>
    <row r="2764" customFormat="false" ht="15" hidden="false" customHeight="false" outlineLevel="0" collapsed="false">
      <c r="A2764" s="4" t="s">
        <v>3281</v>
      </c>
      <c r="B2764" s="5" t="n">
        <v>0.478</v>
      </c>
      <c r="C2764" s="5" t="n">
        <v>0.486</v>
      </c>
      <c r="D2764" s="5" t="n">
        <f aca="false">IF(AND(ISNUMBER(B2764),ISNUMBER(C2764)),C2764-B2764,"")</f>
        <v>0.00800000000000001</v>
      </c>
      <c r="E2764" s="4" t="s">
        <v>2252</v>
      </c>
    </row>
    <row r="2765" customFormat="false" ht="15" hidden="false" customHeight="false" outlineLevel="0" collapsed="false">
      <c r="A2765" s="4" t="s">
        <v>3282</v>
      </c>
      <c r="B2765" s="5" t="s">
        <v>216</v>
      </c>
      <c r="C2765" s="5" t="s">
        <v>216</v>
      </c>
      <c r="D2765" s="5" t="str">
        <f aca="false">IF(AND(ISNUMBER(B2765),ISNUMBER(C2765)),C2765-B2765,"")</f>
        <v/>
      </c>
      <c r="E2765" s="4" t="s">
        <v>531</v>
      </c>
    </row>
    <row r="2766" customFormat="false" ht="15" hidden="false" customHeight="false" outlineLevel="0" collapsed="false">
      <c r="A2766" s="4" t="s">
        <v>3283</v>
      </c>
      <c r="B2766" s="5" t="n">
        <v>0.397</v>
      </c>
      <c r="C2766" s="5" t="n">
        <v>0.397</v>
      </c>
      <c r="D2766" s="5" t="n">
        <f aca="false">IF(AND(ISNUMBER(B2766),ISNUMBER(C2766)),C2766-B2766,"")</f>
        <v>0</v>
      </c>
      <c r="E2766" s="4" t="s">
        <v>531</v>
      </c>
    </row>
    <row r="2767" customFormat="false" ht="15" hidden="false" customHeight="false" outlineLevel="0" collapsed="false">
      <c r="A2767" s="4" t="s">
        <v>3284</v>
      </c>
      <c r="B2767" s="5" t="n">
        <v>0.396</v>
      </c>
      <c r="C2767" s="5" t="n">
        <v>0.396</v>
      </c>
      <c r="D2767" s="5" t="n">
        <f aca="false">IF(AND(ISNUMBER(B2767),ISNUMBER(C2767)),C2767-B2767,"")</f>
        <v>0</v>
      </c>
      <c r="E2767" s="4" t="s">
        <v>531</v>
      </c>
    </row>
    <row r="2768" customFormat="false" ht="15" hidden="false" customHeight="false" outlineLevel="0" collapsed="false">
      <c r="A2768" s="4" t="s">
        <v>3285</v>
      </c>
      <c r="B2768" s="5" t="n">
        <v>0.135</v>
      </c>
      <c r="C2768" s="5" t="n">
        <v>0.135</v>
      </c>
      <c r="D2768" s="5" t="n">
        <f aca="false">IF(AND(ISNUMBER(B2768),ISNUMBER(C2768)),C2768-B2768,"")</f>
        <v>0</v>
      </c>
      <c r="E2768" s="4" t="s">
        <v>531</v>
      </c>
    </row>
    <row r="2769" customFormat="false" ht="15" hidden="false" customHeight="false" outlineLevel="0" collapsed="false">
      <c r="A2769" s="4" t="s">
        <v>3286</v>
      </c>
      <c r="B2769" s="5" t="n">
        <v>0.136</v>
      </c>
      <c r="C2769" s="5" t="n">
        <v>0.136</v>
      </c>
      <c r="D2769" s="5" t="n">
        <f aca="false">IF(AND(ISNUMBER(B2769),ISNUMBER(C2769)),C2769-B2769,"")</f>
        <v>0</v>
      </c>
      <c r="E2769" s="4" t="s">
        <v>531</v>
      </c>
    </row>
    <row r="2770" customFormat="false" ht="15" hidden="false" customHeight="false" outlineLevel="0" collapsed="false">
      <c r="A2770" s="4" t="s">
        <v>3287</v>
      </c>
      <c r="B2770" s="5" t="n">
        <v>0.003</v>
      </c>
      <c r="C2770" s="5" t="n">
        <v>0.003</v>
      </c>
      <c r="D2770" s="5" t="n">
        <f aca="false">IF(AND(ISNUMBER(B2770),ISNUMBER(C2770)),C2770-B2770,"")</f>
        <v>0</v>
      </c>
      <c r="E2770" s="4" t="s">
        <v>531</v>
      </c>
    </row>
    <row r="2771" customFormat="false" ht="15" hidden="false" customHeight="false" outlineLevel="0" collapsed="false">
      <c r="A2771" s="4" t="s">
        <v>3288</v>
      </c>
      <c r="B2771" s="5" t="n">
        <v>0.089</v>
      </c>
      <c r="C2771" s="5" t="n">
        <v>0.08</v>
      </c>
      <c r="D2771" s="5" t="n">
        <f aca="false">IF(AND(ISNUMBER(B2771),ISNUMBER(C2771)),C2771-B2771,"")</f>
        <v>-0.00899999999999999</v>
      </c>
      <c r="E2771" s="4" t="s">
        <v>2252</v>
      </c>
    </row>
    <row r="2772" customFormat="false" ht="15" hidden="false" customHeight="false" outlineLevel="0" collapsed="false">
      <c r="A2772" s="4" t="s">
        <v>3289</v>
      </c>
      <c r="B2772" s="5" t="s">
        <v>216</v>
      </c>
      <c r="C2772" s="5" t="s">
        <v>216</v>
      </c>
      <c r="D2772" s="5" t="str">
        <f aca="false">IF(AND(ISNUMBER(B2772),ISNUMBER(C2772)),C2772-B2772,"")</f>
        <v/>
      </c>
      <c r="E2772" s="4" t="s">
        <v>531</v>
      </c>
    </row>
    <row r="2773" customFormat="false" ht="15" hidden="false" customHeight="false" outlineLevel="0" collapsed="false">
      <c r="A2773" s="4" t="s">
        <v>3290</v>
      </c>
      <c r="B2773" s="5" t="n">
        <v>0.378</v>
      </c>
      <c r="C2773" s="5" t="n">
        <v>0.378</v>
      </c>
      <c r="D2773" s="5" t="n">
        <f aca="false">IF(AND(ISNUMBER(B2773),ISNUMBER(C2773)),C2773-B2773,"")</f>
        <v>0</v>
      </c>
      <c r="E2773" s="4" t="s">
        <v>531</v>
      </c>
    </row>
    <row r="2774" customFormat="false" ht="15" hidden="false" customHeight="false" outlineLevel="0" collapsed="false">
      <c r="A2774" s="4" t="s">
        <v>3291</v>
      </c>
      <c r="B2774" s="5" t="n">
        <v>0.122</v>
      </c>
      <c r="C2774" s="5" t="n">
        <v>0.122</v>
      </c>
      <c r="D2774" s="5" t="n">
        <f aca="false">IF(AND(ISNUMBER(B2774),ISNUMBER(C2774)),C2774-B2774,"")</f>
        <v>0</v>
      </c>
      <c r="E2774" s="4" t="s">
        <v>531</v>
      </c>
    </row>
    <row r="2775" customFormat="false" ht="15" hidden="false" customHeight="false" outlineLevel="0" collapsed="false">
      <c r="A2775" s="4" t="s">
        <v>3292</v>
      </c>
      <c r="B2775" s="5" t="n">
        <v>0.142</v>
      </c>
      <c r="C2775" s="5" t="n">
        <v>0.142</v>
      </c>
      <c r="D2775" s="5" t="n">
        <f aca="false">IF(AND(ISNUMBER(B2775),ISNUMBER(C2775)),C2775-B2775,"")</f>
        <v>0</v>
      </c>
      <c r="E2775" s="4" t="s">
        <v>531</v>
      </c>
    </row>
    <row r="2776" customFormat="false" ht="15" hidden="false" customHeight="false" outlineLevel="0" collapsed="false">
      <c r="A2776" s="4" t="s">
        <v>3293</v>
      </c>
      <c r="B2776" s="5" t="n">
        <v>0.139</v>
      </c>
      <c r="C2776" s="5" t="n">
        <v>0.139</v>
      </c>
      <c r="D2776" s="5" t="n">
        <f aca="false">IF(AND(ISNUMBER(B2776),ISNUMBER(C2776)),C2776-B2776,"")</f>
        <v>0</v>
      </c>
      <c r="E2776" s="4" t="s">
        <v>531</v>
      </c>
    </row>
    <row r="2777" customFormat="false" ht="15" hidden="false" customHeight="false" outlineLevel="0" collapsed="false">
      <c r="A2777" s="4" t="s">
        <v>3294</v>
      </c>
      <c r="B2777" s="5" t="n">
        <v>0.39</v>
      </c>
      <c r="C2777" s="5" t="n">
        <v>0.39</v>
      </c>
      <c r="D2777" s="5" t="n">
        <f aca="false">IF(AND(ISNUMBER(B2777),ISNUMBER(C2777)),C2777-B2777,"")</f>
        <v>0</v>
      </c>
      <c r="E2777" s="4" t="s">
        <v>531</v>
      </c>
    </row>
    <row r="2778" customFormat="false" ht="15" hidden="false" customHeight="false" outlineLevel="0" collapsed="false">
      <c r="A2778" s="4" t="s">
        <v>3295</v>
      </c>
      <c r="B2778" s="5" t="n">
        <v>0.961</v>
      </c>
      <c r="C2778" s="5" t="n">
        <v>0.958</v>
      </c>
      <c r="D2778" s="5" t="n">
        <f aca="false">IF(AND(ISNUMBER(B2778),ISNUMBER(C2778)),C2778-B2778,"")</f>
        <v>-0.003</v>
      </c>
      <c r="E2778" s="4" t="s">
        <v>2252</v>
      </c>
    </row>
    <row r="2779" customFormat="false" ht="15" hidden="false" customHeight="false" outlineLevel="0" collapsed="false">
      <c r="A2779" s="4" t="s">
        <v>3296</v>
      </c>
      <c r="B2779" s="5" t="s">
        <v>216</v>
      </c>
      <c r="C2779" s="5" t="s">
        <v>216</v>
      </c>
      <c r="D2779" s="5" t="str">
        <f aca="false">IF(AND(ISNUMBER(B2779),ISNUMBER(C2779)),C2779-B2779,"")</f>
        <v/>
      </c>
      <c r="E2779" s="4" t="s">
        <v>531</v>
      </c>
    </row>
    <row r="2780" customFormat="false" ht="15" hidden="false" customHeight="false" outlineLevel="0" collapsed="false">
      <c r="A2780" s="4" t="s">
        <v>3297</v>
      </c>
      <c r="B2780" s="5" t="n">
        <v>0.397</v>
      </c>
      <c r="C2780" s="5" t="n">
        <v>0.397</v>
      </c>
      <c r="D2780" s="5" t="n">
        <f aca="false">IF(AND(ISNUMBER(B2780),ISNUMBER(C2780)),C2780-B2780,"")</f>
        <v>0</v>
      </c>
      <c r="E2780" s="4" t="s">
        <v>531</v>
      </c>
    </row>
    <row r="2781" customFormat="false" ht="15" hidden="false" customHeight="false" outlineLevel="0" collapsed="false">
      <c r="A2781" s="4" t="s">
        <v>3298</v>
      </c>
      <c r="B2781" s="5" t="n">
        <v>0.057</v>
      </c>
      <c r="C2781" s="5" t="n">
        <v>0.057</v>
      </c>
      <c r="D2781" s="5" t="n">
        <f aca="false">IF(AND(ISNUMBER(B2781),ISNUMBER(C2781)),C2781-B2781,"")</f>
        <v>0</v>
      </c>
      <c r="E2781" s="4" t="s">
        <v>531</v>
      </c>
    </row>
    <row r="2782" customFormat="false" ht="15" hidden="false" customHeight="false" outlineLevel="0" collapsed="false">
      <c r="A2782" s="4" t="s">
        <v>3299</v>
      </c>
      <c r="B2782" s="5" t="n">
        <v>0.117</v>
      </c>
      <c r="C2782" s="5" t="n">
        <v>0.117</v>
      </c>
      <c r="D2782" s="5" t="n">
        <f aca="false">IF(AND(ISNUMBER(B2782),ISNUMBER(C2782)),C2782-B2782,"")</f>
        <v>0</v>
      </c>
      <c r="E2782" s="4" t="s">
        <v>531</v>
      </c>
    </row>
    <row r="2783" customFormat="false" ht="15" hidden="false" customHeight="false" outlineLevel="0" collapsed="false">
      <c r="A2783" s="4" t="s">
        <v>3300</v>
      </c>
      <c r="B2783" s="5" t="n">
        <v>0.115</v>
      </c>
      <c r="C2783" s="5" t="n">
        <v>0.115</v>
      </c>
      <c r="D2783" s="5" t="n">
        <f aca="false">IF(AND(ISNUMBER(B2783),ISNUMBER(C2783)),C2783-B2783,"")</f>
        <v>0</v>
      </c>
      <c r="E2783" s="4" t="s">
        <v>531</v>
      </c>
    </row>
    <row r="2784" customFormat="false" ht="15" hidden="false" customHeight="false" outlineLevel="0" collapsed="false">
      <c r="A2784" s="4" t="s">
        <v>3301</v>
      </c>
      <c r="B2784" s="5" t="n">
        <v>0.624</v>
      </c>
      <c r="C2784" s="5" t="n">
        <v>0.624</v>
      </c>
      <c r="D2784" s="5" t="n">
        <f aca="false">IF(AND(ISNUMBER(B2784),ISNUMBER(C2784)),C2784-B2784,"")</f>
        <v>0</v>
      </c>
      <c r="E2784" s="4" t="s">
        <v>531</v>
      </c>
    </row>
    <row r="2785" customFormat="false" ht="15" hidden="false" customHeight="false" outlineLevel="0" collapsed="false">
      <c r="A2785" s="4" t="s">
        <v>3302</v>
      </c>
      <c r="B2785" s="5" t="n">
        <v>0.978</v>
      </c>
      <c r="C2785" s="5" t="n">
        <v>0.992</v>
      </c>
      <c r="D2785" s="5" t="n">
        <f aca="false">IF(AND(ISNUMBER(B2785),ISNUMBER(C2785)),C2785-B2785,"")</f>
        <v>0.014</v>
      </c>
      <c r="E2785" s="4" t="s">
        <v>2252</v>
      </c>
    </row>
    <row r="2786" customFormat="false" ht="15" hidden="false" customHeight="false" outlineLevel="0" collapsed="false">
      <c r="A2786" s="4" t="s">
        <v>3303</v>
      </c>
      <c r="B2786" s="5" t="s">
        <v>216</v>
      </c>
      <c r="C2786" s="5" t="s">
        <v>216</v>
      </c>
      <c r="D2786" s="5" t="str">
        <f aca="false">IF(AND(ISNUMBER(B2786),ISNUMBER(C2786)),C2786-B2786,"")</f>
        <v/>
      </c>
      <c r="E2786" s="4" t="s">
        <v>531</v>
      </c>
    </row>
    <row r="2787" customFormat="false" ht="15" hidden="false" customHeight="false" outlineLevel="0" collapsed="false">
      <c r="A2787" s="4" t="s">
        <v>3304</v>
      </c>
      <c r="B2787" s="5" t="n">
        <v>0.328</v>
      </c>
      <c r="C2787" s="5" t="n">
        <v>0.328</v>
      </c>
      <c r="D2787" s="5" t="n">
        <f aca="false">IF(AND(ISNUMBER(B2787),ISNUMBER(C2787)),C2787-B2787,"")</f>
        <v>0</v>
      </c>
      <c r="E2787" s="4" t="s">
        <v>531</v>
      </c>
    </row>
    <row r="2788" customFormat="false" ht="15" hidden="false" customHeight="false" outlineLevel="0" collapsed="false">
      <c r="A2788" s="4" t="s">
        <v>3305</v>
      </c>
      <c r="B2788" s="5" t="n">
        <v>0.004</v>
      </c>
      <c r="C2788" s="5" t="n">
        <v>0.004</v>
      </c>
      <c r="D2788" s="5" t="n">
        <f aca="false">IF(AND(ISNUMBER(B2788),ISNUMBER(C2788)),C2788-B2788,"")</f>
        <v>0</v>
      </c>
      <c r="E2788" s="4" t="s">
        <v>531</v>
      </c>
    </row>
    <row r="2789" customFormat="false" ht="15" hidden="false" customHeight="false" outlineLevel="0" collapsed="false">
      <c r="A2789" s="4" t="s">
        <v>3306</v>
      </c>
      <c r="B2789" s="5" t="n">
        <v>0.127</v>
      </c>
      <c r="C2789" s="5" t="n">
        <v>0.127</v>
      </c>
      <c r="D2789" s="5" t="n">
        <f aca="false">IF(AND(ISNUMBER(B2789),ISNUMBER(C2789)),C2789-B2789,"")</f>
        <v>0</v>
      </c>
      <c r="E2789" s="4" t="s">
        <v>531</v>
      </c>
    </row>
    <row r="2790" customFormat="false" ht="15" hidden="false" customHeight="false" outlineLevel="0" collapsed="false">
      <c r="A2790" s="4" t="s">
        <v>3307</v>
      </c>
      <c r="B2790" s="5" t="n">
        <v>0.127</v>
      </c>
      <c r="C2790" s="5" t="n">
        <v>0.127</v>
      </c>
      <c r="D2790" s="5" t="n">
        <f aca="false">IF(AND(ISNUMBER(B2790),ISNUMBER(C2790)),C2790-B2790,"")</f>
        <v>0</v>
      </c>
      <c r="E2790" s="4" t="s">
        <v>531</v>
      </c>
    </row>
    <row r="2791" customFormat="false" ht="15" hidden="false" customHeight="false" outlineLevel="0" collapsed="false">
      <c r="A2791" s="4" t="s">
        <v>3308</v>
      </c>
      <c r="B2791" s="5" t="n">
        <v>0.977</v>
      </c>
      <c r="C2791" s="5" t="n">
        <v>0.977</v>
      </c>
      <c r="D2791" s="5" t="n">
        <f aca="false">IF(AND(ISNUMBER(B2791),ISNUMBER(C2791)),C2791-B2791,"")</f>
        <v>0</v>
      </c>
      <c r="E2791" s="4" t="s">
        <v>531</v>
      </c>
    </row>
    <row r="2792" customFormat="false" ht="15" hidden="false" customHeight="false" outlineLevel="0" collapsed="false">
      <c r="A2792" s="4" t="s">
        <v>3309</v>
      </c>
      <c r="B2792" s="5" t="n">
        <v>0.978</v>
      </c>
      <c r="C2792" s="5" t="n">
        <v>0.992</v>
      </c>
      <c r="D2792" s="5" t="n">
        <f aca="false">IF(AND(ISNUMBER(B2792),ISNUMBER(C2792)),C2792-B2792,"")</f>
        <v>0.014</v>
      </c>
      <c r="E2792" s="4" t="s">
        <v>2252</v>
      </c>
    </row>
    <row r="2793" customFormat="false" ht="15" hidden="false" customHeight="false" outlineLevel="0" collapsed="false">
      <c r="A2793" s="4" t="s">
        <v>3310</v>
      </c>
      <c r="B2793" s="5" t="s">
        <v>216</v>
      </c>
      <c r="C2793" s="5" t="s">
        <v>216</v>
      </c>
      <c r="D2793" s="5" t="str">
        <f aca="false">IF(AND(ISNUMBER(B2793),ISNUMBER(C2793)),C2793-B2793,"")</f>
        <v/>
      </c>
      <c r="E2793" s="4" t="s">
        <v>531</v>
      </c>
    </row>
    <row r="2794" customFormat="false" ht="15" hidden="false" customHeight="false" outlineLevel="0" collapsed="false">
      <c r="A2794" s="4" t="s">
        <v>3311</v>
      </c>
      <c r="B2794" s="5" t="n">
        <v>0.357</v>
      </c>
      <c r="C2794" s="5" t="n">
        <v>0.357</v>
      </c>
      <c r="D2794" s="5" t="n">
        <f aca="false">IF(AND(ISNUMBER(B2794),ISNUMBER(C2794)),C2794-B2794,"")</f>
        <v>0</v>
      </c>
      <c r="E2794" s="4" t="s">
        <v>531</v>
      </c>
    </row>
    <row r="2795" customFormat="false" ht="15" hidden="false" customHeight="false" outlineLevel="0" collapsed="false">
      <c r="A2795" s="4" t="s">
        <v>3312</v>
      </c>
      <c r="B2795" s="5" t="n">
        <v>0.442</v>
      </c>
      <c r="C2795" s="5" t="n">
        <v>0.442</v>
      </c>
      <c r="D2795" s="5" t="n">
        <f aca="false">IF(AND(ISNUMBER(B2795),ISNUMBER(C2795)),C2795-B2795,"")</f>
        <v>0</v>
      </c>
      <c r="E2795" s="4" t="s">
        <v>531</v>
      </c>
    </row>
    <row r="2796" customFormat="false" ht="15" hidden="false" customHeight="false" outlineLevel="0" collapsed="false">
      <c r="A2796" s="4" t="s">
        <v>3313</v>
      </c>
      <c r="B2796" s="5" t="n">
        <v>0.196</v>
      </c>
      <c r="C2796" s="5" t="n">
        <v>0.196</v>
      </c>
      <c r="D2796" s="5" t="n">
        <f aca="false">IF(AND(ISNUMBER(B2796),ISNUMBER(C2796)),C2796-B2796,"")</f>
        <v>0</v>
      </c>
      <c r="E2796" s="4" t="s">
        <v>531</v>
      </c>
    </row>
    <row r="2797" customFormat="false" ht="15" hidden="false" customHeight="false" outlineLevel="0" collapsed="false">
      <c r="A2797" s="4" t="s">
        <v>3314</v>
      </c>
      <c r="B2797" s="5" t="n">
        <v>0.198</v>
      </c>
      <c r="C2797" s="5" t="n">
        <v>0.198</v>
      </c>
      <c r="D2797" s="5" t="n">
        <f aca="false">IF(AND(ISNUMBER(B2797),ISNUMBER(C2797)),C2797-B2797,"")</f>
        <v>0</v>
      </c>
      <c r="E2797" s="4" t="s">
        <v>531</v>
      </c>
    </row>
    <row r="2798" customFormat="false" ht="15" hidden="false" customHeight="false" outlineLevel="0" collapsed="false">
      <c r="A2798" s="4" t="s">
        <v>3315</v>
      </c>
      <c r="B2798" s="5" t="n">
        <v>0.024</v>
      </c>
      <c r="C2798" s="5" t="n">
        <v>0.024</v>
      </c>
      <c r="D2798" s="5" t="n">
        <f aca="false">IF(AND(ISNUMBER(B2798),ISNUMBER(C2798)),C2798-B2798,"")</f>
        <v>0</v>
      </c>
      <c r="E2798" s="4" t="s">
        <v>531</v>
      </c>
    </row>
    <row r="2799" customFormat="false" ht="15" hidden="false" customHeight="false" outlineLevel="0" collapsed="false">
      <c r="A2799" s="4" t="s">
        <v>3316</v>
      </c>
      <c r="B2799" s="5" t="n">
        <v>0.312</v>
      </c>
      <c r="C2799" s="5" t="n">
        <v>0.312</v>
      </c>
      <c r="D2799" s="5" t="n">
        <f aca="false">IF(AND(ISNUMBER(B2799),ISNUMBER(C2799)),C2799-B2799,"")</f>
        <v>0</v>
      </c>
      <c r="E2799" s="4" t="s">
        <v>531</v>
      </c>
    </row>
    <row r="2800" customFormat="false" ht="15" hidden="false" customHeight="false" outlineLevel="0" collapsed="false">
      <c r="A2800" s="4" t="s">
        <v>3317</v>
      </c>
      <c r="B2800" s="5" t="s">
        <v>216</v>
      </c>
      <c r="C2800" s="5" t="s">
        <v>216</v>
      </c>
      <c r="D2800" s="5" t="str">
        <f aca="false">IF(AND(ISNUMBER(B2800),ISNUMBER(C2800)),C2800-B2800,"")</f>
        <v/>
      </c>
      <c r="E2800" s="4" t="s">
        <v>531</v>
      </c>
    </row>
    <row r="2801" customFormat="false" ht="15" hidden="false" customHeight="false" outlineLevel="0" collapsed="false">
      <c r="A2801" s="4" t="s">
        <v>3318</v>
      </c>
      <c r="B2801" s="5" t="n">
        <v>0.549</v>
      </c>
      <c r="C2801" s="5" t="n">
        <v>0.549</v>
      </c>
      <c r="D2801" s="5" t="n">
        <f aca="false">IF(AND(ISNUMBER(B2801),ISNUMBER(C2801)),C2801-B2801,"")</f>
        <v>0</v>
      </c>
      <c r="E2801" s="4" t="s">
        <v>531</v>
      </c>
    </row>
    <row r="2802" customFormat="false" ht="15" hidden="false" customHeight="false" outlineLevel="0" collapsed="false">
      <c r="A2802" s="4" t="s">
        <v>3319</v>
      </c>
      <c r="B2802" s="5" t="n">
        <v>1.242</v>
      </c>
      <c r="C2802" s="5" t="n">
        <v>1.242</v>
      </c>
      <c r="D2802" s="5" t="n">
        <f aca="false">IF(AND(ISNUMBER(B2802),ISNUMBER(C2802)),C2802-B2802,"")</f>
        <v>0</v>
      </c>
      <c r="E2802" s="4" t="s">
        <v>531</v>
      </c>
    </row>
    <row r="2803" customFormat="false" ht="15" hidden="false" customHeight="false" outlineLevel="0" collapsed="false">
      <c r="A2803" s="4" t="s">
        <v>3320</v>
      </c>
      <c r="B2803" s="5" t="n">
        <v>0.264</v>
      </c>
      <c r="C2803" s="5" t="n">
        <v>0.264</v>
      </c>
      <c r="D2803" s="5" t="n">
        <f aca="false">IF(AND(ISNUMBER(B2803),ISNUMBER(C2803)),C2803-B2803,"")</f>
        <v>0</v>
      </c>
      <c r="E2803" s="4" t="s">
        <v>531</v>
      </c>
    </row>
    <row r="2804" customFormat="false" ht="15" hidden="false" customHeight="false" outlineLevel="0" collapsed="false">
      <c r="A2804" s="4" t="s">
        <v>3321</v>
      </c>
      <c r="B2804" s="5" t="n">
        <v>0.264</v>
      </c>
      <c r="C2804" s="5" t="n">
        <v>0.264</v>
      </c>
      <c r="D2804" s="5" t="n">
        <f aca="false">IF(AND(ISNUMBER(B2804),ISNUMBER(C2804)),C2804-B2804,"")</f>
        <v>0</v>
      </c>
      <c r="E2804" s="4" t="s">
        <v>531</v>
      </c>
    </row>
    <row r="2805" customFormat="false" ht="15" hidden="false" customHeight="false" outlineLevel="0" collapsed="false">
      <c r="A2805" s="4" t="s">
        <v>3322</v>
      </c>
      <c r="B2805" s="5" t="n">
        <v>0</v>
      </c>
      <c r="C2805" s="5" t="n">
        <v>0</v>
      </c>
      <c r="D2805" s="5" t="n">
        <f aca="false">IF(AND(ISNUMBER(B2805),ISNUMBER(C2805)),C2805-B2805,"")</f>
        <v>0</v>
      </c>
      <c r="E2805" s="4" t="s">
        <v>531</v>
      </c>
    </row>
    <row r="2806" customFormat="false" ht="15" hidden="false" customHeight="false" outlineLevel="0" collapsed="false">
      <c r="A2806" s="4" t="s">
        <v>3323</v>
      </c>
      <c r="B2806" s="5" t="n">
        <v>0.002</v>
      </c>
      <c r="C2806" s="5" t="n">
        <v>0.003</v>
      </c>
      <c r="D2806" s="5" t="n">
        <f aca="false">IF(AND(ISNUMBER(B2806),ISNUMBER(C2806)),C2806-B2806,"")</f>
        <v>0.001</v>
      </c>
      <c r="E2806" s="4" t="s">
        <v>2252</v>
      </c>
    </row>
    <row r="2807" customFormat="false" ht="15" hidden="false" customHeight="false" outlineLevel="0" collapsed="false">
      <c r="A2807" s="4" t="s">
        <v>3324</v>
      </c>
      <c r="B2807" s="5" t="s">
        <v>216</v>
      </c>
      <c r="C2807" s="5" t="s">
        <v>216</v>
      </c>
      <c r="D2807" s="5" t="str">
        <f aca="false">IF(AND(ISNUMBER(B2807),ISNUMBER(C2807)),C2807-B2807,"")</f>
        <v/>
      </c>
      <c r="E2807" s="4" t="s">
        <v>531</v>
      </c>
    </row>
    <row r="2808" customFormat="false" ht="15" hidden="false" customHeight="false" outlineLevel="0" collapsed="false">
      <c r="A2808" s="4" t="s">
        <v>3325</v>
      </c>
      <c r="B2808" s="5" t="n">
        <v>0.739</v>
      </c>
      <c r="C2808" s="5" t="n">
        <v>0.739</v>
      </c>
      <c r="D2808" s="5" t="n">
        <f aca="false">IF(AND(ISNUMBER(B2808),ISNUMBER(C2808)),C2808-B2808,"")</f>
        <v>0</v>
      </c>
      <c r="E2808" s="4" t="s">
        <v>531</v>
      </c>
    </row>
    <row r="2809" customFormat="false" ht="15" hidden="false" customHeight="false" outlineLevel="0" collapsed="false">
      <c r="A2809" s="4" t="s">
        <v>3326</v>
      </c>
      <c r="B2809" s="5" t="n">
        <v>0.409</v>
      </c>
      <c r="C2809" s="5" t="n">
        <v>0.409</v>
      </c>
      <c r="D2809" s="5" t="n">
        <f aca="false">IF(AND(ISNUMBER(B2809),ISNUMBER(C2809)),C2809-B2809,"")</f>
        <v>0</v>
      </c>
      <c r="E2809" s="4" t="s">
        <v>531</v>
      </c>
    </row>
    <row r="2810" customFormat="false" ht="15" hidden="false" customHeight="false" outlineLevel="0" collapsed="false">
      <c r="A2810" s="4" t="s">
        <v>3327</v>
      </c>
      <c r="B2810" s="5" t="n">
        <v>0.22</v>
      </c>
      <c r="C2810" s="5" t="n">
        <v>0.22</v>
      </c>
      <c r="D2810" s="5" t="n">
        <f aca="false">IF(AND(ISNUMBER(B2810),ISNUMBER(C2810)),C2810-B2810,"")</f>
        <v>0</v>
      </c>
      <c r="E2810" s="4" t="s">
        <v>531</v>
      </c>
    </row>
    <row r="2811" customFormat="false" ht="15" hidden="false" customHeight="false" outlineLevel="0" collapsed="false">
      <c r="A2811" s="4" t="s">
        <v>3328</v>
      </c>
      <c r="B2811" s="5" t="n">
        <v>0.222</v>
      </c>
      <c r="C2811" s="5" t="n">
        <v>0.222</v>
      </c>
      <c r="D2811" s="5" t="n">
        <f aca="false">IF(AND(ISNUMBER(B2811),ISNUMBER(C2811)),C2811-B2811,"")</f>
        <v>0</v>
      </c>
      <c r="E2811" s="4" t="s">
        <v>531</v>
      </c>
    </row>
    <row r="2812" customFormat="false" ht="15" hidden="false" customHeight="false" outlineLevel="0" collapsed="false">
      <c r="A2812" s="4" t="s">
        <v>3329</v>
      </c>
      <c r="B2812" s="5" t="n">
        <v>0.064</v>
      </c>
      <c r="C2812" s="5" t="n">
        <v>0.064</v>
      </c>
      <c r="D2812" s="5" t="n">
        <f aca="false">IF(AND(ISNUMBER(B2812),ISNUMBER(C2812)),C2812-B2812,"")</f>
        <v>0</v>
      </c>
      <c r="E2812" s="4" t="s">
        <v>531</v>
      </c>
    </row>
    <row r="2813" customFormat="false" ht="15" hidden="false" customHeight="false" outlineLevel="0" collapsed="false">
      <c r="A2813" s="4" t="s">
        <v>3330</v>
      </c>
      <c r="B2813" s="5" t="n">
        <v>0.482</v>
      </c>
      <c r="C2813" s="5" t="n">
        <v>0.496</v>
      </c>
      <c r="D2813" s="5" t="n">
        <f aca="false">IF(AND(ISNUMBER(B2813),ISNUMBER(C2813)),C2813-B2813,"")</f>
        <v>0.014</v>
      </c>
      <c r="E2813" s="4" t="s">
        <v>2252</v>
      </c>
    </row>
    <row r="2814" customFormat="false" ht="15" hidden="false" customHeight="false" outlineLevel="0" collapsed="false">
      <c r="A2814" s="4" t="s">
        <v>3331</v>
      </c>
      <c r="B2814" s="5" t="s">
        <v>216</v>
      </c>
      <c r="C2814" s="5" t="s">
        <v>216</v>
      </c>
      <c r="D2814" s="5" t="str">
        <f aca="false">IF(AND(ISNUMBER(B2814),ISNUMBER(C2814)),C2814-B2814,"")</f>
        <v/>
      </c>
      <c r="E2814" s="4" t="s">
        <v>531</v>
      </c>
    </row>
    <row r="2815" customFormat="false" ht="15" hidden="false" customHeight="false" outlineLevel="0" collapsed="false">
      <c r="A2815" s="4" t="s">
        <v>3332</v>
      </c>
      <c r="B2815" s="5" t="n">
        <v>0.617</v>
      </c>
      <c r="C2815" s="5" t="n">
        <v>0.617</v>
      </c>
      <c r="D2815" s="5" t="n">
        <f aca="false">IF(AND(ISNUMBER(B2815),ISNUMBER(C2815)),C2815-B2815,"")</f>
        <v>0</v>
      </c>
      <c r="E2815" s="4" t="s">
        <v>531</v>
      </c>
    </row>
    <row r="2816" customFormat="false" ht="15" hidden="false" customHeight="false" outlineLevel="0" collapsed="false">
      <c r="A2816" s="4" t="s">
        <v>3333</v>
      </c>
      <c r="B2816" s="5" t="n">
        <v>0.368</v>
      </c>
      <c r="C2816" s="5" t="n">
        <v>0.368</v>
      </c>
      <c r="D2816" s="5" t="n">
        <f aca="false">IF(AND(ISNUMBER(B2816),ISNUMBER(C2816)),C2816-B2816,"")</f>
        <v>0</v>
      </c>
      <c r="E2816" s="4" t="s">
        <v>531</v>
      </c>
    </row>
    <row r="2817" customFormat="false" ht="15" hidden="false" customHeight="false" outlineLevel="0" collapsed="false">
      <c r="A2817" s="4" t="s">
        <v>3334</v>
      </c>
      <c r="B2817" s="5" t="n">
        <v>0.209</v>
      </c>
      <c r="C2817" s="5" t="n">
        <v>0.209</v>
      </c>
      <c r="D2817" s="5" t="n">
        <f aca="false">IF(AND(ISNUMBER(B2817),ISNUMBER(C2817)),C2817-B2817,"")</f>
        <v>0</v>
      </c>
      <c r="E2817" s="4" t="s">
        <v>531</v>
      </c>
    </row>
    <row r="2818" customFormat="false" ht="15" hidden="false" customHeight="false" outlineLevel="0" collapsed="false">
      <c r="A2818" s="4" t="s">
        <v>3335</v>
      </c>
      <c r="B2818" s="5" t="n">
        <v>0.207</v>
      </c>
      <c r="C2818" s="5" t="n">
        <v>0.207</v>
      </c>
      <c r="D2818" s="5" t="n">
        <f aca="false">IF(AND(ISNUMBER(B2818),ISNUMBER(C2818)),C2818-B2818,"")</f>
        <v>0</v>
      </c>
      <c r="E2818" s="4" t="s">
        <v>531</v>
      </c>
    </row>
    <row r="2819" customFormat="false" ht="15" hidden="false" customHeight="false" outlineLevel="0" collapsed="false">
      <c r="A2819" s="4" t="s">
        <v>3336</v>
      </c>
      <c r="B2819" s="5" t="n">
        <v>0.078</v>
      </c>
      <c r="C2819" s="5" t="n">
        <v>0.078</v>
      </c>
      <c r="D2819" s="5" t="n">
        <f aca="false">IF(AND(ISNUMBER(B2819),ISNUMBER(C2819)),C2819-B2819,"")</f>
        <v>0</v>
      </c>
      <c r="E2819" s="4" t="s">
        <v>531</v>
      </c>
    </row>
    <row r="2820" customFormat="false" ht="15" hidden="false" customHeight="false" outlineLevel="0" collapsed="false">
      <c r="A2820" s="4" t="s">
        <v>3337</v>
      </c>
      <c r="B2820" s="5" t="n">
        <v>0.517</v>
      </c>
      <c r="C2820" s="5" t="n">
        <v>0.517</v>
      </c>
      <c r="D2820" s="5" t="n">
        <f aca="false">IF(AND(ISNUMBER(B2820),ISNUMBER(C2820)),C2820-B2820,"")</f>
        <v>0</v>
      </c>
      <c r="E2820" s="4" t="s">
        <v>531</v>
      </c>
    </row>
    <row r="2821" customFormat="false" ht="15" hidden="false" customHeight="false" outlineLevel="0" collapsed="false">
      <c r="A2821" s="4" t="s">
        <v>3338</v>
      </c>
      <c r="B2821" s="5" t="s">
        <v>216</v>
      </c>
      <c r="C2821" s="5" t="s">
        <v>216</v>
      </c>
      <c r="D2821" s="5" t="str">
        <f aca="false">IF(AND(ISNUMBER(B2821),ISNUMBER(C2821)),C2821-B2821,"")</f>
        <v/>
      </c>
      <c r="E2821" s="4" t="s">
        <v>531</v>
      </c>
    </row>
    <row r="2822" customFormat="false" ht="15" hidden="false" customHeight="false" outlineLevel="0" collapsed="false">
      <c r="A2822" s="4" t="s">
        <v>3339</v>
      </c>
      <c r="B2822" s="5" t="n">
        <v>0.586</v>
      </c>
      <c r="C2822" s="5" t="n">
        <v>0.586</v>
      </c>
      <c r="D2822" s="5" t="n">
        <f aca="false">IF(AND(ISNUMBER(B2822),ISNUMBER(C2822)),C2822-B2822,"")</f>
        <v>0</v>
      </c>
      <c r="E2822" s="4" t="s">
        <v>531</v>
      </c>
    </row>
    <row r="2823" customFormat="false" ht="15" hidden="false" customHeight="false" outlineLevel="0" collapsed="false">
      <c r="A2823" s="4" t="s">
        <v>3340</v>
      </c>
      <c r="B2823" s="5" t="s">
        <v>178</v>
      </c>
      <c r="C2823" s="5" t="s">
        <v>178</v>
      </c>
      <c r="D2823" s="5" t="str">
        <f aca="false">IF(AND(ISNUMBER(B2823),ISNUMBER(C2823)),C2823-B2823,"")</f>
        <v/>
      </c>
      <c r="E2823" s="4" t="s">
        <v>1815</v>
      </c>
    </row>
    <row r="2824" customFormat="false" ht="15" hidden="false" customHeight="false" outlineLevel="0" collapsed="false">
      <c r="A2824" s="4" t="s">
        <v>3341</v>
      </c>
      <c r="B2824" s="5" t="s">
        <v>27</v>
      </c>
      <c r="C2824" s="5" t="s">
        <v>27</v>
      </c>
      <c r="D2824" s="5" t="str">
        <f aca="false">IF(AND(ISNUMBER(B2824),ISNUMBER(C2824)),C2824-B2824,"")</f>
        <v/>
      </c>
      <c r="E2824" s="4" t="s">
        <v>531</v>
      </c>
    </row>
    <row r="2825" customFormat="false" ht="15" hidden="false" customHeight="false" outlineLevel="0" collapsed="false">
      <c r="A2825" s="4" t="s">
        <v>3342</v>
      </c>
      <c r="B2825" s="5" t="n">
        <v>0.804</v>
      </c>
      <c r="C2825" s="5" t="n">
        <v>0.804</v>
      </c>
      <c r="D2825" s="5" t="n">
        <f aca="false">IF(AND(ISNUMBER(B2825),ISNUMBER(C2825)),C2825-B2825,"")</f>
        <v>0</v>
      </c>
      <c r="E2825" s="4" t="s">
        <v>531</v>
      </c>
    </row>
    <row r="2826" customFormat="false" ht="15" hidden="false" customHeight="false" outlineLevel="0" collapsed="false">
      <c r="A2826" s="4" t="s">
        <v>3343</v>
      </c>
      <c r="B2826" s="5" t="n">
        <v>0.768</v>
      </c>
      <c r="C2826" s="5" t="n">
        <v>0.768</v>
      </c>
      <c r="D2826" s="5" t="n">
        <f aca="false">IF(AND(ISNUMBER(B2826),ISNUMBER(C2826)),C2826-B2826,"")</f>
        <v>0</v>
      </c>
      <c r="E2826" s="4" t="s">
        <v>531</v>
      </c>
    </row>
    <row r="2827" customFormat="false" ht="15" hidden="false" customHeight="false" outlineLevel="0" collapsed="false">
      <c r="A2827" s="4" t="s">
        <v>3344</v>
      </c>
      <c r="B2827" s="5" t="s">
        <v>178</v>
      </c>
      <c r="C2827" s="5" t="s">
        <v>178</v>
      </c>
      <c r="D2827" s="5" t="str">
        <f aca="false">IF(AND(ISNUMBER(B2827),ISNUMBER(C2827)),C2827-B2827,"")</f>
        <v/>
      </c>
      <c r="E2827" s="4" t="s">
        <v>1815</v>
      </c>
    </row>
    <row r="2828" customFormat="false" ht="15" hidden="false" customHeight="false" outlineLevel="0" collapsed="false">
      <c r="A2828" s="4" t="s">
        <v>3345</v>
      </c>
      <c r="B2828" s="5" t="s">
        <v>27</v>
      </c>
      <c r="C2828" s="5" t="s">
        <v>27</v>
      </c>
      <c r="D2828" s="5" t="str">
        <f aca="false">IF(AND(ISNUMBER(B2828),ISNUMBER(C2828)),C2828-B2828,"")</f>
        <v/>
      </c>
      <c r="E2828" s="4" t="s">
        <v>531</v>
      </c>
    </row>
    <row r="2829" customFormat="false" ht="15" hidden="false" customHeight="false" outlineLevel="0" collapsed="false">
      <c r="A2829" s="4" t="s">
        <v>3346</v>
      </c>
      <c r="B2829" s="5" t="s">
        <v>178</v>
      </c>
      <c r="C2829" s="5" t="s">
        <v>178</v>
      </c>
      <c r="D2829" s="5" t="str">
        <f aca="false">IF(AND(ISNUMBER(B2829),ISNUMBER(C2829)),C2829-B2829,"")</f>
        <v/>
      </c>
      <c r="E2829" s="4" t="s">
        <v>1815</v>
      </c>
    </row>
    <row r="2830" customFormat="false" ht="15" hidden="false" customHeight="false" outlineLevel="0" collapsed="false">
      <c r="A2830" s="4" t="s">
        <v>3347</v>
      </c>
      <c r="B2830" s="5" t="s">
        <v>27</v>
      </c>
      <c r="C2830" s="5" t="s">
        <v>27</v>
      </c>
      <c r="D2830" s="5" t="str">
        <f aca="false">IF(AND(ISNUMBER(B2830),ISNUMBER(C2830)),C2830-B2830,"")</f>
        <v/>
      </c>
      <c r="E2830" s="4" t="s">
        <v>531</v>
      </c>
    </row>
    <row r="2832" customFormat="false" ht="43.5" hidden="false" customHeight="true" outlineLevel="0" collapsed="false">
      <c r="A2832" s="2" t="s">
        <v>3348</v>
      </c>
      <c r="B2832" s="2"/>
      <c r="C2832" s="2"/>
      <c r="D2832" s="2"/>
      <c r="E2832" s="2"/>
    </row>
    <row r="2834" customFormat="false" ht="15" hidden="false" customHeight="false" outlineLevel="0" collapsed="false">
      <c r="A2834" s="13" t="s">
        <v>3349</v>
      </c>
      <c r="B2834" s="14"/>
      <c r="C2834" s="14"/>
      <c r="D2834" s="19" t="n">
        <f aca="false">MAX(MAX(D1284:D2830),-MIN(D1284:D2830))</f>
        <v>0.055</v>
      </c>
      <c r="E2834" s="14"/>
    </row>
  </sheetData>
  <mergeCells count="5">
    <mergeCell ref="A2:H2"/>
    <mergeCell ref="A339:H339"/>
    <mergeCell ref="A695:H695"/>
    <mergeCell ref="A1282:H1282"/>
    <mergeCell ref="A2832:E28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50"/>
  </cols>
  <sheetData>
    <row r="1" customFormat="false" ht="15" hidden="false" customHeight="false" outlineLevel="0" collapsed="false">
      <c r="A1" s="1" t="s">
        <v>3350</v>
      </c>
    </row>
    <row r="3" customFormat="false" ht="71.25" hidden="false" customHeight="true" outlineLevel="0" collapsed="false">
      <c r="A3" s="20" t="s">
        <v>3351</v>
      </c>
      <c r="B3" s="21" t="s">
        <v>3352</v>
      </c>
    </row>
    <row r="4" customFormat="false" ht="57.75" hidden="false" customHeight="true" outlineLevel="0" collapsed="false">
      <c r="A4" s="20" t="s">
        <v>3353</v>
      </c>
      <c r="B4" s="21" t="s">
        <v>3354</v>
      </c>
    </row>
    <row r="5" customFormat="false" ht="71.25" hidden="false" customHeight="true" outlineLevel="0" collapsed="false">
      <c r="A5" s="20" t="s">
        <v>3355</v>
      </c>
      <c r="B5" s="21" t="s">
        <v>3356</v>
      </c>
    </row>
    <row r="6" customFormat="false" ht="57.75" hidden="false" customHeight="true" outlineLevel="0" collapsed="false">
      <c r="A6" s="20" t="s">
        <v>3357</v>
      </c>
      <c r="B6" s="21" t="s">
        <v>3358</v>
      </c>
    </row>
    <row r="7" customFormat="false" ht="30.75" hidden="false" customHeight="true" outlineLevel="0" collapsed="false">
      <c r="A7" s="20" t="s">
        <v>3359</v>
      </c>
      <c r="B7" s="21" t="s">
        <v>3360</v>
      </c>
    </row>
    <row r="8" customFormat="false" ht="44.25" hidden="false" customHeight="true" outlineLevel="0" collapsed="false">
      <c r="A8" s="20" t="s">
        <v>3361</v>
      </c>
      <c r="B8" s="21" t="s">
        <v>3362</v>
      </c>
    </row>
    <row r="9" customFormat="false" ht="57.75" hidden="false" customHeight="true" outlineLevel="0" collapsed="false">
      <c r="A9" s="20" t="s">
        <v>3363</v>
      </c>
      <c r="B9" s="21" t="s">
        <v>3364</v>
      </c>
    </row>
    <row r="10" customFormat="false" ht="30.75" hidden="false" customHeight="true" outlineLevel="0" collapsed="false">
      <c r="A10" s="20" t="s">
        <v>3365</v>
      </c>
      <c r="B10" s="21" t="s">
        <v>3366</v>
      </c>
    </row>
    <row r="11" customFormat="false" ht="30.75" hidden="false" customHeight="true" outlineLevel="0" collapsed="false">
      <c r="A11" s="20" t="s">
        <v>3367</v>
      </c>
      <c r="B11" s="21" t="s">
        <v>3368</v>
      </c>
    </row>
    <row r="12" customFormat="false" ht="98.25" hidden="false" customHeight="true" outlineLevel="0" collapsed="false">
      <c r="A12" s="20" t="s">
        <v>3369</v>
      </c>
      <c r="B12" s="21" t="s">
        <v>3370</v>
      </c>
    </row>
    <row r="13" customFormat="false" ht="71.25" hidden="false" customHeight="true" outlineLevel="0" collapsed="false">
      <c r="A13" s="20" t="s">
        <v>3371</v>
      </c>
      <c r="B13" s="21" t="s">
        <v>3372</v>
      </c>
    </row>
    <row r="14" customFormat="false" ht="71.25" hidden="false" customHeight="true" outlineLevel="0" collapsed="false">
      <c r="A14" s="20" t="s">
        <v>3373</v>
      </c>
      <c r="B14" s="21" t="s">
        <v>3374</v>
      </c>
    </row>
    <row r="15" customFormat="false" ht="165.75" hidden="false" customHeight="true" outlineLevel="0" collapsed="false">
      <c r="A15" s="20" t="s">
        <v>3375</v>
      </c>
      <c r="B15" s="21" t="s">
        <v>3376</v>
      </c>
    </row>
    <row r="16" customFormat="false" ht="152.25" hidden="false" customHeight="true" outlineLevel="0" collapsed="false">
      <c r="A16" s="20" t="s">
        <v>3377</v>
      </c>
      <c r="B16" s="21" t="s">
        <v>3378</v>
      </c>
    </row>
    <row r="17" customFormat="false" ht="44.25" hidden="false" customHeight="true" outlineLevel="0" collapsed="false">
      <c r="A17" s="20" t="s">
        <v>3379</v>
      </c>
      <c r="B17" s="21" t="s">
        <v>3380</v>
      </c>
    </row>
    <row r="18" customFormat="false" ht="354.75" hidden="false" customHeight="true" outlineLevel="0" collapsed="false">
      <c r="A18" s="20" t="s">
        <v>3381</v>
      </c>
      <c r="B18" s="21" t="s">
        <v>3382</v>
      </c>
    </row>
    <row r="19" customFormat="false" ht="71.25" hidden="false" customHeight="true" outlineLevel="0" collapsed="false">
      <c r="A19" s="20" t="s">
        <v>3383</v>
      </c>
      <c r="B19" s="21" t="s">
        <v>3384</v>
      </c>
    </row>
    <row r="20" customFormat="false" ht="44.25" hidden="false" customHeight="true" outlineLevel="0" collapsed="false">
      <c r="A20" s="20" t="s">
        <v>3385</v>
      </c>
      <c r="B20" s="21" t="s">
        <v>3386</v>
      </c>
    </row>
    <row r="21" customFormat="false" ht="84.75" hidden="false" customHeight="true" outlineLevel="0" collapsed="false">
      <c r="A21" s="20" t="s">
        <v>3387</v>
      </c>
      <c r="B21" s="21" t="s">
        <v>3388</v>
      </c>
    </row>
    <row r="22" customFormat="false" ht="71.25" hidden="false" customHeight="true" outlineLevel="0" collapsed="false">
      <c r="A22" s="20" t="s">
        <v>3389</v>
      </c>
      <c r="B22" s="21" t="s">
        <v>3390</v>
      </c>
    </row>
    <row r="23" customFormat="false" ht="125.25" hidden="false" customHeight="true" outlineLevel="0" collapsed="false">
      <c r="A23" s="20" t="s">
        <v>3391</v>
      </c>
      <c r="B23" s="21" t="s">
        <v>3392</v>
      </c>
    </row>
    <row r="24" customFormat="false" ht="44.25" hidden="false" customHeight="true" outlineLevel="0" collapsed="false">
      <c r="A24" s="20" t="s">
        <v>529</v>
      </c>
      <c r="B24" s="21" t="s">
        <v>3393</v>
      </c>
    </row>
    <row r="25" customFormat="false" ht="71.25" hidden="false" customHeight="true" outlineLevel="0" collapsed="false">
      <c r="A25" s="20" t="s">
        <v>3394</v>
      </c>
      <c r="B25" s="21" t="s">
        <v>3395</v>
      </c>
    </row>
    <row r="26" customFormat="false" ht="287.25" hidden="false" customHeight="true" outlineLevel="0" collapsed="false">
      <c r="A26" s="20" t="s">
        <v>3396</v>
      </c>
      <c r="B26" s="21" t="s">
        <v>3397</v>
      </c>
    </row>
    <row r="27" customFormat="false" ht="44.25" hidden="false" customHeight="true" outlineLevel="0" collapsed="false">
      <c r="A27" s="20" t="s">
        <v>3398</v>
      </c>
      <c r="B27" s="21" t="s">
        <v>3399</v>
      </c>
    </row>
    <row r="28" customFormat="false" ht="84.75" hidden="false" customHeight="true" outlineLevel="0" collapsed="false">
      <c r="A28" s="20" t="s">
        <v>3400</v>
      </c>
      <c r="B28" s="21" t="s">
        <v>3401</v>
      </c>
    </row>
    <row r="29" customFormat="false" ht="206.25" hidden="false" customHeight="true" outlineLevel="0" collapsed="false">
      <c r="A29" s="20" t="s">
        <v>3402</v>
      </c>
      <c r="B29" s="21" t="s">
        <v>3403</v>
      </c>
    </row>
    <row r="30" customFormat="false" ht="98.25" hidden="false" customHeight="true" outlineLevel="0" collapsed="false">
      <c r="A30" s="20" t="s">
        <v>3404</v>
      </c>
      <c r="B30" s="21" t="s">
        <v>3405</v>
      </c>
    </row>
    <row r="31" customFormat="false" ht="165.75" hidden="false" customHeight="true" outlineLevel="0" collapsed="false">
      <c r="A31" s="20" t="s">
        <v>3406</v>
      </c>
      <c r="B31" s="21" t="s">
        <v>3407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2026-10-24T06:17:05Z</dcterms:created>
  <dc:creator>openpyxl</dc:creator>
  <dc:description/>
  <dc:language>en-US</dc:language>
  <cp:lastModifiedBy/>
  <dcterms:modified xsi:type="dcterms:W3CDTF">2026-10-24T06:17:06Z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