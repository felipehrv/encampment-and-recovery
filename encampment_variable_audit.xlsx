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bles" sheetId="1" state="visible" r:id="rId3"/>
    <sheet name="Summary" sheetId="2" state="visible" r:id="rId4"/>
    <sheet name="Findings" sheetId="3" state="visible" r:id="rId5"/>
    <sheet name="How it was done" sheetId="4" state="visible" r:id="rId6"/>
  </sheets>
  <definedNames>
    <definedName function="false" hidden="true" localSheetId="0" name="_xlnm._FilterDatabase" vbProcedure="false">Variables!$A$1:$P$276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<sst xmlns="http://schemas.openxmlformats.org/spreadsheetml/2006/main" count="2566" uniqueCount="912">
  <si>
    <t xml:space="preserve">No.</t>
  </si>
  <si>
    <t xml:space="preserve">Variable</t>
  </si>
  <si>
    <t xml:space="preserve">Source</t>
  </si>
  <si>
    <t xml:space="preserve">Block</t>
  </si>
  <si>
    <t xml:space="preserve">What it measures</t>
  </si>
  <si>
    <t xml:space="preserve">Answers for</t>
  </si>
  <si>
    <t xml:space="preserve">Applies to</t>
  </si>
  <si>
    <t xml:space="preserve">Applies: camp</t>
  </si>
  <si>
    <t xml:space="preserve">Applies: towns</t>
  </si>
  <si>
    <t xml:space="preserve">Answered: camp</t>
  </si>
  <si>
    <t xml:space="preserve">Answered: towns</t>
  </si>
  <si>
    <t xml:space="preserve">% camp</t>
  </si>
  <si>
    <t xml:space="preserve">% towns</t>
  </si>
  <si>
    <t xml:space="preserve">A blank means</t>
  </si>
  <si>
    <t xml:space="preserve">Verdict</t>
  </si>
  <si>
    <t xml:space="preserve">Why</t>
  </si>
  <si>
    <t xml:space="preserve">id</t>
  </si>
  <si>
    <t xml:space="preserve">Original question</t>
  </si>
  <si>
    <t xml:space="preserve">01 Identification and design</t>
  </si>
  <si>
    <t xml:space="preserve">Household number in the file</t>
  </si>
  <si>
    <t xml:space="preserve">Survey design</t>
  </si>
  <si>
    <t xml:space="preserve">All households</t>
  </si>
  <si>
    <t xml:space="preserve">No answer</t>
  </si>
  <si>
    <t xml:space="preserve">Usable</t>
  </si>
  <si>
    <t xml:space="preserve">Unique across the 391 households; matches the original CSV.</t>
  </si>
  <si>
    <t xml:space="preserve">no1</t>
  </si>
  <si>
    <t xml:space="preserve">Running number of the interview in the northern towns</t>
  </si>
  <si>
    <t xml:space="preserve">Households in the northern towns</t>
  </si>
  <si>
    <t xml:space="preserve">Not applicable</t>
  </si>
  <si>
    <t xml:space="preserve">Interview order in the northern towns (1 to 134). Interviews were done place by place.</t>
  </si>
  <si>
    <t xml:space="preserve">no2</t>
  </si>
  <si>
    <t xml:space="preserve">Running number of the interview in the camp</t>
  </si>
  <si>
    <t xml:space="preserve">Camp households</t>
  </si>
  <si>
    <t xml:space="preserve">Interview order in the camp (1 to 257).</t>
  </si>
  <si>
    <t xml:space="preserve">samplegroup</t>
  </si>
  <si>
    <t xml:space="preserve">Group: 0 Zaatari camp, 1 northern towns (outside the camp)</t>
  </si>
  <si>
    <t xml:space="preserve">257 camp households and 134 in the towns.</t>
  </si>
  <si>
    <t xml:space="preserve">age</t>
  </si>
  <si>
    <t xml:space="preserve">02 Respondent and household</t>
  </si>
  <si>
    <t xml:space="preserve">Age of the respondent</t>
  </si>
  <si>
    <t xml:space="preserve">The respondent</t>
  </si>
  <si>
    <t xml:space="preserve">Usable with care</t>
  </si>
  <si>
    <t xml:space="preserve">Complete, but it is the age of the respondent, not of the household head. Fewer than ten respondents were under 18.</t>
  </si>
  <si>
    <t xml:space="preserve">education</t>
  </si>
  <si>
    <t xml:space="preserve">Schooling of the respondent (five levels)</t>
  </si>
  <si>
    <t xml:space="preserve">Complete, but it is the schooling of the respondent, not of the household head.</t>
  </si>
  <si>
    <t xml:space="preserve">genderf1m2</t>
  </si>
  <si>
    <t xml:space="preserve">Sex of the respondent (1 woman, 2 man)</t>
  </si>
  <si>
    <t xml:space="preserve">Complete. A woman answered in 21% of camp households and in 63% of those in the towns: this conditions every opinion question.</t>
  </si>
  <si>
    <t xml:space="preserve">civilstatuss1m2d3w4</t>
  </si>
  <si>
    <t xml:space="preserve">Marital status of the respondent (single, married, divorced, widowed)</t>
  </si>
  <si>
    <t xml:space="preserve">Complete; it describes the respondent. In the towns, 65 of the 84 women who answered are married: the respondent does not always head the household.</t>
  </si>
  <si>
    <t xml:space="preserve">familysize</t>
  </si>
  <si>
    <t xml:space="preserve">Household size</t>
  </si>
  <si>
    <t xml:space="preserve">The household</t>
  </si>
  <si>
    <t xml:space="preserve">Complete. There is no household roster: the number of children is unknown.</t>
  </si>
  <si>
    <t xml:space="preserve">medicalcondition</t>
  </si>
  <si>
    <t xml:space="preserve">03 Health</t>
  </si>
  <si>
    <t xml:space="preserve">Which household member and what condition (open answer)</t>
  </si>
  <si>
    <t xml:space="preserve">Households with a member with a medical condition</t>
  </si>
  <si>
    <t xml:space="preserve">Protected</t>
  </si>
  <si>
    <t xml:space="preserve">Open answer on who has which condition. Not used.</t>
  </si>
  <si>
    <t xml:space="preserve">medicalconditionofoneofthemember</t>
  </si>
  <si>
    <t xml:space="preserve">A household member has a medical condition</t>
  </si>
  <si>
    <t xml:space="preserve">Complete and consistent with the open answer (111 households in both). Used only as a share by group.</t>
  </si>
  <si>
    <t xml:space="preserve">status</t>
  </si>
  <si>
    <t xml:space="preserve">Reported status with UNHCR: registered refugee or asylum seeker</t>
  </si>
  <si>
    <t xml:space="preserve">Not usable</t>
  </si>
  <si>
    <t xml:space="preserve">Not enough variation: 12 households in the towns and fewer than ten in the camp reported being asylum seekers.</t>
  </si>
  <si>
    <t xml:space="preserve">town</t>
  </si>
  <si>
    <t xml:space="preserve">Town</t>
  </si>
  <si>
    <t xml:space="preserve">Answered by 71 of 391 households. The place is complete in currentplaceofresidence.</t>
  </si>
  <si>
    <t xml:space="preserve">cityofbirth</t>
  </si>
  <si>
    <t xml:space="preserve">04 Origin</t>
  </si>
  <si>
    <t xml:space="preserve">Place of birth</t>
  </si>
  <si>
    <t xml:space="preserve">247 and 133 answers. It is the birthplace of the respondent.</t>
  </si>
  <si>
    <t xml:space="preserve">lastplaceofresidence</t>
  </si>
  <si>
    <t xml:space="preserve">Last place of residence in Syria</t>
  </si>
  <si>
    <t xml:space="preserve">246 and 134 answers. Most households name a place in Daraa governorate or in Damascus; Homs and Aleppo follow, and every other place has fewer than ten households.</t>
  </si>
  <si>
    <t xml:space="preserve">rural1orurban2</t>
  </si>
  <si>
    <t xml:space="preserve">Rural (1) or urban (2) origin</t>
  </si>
  <si>
    <t xml:space="preserve">242 and 133 answers; 16 households are missing.</t>
  </si>
  <si>
    <t xml:space="preserve">monthofarrival</t>
  </si>
  <si>
    <t xml:space="preserve">05 Arrival and trajectory</t>
  </si>
  <si>
    <t xml:space="preserve">Month of arrival in Jordan</t>
  </si>
  <si>
    <t xml:space="preserve">Answered by 74 of 391 households.</t>
  </si>
  <si>
    <t xml:space="preserve">yearofarrival</t>
  </si>
  <si>
    <t xml:space="preserve">Year of arrival in Jordan</t>
  </si>
  <si>
    <t xml:space="preserve">Missing for 23 camp households. 2011, 2015 and 2016 have fewer than ten households per group.</t>
  </si>
  <si>
    <t xml:space="preserve">mebersstilllivinginsyria</t>
  </si>
  <si>
    <t xml:space="preserve">Family members still in Syria</t>
  </si>
  <si>
    <t xml:space="preserve">Cannot be known</t>
  </si>
  <si>
    <t xml:space="preserve">184 answers; a blank cannot be read as nobody remaining.</t>
  </si>
  <si>
    <t xml:space="preserve">membersgottenmarried</t>
  </si>
  <si>
    <t xml:space="preserve">06 Family events</t>
  </si>
  <si>
    <t xml:space="preserve">Household members who married</t>
  </si>
  <si>
    <t xml:space="preserve">Family event. Not used.</t>
  </si>
  <si>
    <t xml:space="preserve">earlymarriage</t>
  </si>
  <si>
    <t xml:space="preserve">Early marriage</t>
  </si>
  <si>
    <t xml:space="preserve">zaatari</t>
  </si>
  <si>
    <t xml:space="preserve">The household lived in Zaatari</t>
  </si>
  <si>
    <t xml:space="preserve">Complete. All camp households and 71 in the towns lived in Zaatari.</t>
  </si>
  <si>
    <t xml:space="preserve">livedinanothercamp</t>
  </si>
  <si>
    <t xml:space="preserve">The household lived in another camp</t>
  </si>
  <si>
    <t xml:space="preserve">Complete; fewer than ten households.</t>
  </si>
  <si>
    <t xml:space="preserve">azrak</t>
  </si>
  <si>
    <t xml:space="preserve">The household lived in Azraq</t>
  </si>
  <si>
    <t xml:space="preserve">Complete; 13 households in the towns passed through Azraq.</t>
  </si>
  <si>
    <t xml:space="preserve">livedoutsidezaataricontrol</t>
  </si>
  <si>
    <t xml:space="preserve">Camp household that lived outside before</t>
  </si>
  <si>
    <t xml:space="preserve">Complete in the camp: 35 households lived outside before returning.</t>
  </si>
  <si>
    <t xml:space="preserve">leavethecampe1s2d3lp4</t>
  </si>
  <si>
    <t xml:space="preserve">Route out of the camp (E informal, S with a sponsor, D, LP leave permit)</t>
  </si>
  <si>
    <t xml:space="preserve">Households in the towns that passed through a camp</t>
  </si>
  <si>
    <t xml:space="preserve">Nearly all of the 84 households that passed through a camp answered. Only two routes have ten households or more: with a sponsor (42) and informal; the other routes have fewer than ten.</t>
  </si>
  <si>
    <t xml:space="preserve">numberofplacesofresidence</t>
  </si>
  <si>
    <t xml:space="preserve">Number of places lived in within Jordan</t>
  </si>
  <si>
    <t xml:space="preserve">Complete.</t>
  </si>
  <si>
    <t xml:space="preserve">placesofresidence</t>
  </si>
  <si>
    <t xml:space="preserve">Places lived in within Jordan</t>
  </si>
  <si>
    <t xml:space="preserve">49 answers.</t>
  </si>
  <si>
    <t xml:space="preserve">monthslivinginzaatari</t>
  </si>
  <si>
    <t xml:space="preserve">Months living in Zaatari (complements the years)</t>
  </si>
  <si>
    <t xml:space="preserve">The duration may be in another unit (days, months or years)</t>
  </si>
  <si>
    <t xml:space="preserve">Read together with the years, the time in Zaatari is known for most camp households; fewer than ten gave it in months only.</t>
  </si>
  <si>
    <t xml:space="preserve">yearslivinginzaatari</t>
  </si>
  <si>
    <t xml:space="preserve">Years living in Zaatari</t>
  </si>
  <si>
    <t xml:space="preserve">232 of 257 camp households; with the months it covers a few more (fewer than ten).</t>
  </si>
  <si>
    <t xml:space="preserve">districtinthecamp</t>
  </si>
  <si>
    <t xml:space="preserve">Camp district (twelve)</t>
  </si>
  <si>
    <t xml:space="preserve">249 of 257. All twelve districts have ten households or more (median of 21).</t>
  </si>
  <si>
    <t xml:space="preserve">monthslivingoustsidezaataricontr</t>
  </si>
  <si>
    <t xml:space="preserve">Months the household lived outside before returning to the camp</t>
  </si>
  <si>
    <t xml:space="preserve">Camp households that lived outside before</t>
  </si>
  <si>
    <t xml:space="preserve">Of the 35 households that returned to the camp, nearly all have the duration, in months or in years.</t>
  </si>
  <si>
    <t xml:space="preserve">yearslivingoutsidezaataricontrol</t>
  </si>
  <si>
    <t xml:space="preserve">Years the household lived outside before returning to the camp</t>
  </si>
  <si>
    <t xml:space="preserve">daysnontreatment</t>
  </si>
  <si>
    <t xml:space="preserve">Days in the camp before leaving</t>
  </si>
  <si>
    <t xml:space="preserve">Time in the camp before leaving: nearly all of the 84 households have it, most in days, 28 in months and fewer than ten in years.</t>
  </si>
  <si>
    <t xml:space="preserve">monthsnontreatment</t>
  </si>
  <si>
    <t xml:space="preserve">Months in the camp before leaving</t>
  </si>
  <si>
    <t xml:space="preserve">yearsnontreatment</t>
  </si>
  <si>
    <t xml:space="preserve">Years in the camp before leaving</t>
  </si>
  <si>
    <t xml:space="preserve">fewer than 10</t>
  </si>
  <si>
    <t xml:space="preserve">daysundertreatment</t>
  </si>
  <si>
    <t xml:space="preserve">Days living outside the camp</t>
  </si>
  <si>
    <t xml:space="preserve">Fewer than ten answers.</t>
  </si>
  <si>
    <t xml:space="preserve">monthsundertreatment</t>
  </si>
  <si>
    <t xml:space="preserve">Months living outside the camp</t>
  </si>
  <si>
    <t xml:space="preserve">yearsundertreatment</t>
  </si>
  <si>
    <t xml:space="preserve">Years living outside the camp</t>
  </si>
  <si>
    <t xml:space="preserve">78 of 134 households in the towns; for the rest only the year of arrival remains.</t>
  </si>
  <si>
    <t xml:space="preserve">leavepermityes1no2</t>
  </si>
  <si>
    <t xml:space="preserve">Holds a leave permit from the camp (1 yes, 2 no)</t>
  </si>
  <si>
    <t xml:space="preserve">No variation: no yes in the camp and fewer than ten in the towns.</t>
  </si>
  <si>
    <t xml:space="preserve">housesyria</t>
  </si>
  <si>
    <t xml:space="preserve">07 Housing</t>
  </si>
  <si>
    <t xml:space="preserve">Number of dwellings of the household in Syria</t>
  </si>
  <si>
    <t xml:space="preserve">It is a count of dwellings in Syria, not a type: nearly all households had one.</t>
  </si>
  <si>
    <t xml:space="preserve">hsownershipo1i2r3d4</t>
  </si>
  <si>
    <t xml:space="preserve">Housing tenure in Syria (O, I, R, D)</t>
  </si>
  <si>
    <t xml:space="preserve">Complete. 236 camp households owned their home; in the towns, nearly all.</t>
  </si>
  <si>
    <t xml:space="preserve">hstype</t>
  </si>
  <si>
    <t xml:space="preserve">Type of dwelling in Syria</t>
  </si>
  <si>
    <t xml:space="preserve">Complete (house or apartment).</t>
  </si>
  <si>
    <t xml:space="preserve">housejordan</t>
  </si>
  <si>
    <t xml:space="preserve">Number of dwellings of the household in Jordan (shelters or caravans in the camp)</t>
  </si>
  <si>
    <t xml:space="preserve">In the camp it counts shelters or caravans (one to five); in the towns it is always one. Usable only within the camp.</t>
  </si>
  <si>
    <t xml:space="preserve">hjownershipo1i2r3d4</t>
  </si>
  <si>
    <t xml:space="preserve">Housing tenure in Jordan (O, I, R, D)</t>
  </si>
  <si>
    <t xml:space="preserve">Nearly complete. In the towns, 116 of 134 households rent; in the camp, 55 households report owning their dwelling and most of the rest a dwelling provided to them.</t>
  </si>
  <si>
    <t xml:space="preserve">hjtype</t>
  </si>
  <si>
    <t xml:space="preserve">Type of dwelling in Jordan</t>
  </si>
  <si>
    <t xml:space="preserve">Nearly complete in the towns, where nearly all live in an apartment; in the camp there are only 16 answers.</t>
  </si>
  <si>
    <t xml:space="preserve">tvs</t>
  </si>
  <si>
    <t xml:space="preserve">08 Durable goods</t>
  </si>
  <si>
    <t xml:space="preserve">Televisions in Syria</t>
  </si>
  <si>
    <t xml:space="preserve">Nearly complete (257 and 133). Recalled, but concrete.</t>
  </si>
  <si>
    <t xml:space="preserve">tvj</t>
  </si>
  <si>
    <t xml:space="preserve">Televisions in Jordan</t>
  </si>
  <si>
    <t xml:space="preserve">Nearly complete (257 and 133).</t>
  </si>
  <si>
    <t xml:space="preserve">refrigeratorss</t>
  </si>
  <si>
    <t xml:space="preserve">Refrigerators in Syria</t>
  </si>
  <si>
    <t xml:space="preserve">refrigeratorsj</t>
  </si>
  <si>
    <t xml:space="preserve">Refrigerators in Jordan</t>
  </si>
  <si>
    <t xml:space="preserve">stovess</t>
  </si>
  <si>
    <t xml:space="preserve">Stoves in Syria</t>
  </si>
  <si>
    <t xml:space="preserve">stovesj</t>
  </si>
  <si>
    <t xml:space="preserve">Stoves in Jordan</t>
  </si>
  <si>
    <t xml:space="preserve">carss</t>
  </si>
  <si>
    <t xml:space="preserve">Cars in Syria</t>
  </si>
  <si>
    <t xml:space="preserve">carsj</t>
  </si>
  <si>
    <t xml:space="preserve">Cars in Jordan</t>
  </si>
  <si>
    <t xml:space="preserve">Nearly complete. In Jordan almost no household has a car: it measures the loss, not a difference between groups.</t>
  </si>
  <si>
    <t xml:space="preserve">vacationss</t>
  </si>
  <si>
    <t xml:space="preserve">09 Leisure</t>
  </si>
  <si>
    <t xml:space="preserve">Vacations per year in Syria</t>
  </si>
  <si>
    <t xml:space="preserve">Nearly complete (257 and 129).</t>
  </si>
  <si>
    <t xml:space="preserve">vacationsj</t>
  </si>
  <si>
    <t xml:space="preserve">Vacations per year in Jordan</t>
  </si>
  <si>
    <t xml:space="preserve">Nearly complete. In Jordan almost every answer is zero: it measures the loss, not a difference between groups.</t>
  </si>
  <si>
    <t xml:space="preserve">goouts</t>
  </si>
  <si>
    <t xml:space="preserve">Outings in Syria</t>
  </si>
  <si>
    <t xml:space="preserve">gooutj</t>
  </si>
  <si>
    <t xml:space="preserve">Outings in Jordan</t>
  </si>
  <si>
    <t xml:space="preserve">loanssyes1no0</t>
  </si>
  <si>
    <t xml:space="preserve">10 Savings, debt and credit</t>
  </si>
  <si>
    <t xml:space="preserve">Had a loan in Syria</t>
  </si>
  <si>
    <t xml:space="preserve">Nearly complete. Fewer than ten out-of-code values, read as yes.</t>
  </si>
  <si>
    <t xml:space="preserve">loansjyes1no0</t>
  </si>
  <si>
    <t xml:space="preserve">Has a loan in Jordan</t>
  </si>
  <si>
    <t xml:space="preserve">Nearly complete. In Jordan almost no household has a loan.</t>
  </si>
  <si>
    <t xml:space="preserve">rpsyes1no0</t>
  </si>
  <si>
    <t xml:space="preserve">Had a retirement pension in Syria</t>
  </si>
  <si>
    <t xml:space="preserve">rpjyes1no0</t>
  </si>
  <si>
    <t xml:space="preserve">Has a retirement pension in Jordan</t>
  </si>
  <si>
    <t xml:space="preserve">Nearly complete. In Jordan almost no household has a pension.</t>
  </si>
  <si>
    <t xml:space="preserve">savingssyes1no0</t>
  </si>
  <si>
    <t xml:space="preserve">Had savings in Syria</t>
  </si>
  <si>
    <t xml:space="preserve">Nearly complete. 18% of camp households and 50% of those in the towns had savings.</t>
  </si>
  <si>
    <t xml:space="preserve">savingsjyes1no0</t>
  </si>
  <si>
    <t xml:space="preserve">Has savings in Jordan</t>
  </si>
  <si>
    <t xml:space="preserve">Nearly complete. Fewer than ten households in each group have savings in Jordan.</t>
  </si>
  <si>
    <t xml:space="preserve">debtssyes1no0</t>
  </si>
  <si>
    <t xml:space="preserve">Had debts in Syria</t>
  </si>
  <si>
    <t xml:space="preserve">debtsjyes1no0</t>
  </si>
  <si>
    <t xml:space="preserve">Has debts in Jordan</t>
  </si>
  <si>
    <t xml:space="preserve">Nearly complete. Fewer than ten out-of-code values (a number where yes or no was expected), read as yes. No amount and no lender.</t>
  </si>
  <si>
    <t xml:space="preserve">averageday</t>
  </si>
  <si>
    <t xml:space="preserve">11 Average day</t>
  </si>
  <si>
    <t xml:space="preserve">What an average day is like (coded open answer)</t>
  </si>
  <si>
    <t xml:space="preserve">256 and 133 answers in 24 distinct texts. It depends on who answered, and fieldwork overlapped with Ramadan.</t>
  </si>
  <si>
    <t xml:space="preserve">em1un2</t>
  </si>
  <si>
    <t xml:space="preserve">12 Work</t>
  </si>
  <si>
    <t xml:space="preserve">Employed (1) or not employed (2)</t>
  </si>
  <si>
    <t xml:space="preserve">It is the employment of the respondent. Among the men who answered there is no difference: 30% in the camp and 29% in the towns.</t>
  </si>
  <si>
    <t xml:space="preserve">lookingforjobyes1no0</t>
  </si>
  <si>
    <t xml:space="preserve">Looking for work</t>
  </si>
  <si>
    <t xml:space="preserve">Describes the respondent. Fewer than ten out-of-code values.</t>
  </si>
  <si>
    <t xml:space="preserve">membersems</t>
  </si>
  <si>
    <t xml:space="preserve">Who worked in Syria (father, mother, son)</t>
  </si>
  <si>
    <t xml:space="preserve">Says who worked (father, mother, son), not how many.</t>
  </si>
  <si>
    <t xml:space="preserve">membersemj</t>
  </si>
  <si>
    <t xml:space="preserve">Who works in Jordan (father, mother, son)</t>
  </si>
  <si>
    <t xml:space="preserve">Says who works. Blank in 156 camp households and 48 in the towns; "some member works" (39% and 64%) assumes that a blank means nobody.</t>
  </si>
  <si>
    <t xml:space="preserve">occupations</t>
  </si>
  <si>
    <t xml:space="preserve">Occupation of the respondent in Syria</t>
  </si>
  <si>
    <t xml:space="preserve">Occupation of the respondent in Syria, in 48 distinct texts.</t>
  </si>
  <si>
    <t xml:space="preserve">occupationsfather</t>
  </si>
  <si>
    <t xml:space="preserve">Occupation of the father in Syria, when another person answered</t>
  </si>
  <si>
    <t xml:space="preserve">The father or the mother</t>
  </si>
  <si>
    <t xml:space="preserve">Only where applicable</t>
  </si>
  <si>
    <t xml:space="preserve">49 answers: filled in only when another household member answered.</t>
  </si>
  <si>
    <t xml:space="preserve">occupationj</t>
  </si>
  <si>
    <t xml:space="preserve">Occupation of the respondent in Jordan</t>
  </si>
  <si>
    <t xml:space="preserve">Occupation of the respondent in Jordan, in 33 texts; includes housewife and no work.</t>
  </si>
  <si>
    <t xml:space="preserve">occupationjfather</t>
  </si>
  <si>
    <t xml:space="preserve">Occupation of the father in Jordan, when another person answered</t>
  </si>
  <si>
    <t xml:space="preserve">45 answers; it enters only combined in JobHHHJordan.</t>
  </si>
  <si>
    <t xml:space="preserve">psourceins</t>
  </si>
  <si>
    <t xml:space="preserve">13 Income by source</t>
  </si>
  <si>
    <t xml:space="preserve">Main source of income in Syria</t>
  </si>
  <si>
    <t xml:space="preserve">254 and 131 answers. The father's work is the main source in 320 households.</t>
  </si>
  <si>
    <t xml:space="preserve">psourceinsamount</t>
  </si>
  <si>
    <t xml:space="preserve">Monthly amount of the main source in Syria</t>
  </si>
  <si>
    <t xml:space="preserve">Recalled amount in Syrian pounds. In the towns, 115 of 134 households gave it; 16 name the source without the amount.</t>
  </si>
  <si>
    <t xml:space="preserve">ssourceins</t>
  </si>
  <si>
    <t xml:space="preserve">Second source of income in Syria</t>
  </si>
  <si>
    <t xml:space="preserve">Fewer than 30 households report a second source in Syria.</t>
  </si>
  <si>
    <t xml:space="preserve">ssourceinsamount</t>
  </si>
  <si>
    <t xml:space="preserve">Monthly amount of the second source in Syria</t>
  </si>
  <si>
    <t xml:space="preserve">tsourceins</t>
  </si>
  <si>
    <t xml:space="preserve">Third source of income in Syria</t>
  </si>
  <si>
    <t xml:space="preserve">Fewer than ten households.</t>
  </si>
  <si>
    <t xml:space="preserve">tsourceinsamount</t>
  </si>
  <si>
    <t xml:space="preserve">Monthly amount of the third source in Syria</t>
  </si>
  <si>
    <t xml:space="preserve">psourceinj</t>
  </si>
  <si>
    <t xml:space="preserve">Main source of income in Jordan</t>
  </si>
  <si>
    <t xml:space="preserve">248 and 132 answers. It separates WFP vouchers, UNHCR cash, work and help from relatives.</t>
  </si>
  <si>
    <t xml:space="preserve">psourceinjamount</t>
  </si>
  <si>
    <t xml:space="preserve">Monthly amount of the main source in Jordan</t>
  </si>
  <si>
    <t xml:space="preserve">248 and 129 answers. In about nine in ten camp households that report assistance only, the amount matches the official voucher, JD 20 (Jordanian dinars) per person (a6_vale_solo_asistencia.py).</t>
  </si>
  <si>
    <t xml:space="preserve">ssourceinj</t>
  </si>
  <si>
    <t xml:space="preserve">Second source of income in Jordan</t>
  </si>
  <si>
    <t xml:space="preserve">79 camp households and 116 in the towns report a second source; a blank means not having one.</t>
  </si>
  <si>
    <t xml:space="preserve">ssourceinjamount</t>
  </si>
  <si>
    <t xml:space="preserve">Monthly amount of the second source in Jordan</t>
  </si>
  <si>
    <t xml:space="preserve">79 and 112 answers.</t>
  </si>
  <si>
    <t xml:space="preserve">tsourceinj</t>
  </si>
  <si>
    <t xml:space="preserve">Third source of income in Jordan</t>
  </si>
  <si>
    <t xml:space="preserve">Fewer than ten camp households and 25 in the towns report a third source.</t>
  </si>
  <si>
    <t xml:space="preserve">tsourceinjamount</t>
  </si>
  <si>
    <t xml:space="preserve">Monthly amount of the third source in Jordan</t>
  </si>
  <si>
    <t xml:space="preserve">Fewer than ten camp households and 20 in the towns.</t>
  </si>
  <si>
    <t xml:space="preserve">rents</t>
  </si>
  <si>
    <t xml:space="preserve">14 Spending by item</t>
  </si>
  <si>
    <t xml:space="preserve">Monthly rent in Syria</t>
  </si>
  <si>
    <t xml:space="preserve">Zero or no answer (cannot be told apart)</t>
  </si>
  <si>
    <t xml:space="preserve">Fewer than ten answers per group: nearly all households owned their home.</t>
  </si>
  <si>
    <t xml:space="preserve">rentj</t>
  </si>
  <si>
    <t xml:space="preserve">Monthly rent in Jordan</t>
  </si>
  <si>
    <t xml:space="preserve">Households that rent</t>
  </si>
  <si>
    <t xml:space="preserve">Given by 105 of the 116 households that rent in the towns.</t>
  </si>
  <si>
    <t xml:space="preserve">foods</t>
  </si>
  <si>
    <t xml:space="preserve">Monthly spending on food in Syria</t>
  </si>
  <si>
    <t xml:space="preserve">248 camp households, but only 64 of 134 in the towns.</t>
  </si>
  <si>
    <t xml:space="preserve">foodj</t>
  </si>
  <si>
    <t xml:space="preserve">Monthly spending on food in Jordan</t>
  </si>
  <si>
    <t xml:space="preserve">221 and 106 answers; 36 camp households and 28 in the towns are missing.</t>
  </si>
  <si>
    <t xml:space="preserve">healths</t>
  </si>
  <si>
    <t xml:space="preserve">Monthly spending on health in Syria</t>
  </si>
  <si>
    <t xml:space="preserve">not shown</t>
  </si>
  <si>
    <t xml:space="preserve">Fewer than a third of households wrote an amount; a blank may be zero or no answer. The counts by group are not shown: health questions are not crossed with place (How it was done sheet, protection of households).</t>
  </si>
  <si>
    <t xml:space="preserve">healthj</t>
  </si>
  <si>
    <t xml:space="preserve">Monthly spending on health in Jordan</t>
  </si>
  <si>
    <t xml:space="preserve">Fewer than a quarter of households wrote an amount; a blank may be zero or no answer. The counts by group are not shown: health questions are not crossed with place (How it was done sheet, protection of households).</t>
  </si>
  <si>
    <t xml:space="preserve">educations</t>
  </si>
  <si>
    <t xml:space="preserve">Monthly spending on education in Syria</t>
  </si>
  <si>
    <t xml:space="preserve">33 camp households and fewer than ten in the towns.</t>
  </si>
  <si>
    <t xml:space="preserve">educationj</t>
  </si>
  <si>
    <t xml:space="preserve">Monthly spending on education in Jordan</t>
  </si>
  <si>
    <t xml:space="preserve">Fewer than ten camp households and 10 in the towns.</t>
  </si>
  <si>
    <t xml:space="preserve">electricitys</t>
  </si>
  <si>
    <t xml:space="preserve">Monthly spending on electricity in Syria</t>
  </si>
  <si>
    <t xml:space="preserve">247 camp households and 90 in the towns.</t>
  </si>
  <si>
    <t xml:space="preserve">electricityj</t>
  </si>
  <si>
    <t xml:space="preserve">Monthly spending on electricity in Jordan</t>
  </si>
  <si>
    <t xml:space="preserve">In the towns, 115 of 134 households; in the camp almost nobody pays for electricity.</t>
  </si>
  <si>
    <t xml:space="preserve">waters</t>
  </si>
  <si>
    <t xml:space="preserve">Monthly spending on water in Syria</t>
  </si>
  <si>
    <t xml:space="preserve">237 camp households and 65 in the towns.</t>
  </si>
  <si>
    <t xml:space="preserve">waterj</t>
  </si>
  <si>
    <t xml:space="preserve">Monthly spending on water in Jordan</t>
  </si>
  <si>
    <t xml:space="preserve">In the towns, 101 of 134 households; in the camp almost nobody pays for piped water.</t>
  </si>
  <si>
    <t xml:space="preserve">drinkablews</t>
  </si>
  <si>
    <t xml:space="preserve">Monthly spending on drinking water in Syria</t>
  </si>
  <si>
    <t xml:space="preserve">15 camp households and fewer than ten in the towns.</t>
  </si>
  <si>
    <t xml:space="preserve">drinkablewj</t>
  </si>
  <si>
    <t xml:space="preserve">Monthly spending on drinking water in Jordan</t>
  </si>
  <si>
    <t xml:space="preserve">177 and 113 answers. Fewer than ten out-of-range values.</t>
  </si>
  <si>
    <t xml:space="preserve">transportations</t>
  </si>
  <si>
    <t xml:space="preserve">Monthly spending on transport in Syria</t>
  </si>
  <si>
    <t xml:space="preserve">64 and 12 answers. A blank may be zero or no answer.</t>
  </si>
  <si>
    <t xml:space="preserve">transportationsj</t>
  </si>
  <si>
    <t xml:space="preserve">Monthly spending on transport in Jordan</t>
  </si>
  <si>
    <t xml:space="preserve">36 and 44 answers. A blank may be zero or no answer.</t>
  </si>
  <si>
    <t xml:space="preserve">otherexs</t>
  </si>
  <si>
    <t xml:space="preserve">Other monthly spending in Syria</t>
  </si>
  <si>
    <t xml:space="preserve">22 camp households and fewer than ten in the towns.</t>
  </si>
  <si>
    <t xml:space="preserve">otherexj</t>
  </si>
  <si>
    <t xml:space="preserve">Other monthly spending in Jordan</t>
  </si>
  <si>
    <t xml:space="preserve">24 and 30 answers.</t>
  </si>
  <si>
    <t xml:space="preserve">totalexs</t>
  </si>
  <si>
    <t xml:space="preserve">Total monthly spending in Syria</t>
  </si>
  <si>
    <t xml:space="preserve">252 camp households and 95 in the towns. It is the sum of the items answered.</t>
  </si>
  <si>
    <t xml:space="preserve">totalexj</t>
  </si>
  <si>
    <t xml:space="preserve">Total monthly spending in Jordan</t>
  </si>
  <si>
    <t xml:space="preserve">239 and 121 answers. It adds items whose blanks may be zero, and it exceeds reported income in 45% of camp households and 50% of those in the towns.</t>
  </si>
  <si>
    <t xml:space="preserve">informals</t>
  </si>
  <si>
    <t xml:space="preserve">Informal work in Syria</t>
  </si>
  <si>
    <t xml:space="preserve">Unclear</t>
  </si>
  <si>
    <t xml:space="preserve">Nearly complete, but it is unclear whether it describes the respondent or the household head.</t>
  </si>
  <si>
    <t xml:space="preserve">informalj</t>
  </si>
  <si>
    <t xml:space="preserve">Informal work in Jordan</t>
  </si>
  <si>
    <t xml:space="preserve">businesss</t>
  </si>
  <si>
    <t xml:space="preserve">Own business in Syria</t>
  </si>
  <si>
    <t xml:space="preserve">businessj</t>
  </si>
  <si>
    <t xml:space="preserve">Own business in Jordan</t>
  </si>
  <si>
    <t xml:space="preserve">morethanoneattimes</t>
  </si>
  <si>
    <t xml:space="preserve">More than one job at a time in Syria</t>
  </si>
  <si>
    <t xml:space="preserve">morethanoneattimej</t>
  </si>
  <si>
    <t xml:space="preserve">More than one job at a time in Jordan</t>
  </si>
  <si>
    <t xml:space="preserve">workingtimes</t>
  </si>
  <si>
    <t xml:space="preserve">Working hours in Syria</t>
  </si>
  <si>
    <t xml:space="preserve">216 and 75 answers; it is unclear whose hours they are.</t>
  </si>
  <si>
    <t xml:space="preserve">workingtimej</t>
  </si>
  <si>
    <t xml:space="preserve">Working hours in Jordan</t>
  </si>
  <si>
    <t xml:space="preserve">64 and 57 answers. 56 come from respondents recorded as not employed, so the hours belong to another household member.</t>
  </si>
  <si>
    <t xml:space="preserve">satisfactionworks</t>
  </si>
  <si>
    <t xml:space="preserve">Satisfaction with work in Syria (four levels)</t>
  </si>
  <si>
    <t xml:space="preserve">247 and 124 answers; those who were not working answered it too.</t>
  </si>
  <si>
    <t xml:space="preserve">satisfactionworkj</t>
  </si>
  <si>
    <t xml:space="preserve">Satisfaction with work in Jordan (four levels)</t>
  </si>
  <si>
    <t xml:space="preserve">243 and 116 answers; those who are not working answer it too, so it measures satisfaction with work opportunities.</t>
  </si>
  <si>
    <t xml:space="preserve">happiness</t>
  </si>
  <si>
    <t xml:space="preserve">15 Wellbeing</t>
  </si>
  <si>
    <t xml:space="preserve">Happiness (1 to 10)</t>
  </si>
  <si>
    <t xml:space="preserve">Nearly complete. It is a single question from 1 to 10 and depends on who answered.</t>
  </si>
  <si>
    <t xml:space="preserve">optimism</t>
  </si>
  <si>
    <t xml:space="preserve">Optimism about the future (1 to 10)</t>
  </si>
  <si>
    <t xml:space="preserve">Nearly complete. It is a single question from 1 to 10 and depends on who answered; in the towns, 27% answered 1.</t>
  </si>
  <si>
    <t xml:space="preserve">securityfamily</t>
  </si>
  <si>
    <t xml:space="preserve">16 Security and whom to turn to</t>
  </si>
  <si>
    <t xml:space="preserve">Security of the family (1 to 5)</t>
  </si>
  <si>
    <t xml:space="preserve">Recorded as a number in the camp and as a word in the towns (133 households): the format changes between groups.</t>
  </si>
  <si>
    <t xml:space="preserve">emergency1family</t>
  </si>
  <si>
    <t xml:space="preserve">First contact in a family emergency</t>
  </si>
  <si>
    <t xml:space="preserve">256 and 116 answers. It nearly always repeats the contact of the personal question (230 of 256 camp households).</t>
  </si>
  <si>
    <t xml:space="preserve">emergency2family</t>
  </si>
  <si>
    <t xml:space="preserve">Second contact in a family emergency</t>
  </si>
  <si>
    <t xml:space="preserve">Second contact: 215 and 54 answers.</t>
  </si>
  <si>
    <t xml:space="preserve">emergency3family</t>
  </si>
  <si>
    <t xml:space="preserve">Third contact in a family emergency</t>
  </si>
  <si>
    <t xml:space="preserve">Third contact: 164 camp households and fewer than ten in the towns.</t>
  </si>
  <si>
    <t xml:space="preserve">security</t>
  </si>
  <si>
    <t xml:space="preserve">Personal security (1 to 5)</t>
  </si>
  <si>
    <t xml:space="preserve">Recorded as a number in the camp and as a word in the towns (130 households): the format changes between groups.</t>
  </si>
  <si>
    <t xml:space="preserve">emergency1</t>
  </si>
  <si>
    <t xml:space="preserve">First contact in a personal emergency</t>
  </si>
  <si>
    <t xml:space="preserve">256 and 111 answers. In the towns there are 23 blanks; nearly all of those households did answer the neighbouring questions.</t>
  </si>
  <si>
    <t xml:space="preserve">emergency2</t>
  </si>
  <si>
    <t xml:space="preserve">Second contact in a personal emergency</t>
  </si>
  <si>
    <t xml:space="preserve">Second contact: 214 and 58 answers.</t>
  </si>
  <si>
    <t xml:space="preserve">emergency3</t>
  </si>
  <si>
    <t xml:space="preserve">Third contact in a personal emergency</t>
  </si>
  <si>
    <t xml:space="preserve">Third contact: 165 camp households and fewer than ten in the towns.</t>
  </si>
  <si>
    <t xml:space="preserve">familyintegration</t>
  </si>
  <si>
    <t xml:space="preserve">17 Self-rated integration</t>
  </si>
  <si>
    <t xml:space="preserve">Self-rated integration of the family (1 to 10)</t>
  </si>
  <si>
    <t xml:space="preserve">257 and 126 answers. Self-rated integration of the family, from 1 to 10; the question does not say integration into what, and answers cluster at the ends.</t>
  </si>
  <si>
    <t xml:space="preserve">personalintegration</t>
  </si>
  <si>
    <t xml:space="preserve">Self-rated integration, personal (1 to 10)</t>
  </si>
  <si>
    <t xml:space="preserve">257 and 129 answers. Self-rated integration, from 1 to 10; the question does not say integration into what. In the camp 28% answered 10; in the towns 29% answered 1.</t>
  </si>
  <si>
    <t xml:space="preserve">decreaseinincome</t>
  </si>
  <si>
    <t xml:space="preserve">18 Shocks</t>
  </si>
  <si>
    <t xml:space="preserve">Household income fell</t>
  </si>
  <si>
    <t xml:space="preserve">Nearly complete. It refers to the whole period since arrival in Jordan.</t>
  </si>
  <si>
    <t xml:space="preserve">causedi</t>
  </si>
  <si>
    <t xml:space="preserve">Reported cause of the fall in income</t>
  </si>
  <si>
    <t xml:space="preserve">Households whose income fell</t>
  </si>
  <si>
    <t xml:space="preserve">Given by nearly all households whose income fell. The cause is the household's own account.</t>
  </si>
  <si>
    <t xml:space="preserve">theft</t>
  </si>
  <si>
    <t xml:space="preserve">The household experienced a theft</t>
  </si>
  <si>
    <t xml:space="preserve">lossemployment</t>
  </si>
  <si>
    <t xml:space="preserve">Loss of a job</t>
  </si>
  <si>
    <t xml:space="preserve">sickness</t>
  </si>
  <si>
    <t xml:space="preserve">Sickness</t>
  </si>
  <si>
    <t xml:space="preserve">Nearly complete; since arrival in Jordan. Used only as a share by group.</t>
  </si>
  <si>
    <t xml:space="preserve">increaseworkingtime</t>
  </si>
  <si>
    <t xml:space="preserve">19 Responses to the fall in income</t>
  </si>
  <si>
    <t xml:space="preserve">Worked more hours</t>
  </si>
  <si>
    <t xml:space="preserve">Answered by nearly all households (254 to 256 and 128 to 131). It was also asked of the 49 households whose income did not fall, and it covers the whole period since arrival in Jordan.</t>
  </si>
  <si>
    <t xml:space="preserve">morethan1job</t>
  </si>
  <si>
    <t xml:space="preserve">Took more than one job</t>
  </si>
  <si>
    <t xml:space="preserve">childlabor</t>
  </si>
  <si>
    <t xml:space="preserve">A child went to work</t>
  </si>
  <si>
    <t xml:space="preserve">Answered by nearly all households (254 to 256 and 128 to 131). It was also asked of the 49 households whose income did not fall, and it covers the whole period since arrival in Jordan. The number of children in the household is unknown.</t>
  </si>
  <si>
    <t xml:space="preserve">recfoodintake</t>
  </si>
  <si>
    <t xml:space="preserve">Ate less</t>
  </si>
  <si>
    <t xml:space="preserve">redhhcon</t>
  </si>
  <si>
    <t xml:space="preserve">Cut other household spending</t>
  </si>
  <si>
    <t xml:space="preserve">reqmemin</t>
  </si>
  <si>
    <t xml:space="preserve">Asked other members to bring in income</t>
  </si>
  <si>
    <t xml:space="preserve">savings</t>
  </si>
  <si>
    <t xml:space="preserve">Spent savings</t>
  </si>
  <si>
    <t xml:space="preserve">reqloan</t>
  </si>
  <si>
    <t xml:space="preserve">Asked for a loan</t>
  </si>
  <si>
    <t xml:space="preserve">reqassistance</t>
  </si>
  <si>
    <t xml:space="preserve">Asked for assistance</t>
  </si>
  <si>
    <t xml:space="preserve">sellassets</t>
  </si>
  <si>
    <t xml:space="preserve">Sold belongings</t>
  </si>
  <si>
    <t xml:space="preserve">redexeduc</t>
  </si>
  <si>
    <t xml:space="preserve">Cut education spending</t>
  </si>
  <si>
    <t xml:space="preserve">assistanceprovider</t>
  </si>
  <si>
    <t xml:space="preserve">20 Assistance received</t>
  </si>
  <si>
    <t xml:space="preserve">Who provided the assistance</t>
  </si>
  <si>
    <t xml:space="preserve">76 answers.</t>
  </si>
  <si>
    <t xml:space="preserve">actualresponse</t>
  </si>
  <si>
    <t xml:space="preserve">Response obtained</t>
  </si>
  <si>
    <t xml:space="preserve">Fewer than ten answers per group.</t>
  </si>
  <si>
    <t xml:space="preserve">anyothershock</t>
  </si>
  <si>
    <t xml:space="preserve">Other shock (open answer)</t>
  </si>
  <si>
    <t xml:space="preserve">49 open answers.</t>
  </si>
  <si>
    <t xml:space="preserve">surveypower</t>
  </si>
  <si>
    <t xml:space="preserve">21 Opinion of the survey</t>
  </si>
  <si>
    <t xml:space="preserve">Respondent's opinion on the usefulness of the survey</t>
  </si>
  <si>
    <t xml:space="preserve">Opinion of the survey; no value for the analysis.</t>
  </si>
  <si>
    <t xml:space="preserve">surveyint</t>
  </si>
  <si>
    <t xml:space="preserve">Respondent's opinion on the interest of the survey</t>
  </si>
  <si>
    <t xml:space="preserve">currentplaceofresidence</t>
  </si>
  <si>
    <t xml:space="preserve">Current place of residence</t>
  </si>
  <si>
    <t xml:space="preserve">Complete. Towns: Irbid 52, Ramtha 38, Jerash 24, Zarqa 10 and three places with fewer than ten households.</t>
  </si>
  <si>
    <t xml:space="preserve">incometotalsyria</t>
  </si>
  <si>
    <t xml:space="preserve">Derived</t>
  </si>
  <si>
    <t xml:space="preserve">30 Derived: income and spending</t>
  </si>
  <si>
    <t xml:space="preserve">Total monthly income in Syria (sum of the three sources)</t>
  </si>
  <si>
    <t xml:space="preserve">Households that gave no amount appear with zero income (19 in the towns and fewer than ten in the camp). It has to be rebuilt keeping the blank.</t>
  </si>
  <si>
    <t xml:space="preserve">incometotaljordan</t>
  </si>
  <si>
    <t xml:space="preserve">Total monthly income in Jordan (sum of the three sources)</t>
  </si>
  <si>
    <t xml:space="preserve">Correct sum of the three sources, but 11 households with no amount appear with zero income.</t>
  </si>
  <si>
    <t xml:space="preserve">exchangeratesyria</t>
  </si>
  <si>
    <t xml:space="preserve">Exchange rate of the Syrian pound by year of departure</t>
  </si>
  <si>
    <t xml:space="preserve">Exchange rate by year of arrival. Empty for the 23 camp households with no year of arrival and for the few that arrived in 2016 (fewer than ten in each group). The counts by group are not shown because, with the row for the year of arrival, they would give the number that arrived in 2016.</t>
  </si>
  <si>
    <t xml:space="preserve">exchangeratejordan</t>
  </si>
  <si>
    <t xml:space="preserve">Exchange rate of the dinar</t>
  </si>
  <si>
    <t xml:space="preserve">Empty for the same households, although the dinar rate does not depend on the year of arrival. Counts by group not shown, as for exchangeratesyria.</t>
  </si>
  <si>
    <t xml:space="preserve">totalincomesyriadollars</t>
  </si>
  <si>
    <t xml:space="preserve">Total income in Syria in dollars</t>
  </si>
  <si>
    <t xml:space="preserve">Inherits the zeros of incometotalsyria and is empty for the households with no exchange rate. Counts by group not shown, as for exchangeratesyria.</t>
  </si>
  <si>
    <t xml:space="preserve">totalincomejordandollars</t>
  </si>
  <si>
    <t xml:space="preserve">Total income in Jordan in dollars</t>
  </si>
  <si>
    <t xml:space="preserve">Empty for the households with no exchange rate, only because their year of arrival is missing or is 2016. Counts by group not shown, as for exchangeratesyria.</t>
  </si>
  <si>
    <t xml:space="preserve">totalexpensesyria</t>
  </si>
  <si>
    <t xml:space="preserve">Total spending in Syria</t>
  </si>
  <si>
    <t xml:space="preserve">30 households in the towns that did not answer appear with zero spending.</t>
  </si>
  <si>
    <t xml:space="preserve">totalexpensesjordan</t>
  </si>
  <si>
    <t xml:space="preserve">Total spending in Jordan</t>
  </si>
  <si>
    <t xml:space="preserve">15 camp households with no item answered appear with zero spending.</t>
  </si>
  <si>
    <t xml:space="preserve">totalexpensesyriadollar</t>
  </si>
  <si>
    <t xml:space="preserve">Total spending in Syria in dollars</t>
  </si>
  <si>
    <t xml:space="preserve">Inherits the zeros of totalexpensesyria and is empty for the households with no exchange rate. Counts by group not shown, as for exchangeratesyria.</t>
  </si>
  <si>
    <t xml:space="preserve">totalexpensesjordandollars</t>
  </si>
  <si>
    <t xml:space="preserve">Total spending in Jordan in dollars</t>
  </si>
  <si>
    <t xml:space="preserve">Inherits the zeros of totalexpensesjordan and is empty for the households with no exchange rate. Counts by group not shown, as for exchangeratesyria.</t>
  </si>
  <si>
    <t xml:space="preserve">placeoforigin</t>
  </si>
  <si>
    <t xml:space="preserve">31 Derived: origin and characteristics</t>
  </si>
  <si>
    <t xml:space="preserve">Place of origin as a numeric code</t>
  </si>
  <si>
    <t xml:space="preserve">Same information as lastplaceofresidence, as a code.</t>
  </si>
  <si>
    <t xml:space="preserve">educationnum</t>
  </si>
  <si>
    <t xml:space="preserve">Schooling as a numeric code</t>
  </si>
  <si>
    <t xml:space="preserve">Same as education.</t>
  </si>
  <si>
    <t xml:space="preserve">increaseworkingtimedummy</t>
  </si>
  <si>
    <t xml:space="preserve">32 Derived: responses</t>
  </si>
  <si>
    <t xml:space="preserve">Worked more hours (1/0)</t>
  </si>
  <si>
    <t xml:space="preserve">Same as increaseworkingtime.</t>
  </si>
  <si>
    <t xml:space="preserve">morethan1jobdummy</t>
  </si>
  <si>
    <t xml:space="preserve">Took more than one job (1/0)</t>
  </si>
  <si>
    <t xml:space="preserve">Same as morethan1job.</t>
  </si>
  <si>
    <t xml:space="preserve">childlabordummy</t>
  </si>
  <si>
    <t xml:space="preserve">A child went to work (1/0)</t>
  </si>
  <si>
    <t xml:space="preserve">Same as childlabor.</t>
  </si>
  <si>
    <t xml:space="preserve">recfoodintakedummy</t>
  </si>
  <si>
    <t xml:space="preserve">Ate less (1/0)</t>
  </si>
  <si>
    <t xml:space="preserve">Same as recfoodintake.</t>
  </si>
  <si>
    <t xml:space="preserve">redhhcondummy</t>
  </si>
  <si>
    <t xml:space="preserve">Cut other spending (1/0)</t>
  </si>
  <si>
    <t xml:space="preserve">Same as redhhcon.</t>
  </si>
  <si>
    <t xml:space="preserve">reqmemindummy</t>
  </si>
  <si>
    <t xml:space="preserve">Asked other members to bring in income (1/0)</t>
  </si>
  <si>
    <t xml:space="preserve">Same as reqmemin.</t>
  </si>
  <si>
    <t xml:space="preserve">savingsdummy</t>
  </si>
  <si>
    <t xml:space="preserve">Spent savings (1/0)</t>
  </si>
  <si>
    <t xml:space="preserve">Same as savings.</t>
  </si>
  <si>
    <t xml:space="preserve">reqloandummy</t>
  </si>
  <si>
    <t xml:space="preserve">Asked for a loan (1/0)</t>
  </si>
  <si>
    <t xml:space="preserve">Same as reqloan.</t>
  </si>
  <si>
    <t xml:space="preserve">reqassistancedummy</t>
  </si>
  <si>
    <t xml:space="preserve">Asked for assistance (1/0)</t>
  </si>
  <si>
    <t xml:space="preserve">Same as reqassistance.</t>
  </si>
  <si>
    <t xml:space="preserve">sellassetsdummy</t>
  </si>
  <si>
    <t xml:space="preserve">Sold belongings (1/0)</t>
  </si>
  <si>
    <t xml:space="preserve">Same as sellassets.</t>
  </si>
  <si>
    <t xml:space="preserve">redexeducdummy</t>
  </si>
  <si>
    <t xml:space="preserve">Cut education spending (1/0)</t>
  </si>
  <si>
    <t xml:space="preserve">Same as redexeduc.</t>
  </si>
  <si>
    <t xml:space="preserve">Illiterate</t>
  </si>
  <si>
    <t xml:space="preserve">No schooling (1/0)</t>
  </si>
  <si>
    <t xml:space="preserve">Correct; built from education.</t>
  </si>
  <si>
    <t xml:space="preserve">ElementarySchool</t>
  </si>
  <si>
    <t xml:space="preserve">Primary school (1/0)</t>
  </si>
  <si>
    <t xml:space="preserve">MiddleSchool</t>
  </si>
  <si>
    <t xml:space="preserve">Lower secondary (1/0)</t>
  </si>
  <si>
    <t xml:space="preserve">Highschool</t>
  </si>
  <si>
    <t xml:space="preserve">Upper secondary (1/0)</t>
  </si>
  <si>
    <t xml:space="preserve">HigherEducation</t>
  </si>
  <si>
    <t xml:space="preserve">Higher education (1/0)</t>
  </si>
  <si>
    <t xml:space="preserve">childlaborin</t>
  </si>
  <si>
    <t xml:space="preserve">Inverse of childlabordummy</t>
  </si>
  <si>
    <t xml:space="preserve">Exact inverse of childlabor.</t>
  </si>
  <si>
    <t xml:space="preserve">recfoodintakein</t>
  </si>
  <si>
    <t xml:space="preserve">Inverse of recfoodintakedummy</t>
  </si>
  <si>
    <t xml:space="preserve">Exact inverse of recfoodintake.</t>
  </si>
  <si>
    <t xml:space="preserve">redhhconin</t>
  </si>
  <si>
    <t xml:space="preserve">Inverse of redhhcondummy</t>
  </si>
  <si>
    <t xml:space="preserve">Exact inverse of redhhcon.</t>
  </si>
  <si>
    <t xml:space="preserve">reqmeminin</t>
  </si>
  <si>
    <t xml:space="preserve">Inverse of reqmemindummy</t>
  </si>
  <si>
    <t xml:space="preserve">Exact inverse of reqmemin.</t>
  </si>
  <si>
    <t xml:space="preserve">savingsin</t>
  </si>
  <si>
    <t xml:space="preserve">Inverse of savingsdummy</t>
  </si>
  <si>
    <t xml:space="preserve">Exact inverse of savings.</t>
  </si>
  <si>
    <t xml:space="preserve">reqloanin</t>
  </si>
  <si>
    <t xml:space="preserve">Inverse of reqloandummy</t>
  </si>
  <si>
    <t xml:space="preserve">Exact inverse of reqloan.</t>
  </si>
  <si>
    <t xml:space="preserve">reqassistancein</t>
  </si>
  <si>
    <t xml:space="preserve">Inverse of reqassistancedummy</t>
  </si>
  <si>
    <t xml:space="preserve">Exact inverse of reqassistance.</t>
  </si>
  <si>
    <t xml:space="preserve">sellassetsin</t>
  </si>
  <si>
    <t xml:space="preserve">Inverse of sellassetsdummy</t>
  </si>
  <si>
    <t xml:space="preserve">Exact inverse of sellassets.</t>
  </si>
  <si>
    <t xml:space="preserve">redexeducin</t>
  </si>
  <si>
    <t xml:space="preserve">Inverse of redexeducdummy</t>
  </si>
  <si>
    <t xml:space="preserve">Exact inverse of redexeduc.</t>
  </si>
  <si>
    <t xml:space="preserve">increaseworkingtimein</t>
  </si>
  <si>
    <t xml:space="preserve">Inverse of increaseworkingtimedummy</t>
  </si>
  <si>
    <t xml:space="preserve">Exact inverse of increaseworkingtime.</t>
  </si>
  <si>
    <t xml:space="preserve">morethan1jobin</t>
  </si>
  <si>
    <t xml:space="preserve">Inverse of morethan1jobdummy</t>
  </si>
  <si>
    <t xml:space="preserve">Exact inverse of morethan1job.</t>
  </si>
  <si>
    <t xml:space="preserve">totmonc</t>
  </si>
  <si>
    <t xml:space="preserve">33 Derived: durations</t>
  </si>
  <si>
    <t xml:space="preserve">Time in months (intermediate step of the do-file, the Stata script of the thesis that built the variables)</t>
  </si>
  <si>
    <t xml:space="preserve">Intermediate step of the do-file; blanks become zero.</t>
  </si>
  <si>
    <t xml:space="preserve">monZcon</t>
  </si>
  <si>
    <t xml:space="preserve">Months in Zaatari, camp group (intermediate step)</t>
  </si>
  <si>
    <t xml:space="preserve">monoutZcon</t>
  </si>
  <si>
    <t xml:space="preserve">Months outside Zaatari, camp group (intermediate step)</t>
  </si>
  <si>
    <t xml:space="preserve">monthscontrol</t>
  </si>
  <si>
    <t xml:space="preserve">Months, camp group (intermediate step)</t>
  </si>
  <si>
    <t xml:space="preserve">yearsZcon</t>
  </si>
  <si>
    <t xml:space="preserve">Years in Zaatari, camp group (intermediate step)</t>
  </si>
  <si>
    <t xml:space="preserve">yearsoutZcon</t>
  </si>
  <si>
    <t xml:space="preserve">Years outside Zaatari, camp group (intermediate step)</t>
  </si>
  <si>
    <t xml:space="preserve">yearstotcon</t>
  </si>
  <si>
    <t xml:space="preserve">Total years, camp group (intermediate step)</t>
  </si>
  <si>
    <t xml:space="preserve">yearsconmonth</t>
  </si>
  <si>
    <t xml:space="preserve">Years converted to months, camp group (intermediate step)</t>
  </si>
  <si>
    <t xml:space="preserve">tottimecontinmonth</t>
  </si>
  <si>
    <t xml:space="preserve">Total time in months, camp group</t>
  </si>
  <si>
    <t xml:space="preserve">timecontrol</t>
  </si>
  <si>
    <t xml:space="preserve">Years in the camp (camp group)</t>
  </si>
  <si>
    <t xml:space="preserve">Years in the camp. It is zero for 13 camp households that lack the information.</t>
  </si>
  <si>
    <t xml:space="preserve">doutZT</t>
  </si>
  <si>
    <t xml:space="preserve">Days in the camp before leaving, towns group (intermediate step)</t>
  </si>
  <si>
    <t xml:space="preserve">moutZT</t>
  </si>
  <si>
    <t xml:space="preserve">Months in the camp before leaving, towns group (intermediate step)</t>
  </si>
  <si>
    <t xml:space="preserve">youtZT</t>
  </si>
  <si>
    <t xml:space="preserve">Years in the camp before leaving, towns group (intermediate step)</t>
  </si>
  <si>
    <t xml:space="preserve">duT</t>
  </si>
  <si>
    <t xml:space="preserve">Days outside the camp (intermediate step)</t>
  </si>
  <si>
    <t xml:space="preserve">monthsundertreatmentnum</t>
  </si>
  <si>
    <t xml:space="preserve">Months outside the camp as a number</t>
  </si>
  <si>
    <t xml:space="preserve">Fewer than ten households. The do-file (the Stata script of the thesis) assigned codes in alphabetical order and several do not match the number written.</t>
  </si>
  <si>
    <t xml:space="preserve">yearsundertreatmentnum</t>
  </si>
  <si>
    <t xml:space="preserve">Years outside the camp as a number</t>
  </si>
  <si>
    <t xml:space="preserve">Matches the number written in all 78 households.</t>
  </si>
  <si>
    <t xml:space="preserve">muT</t>
  </si>
  <si>
    <t xml:space="preserve">Months outside the camp (intermediate step)</t>
  </si>
  <si>
    <t xml:space="preserve">yuT</t>
  </si>
  <si>
    <t xml:space="preserve">Years outside the camp (intermediate step)</t>
  </si>
  <si>
    <t xml:space="preserve">totdays</t>
  </si>
  <si>
    <t xml:space="preserve">Days (intermediate step)</t>
  </si>
  <si>
    <t xml:space="preserve">totmonths</t>
  </si>
  <si>
    <t xml:space="preserve">Months (intermediate step)</t>
  </si>
  <si>
    <t xml:space="preserve">totyears</t>
  </si>
  <si>
    <t xml:space="preserve">Years (intermediate step)</t>
  </si>
  <si>
    <t xml:space="preserve">totyearsinmonts</t>
  </si>
  <si>
    <t xml:space="preserve">Years converted to months (intermediate step)</t>
  </si>
  <si>
    <t xml:space="preserve">tottimeinmonths</t>
  </si>
  <si>
    <t xml:space="preserve">Time outside the camp in months</t>
  </si>
  <si>
    <t xml:space="preserve">timetreatment</t>
  </si>
  <si>
    <t xml:space="preserve">Years outside the camp (towns group)</t>
  </si>
  <si>
    <t xml:space="preserve">Years outside the camp. It does not count the households that gave their time in days, and it is zero for 49 households in the towns.</t>
  </si>
  <si>
    <t xml:space="preserve">Years</t>
  </si>
  <si>
    <t xml:space="preserve">Years in Jordan according to the durations reported</t>
  </si>
  <si>
    <t xml:space="preserve">Sum of the durations reported in the camp and in the towns.</t>
  </si>
  <si>
    <t xml:space="preserve">year</t>
  </si>
  <si>
    <t xml:space="preserve">Years in Jordan according to the durations reported (empty if none)</t>
  </si>
  <si>
    <t xml:space="preserve">Same as Years; empty when no durations were reported.</t>
  </si>
  <si>
    <t xml:space="preserve">tottime</t>
  </si>
  <si>
    <t xml:space="preserve">Years in Jordan</t>
  </si>
  <si>
    <t xml:space="preserve">Mixes two measures: the durations reported where they exist and 2016 minus the year of arrival where they do not. Empty for 13 camp households.</t>
  </si>
  <si>
    <t xml:space="preserve">urban</t>
  </si>
  <si>
    <t xml:space="preserve">Urban origin (1/0)</t>
  </si>
  <si>
    <t xml:space="preserve">The 16 households with no origin information appear as rural.</t>
  </si>
  <si>
    <t xml:space="preserve">tvs_nm</t>
  </si>
  <si>
    <t xml:space="preserve">34 Derived: versions with blanks filled in</t>
  </si>
  <si>
    <t xml:space="preserve">Televisions in Syria with blanks filled in</t>
  </si>
  <si>
    <t xml:space="preserve">Blanks were filled in with the overall mean. The original variable should be used.</t>
  </si>
  <si>
    <t xml:space="preserve">tvj_nm</t>
  </si>
  <si>
    <t xml:space="preserve">Televisions in Jordan with blanks filled in</t>
  </si>
  <si>
    <t xml:space="preserve">carss_nm</t>
  </si>
  <si>
    <t xml:space="preserve">Cars in Syria with blanks filled in</t>
  </si>
  <si>
    <t xml:space="preserve">carsj_nm</t>
  </si>
  <si>
    <t xml:space="preserve">Cars in Jordan with blanks filled in</t>
  </si>
  <si>
    <t xml:space="preserve">vacationss_nm</t>
  </si>
  <si>
    <t xml:space="preserve">Vacations in Syria with blanks filled in</t>
  </si>
  <si>
    <t xml:space="preserve">savingss_nm</t>
  </si>
  <si>
    <t xml:space="preserve">Savings in Syria with blanks filled in</t>
  </si>
  <si>
    <t xml:space="preserve">savingsj_nm</t>
  </si>
  <si>
    <t xml:space="preserve">Savings in Jordan with blanks filled in</t>
  </si>
  <si>
    <t xml:space="preserve">typeofjobfathersyria</t>
  </si>
  <si>
    <t xml:space="preserve">Father's type of work in Syria</t>
  </si>
  <si>
    <t xml:space="preserve">255 and 110 answers in 50 distinct texts, which the do-file groups into JobFatherSyria.</t>
  </si>
  <si>
    <t xml:space="preserve">typeofjobmothersyria</t>
  </si>
  <si>
    <t xml:space="preserve">Mother's type of work in Syria</t>
  </si>
  <si>
    <t xml:space="preserve">53 and 79 answers; the meaning of a blank cannot be known.</t>
  </si>
  <si>
    <t xml:space="preserve">JobFatherSyria</t>
  </si>
  <si>
    <t xml:space="preserve">35 Derived: work</t>
  </si>
  <si>
    <t xml:space="preserve">Father's type of work in Syria (five groups)</t>
  </si>
  <si>
    <t xml:space="preserve">248 and 109 households. It groups the father's types of work into five; 25 households in the towns are missing.</t>
  </si>
  <si>
    <t xml:space="preserve">Dara</t>
  </si>
  <si>
    <t xml:space="preserve">Origin in Daraa (1/0), first version</t>
  </si>
  <si>
    <t xml:space="preserve">The 11 households with no place of origin appear as zero.</t>
  </si>
  <si>
    <t xml:space="preserve">North</t>
  </si>
  <si>
    <t xml:space="preserve">Origin in northern Syria (1/0)</t>
  </si>
  <si>
    <t xml:space="preserve">Central</t>
  </si>
  <si>
    <t xml:space="preserve">Origin in central Syria (1/0)</t>
  </si>
  <si>
    <t xml:space="preserve">South</t>
  </si>
  <si>
    <t xml:space="preserve">Origin in southern Syria (1/0)</t>
  </si>
  <si>
    <t xml:space="preserve">Includes Izra and Nawa, which belong to Daraa governorate (fewer than ten households).</t>
  </si>
  <si>
    <t xml:space="preserve">vacationsj_nm</t>
  </si>
  <si>
    <t xml:space="preserve">Vacations in Jordan with blanks filled in</t>
  </si>
  <si>
    <t xml:space="preserve">secfam</t>
  </si>
  <si>
    <t xml:space="preserve">36 Derived: security, self-rated integration and shocks</t>
  </si>
  <si>
    <t xml:space="preserve">Security of the family as a number (1 to 5)</t>
  </si>
  <si>
    <t xml:space="preserve">Joins the numbers from the camp and the words from the towns into a scale from 1 to 5.</t>
  </si>
  <si>
    <t xml:space="preserve">persec</t>
  </si>
  <si>
    <t xml:space="preserve">Personal security as a number (1 to 5)</t>
  </si>
  <si>
    <t xml:space="preserve">emergencypol</t>
  </si>
  <si>
    <t xml:space="preserve">Would turn first to the police (1/0)</t>
  </si>
  <si>
    <t xml:space="preserve">Equals 1 if the first contact is the police. Of the 23 blanks in the towns, nearly all appear as zero.</t>
  </si>
  <si>
    <t xml:space="preserve">emergencynoone</t>
  </si>
  <si>
    <t xml:space="preserve">Has no one to turn to (1/0)</t>
  </si>
  <si>
    <t xml:space="preserve">Equals 1 for those who answered "myself" and also for nearly all of the 23 blanks in the towns.</t>
  </si>
  <si>
    <t xml:space="preserve">emergencyno</t>
  </si>
  <si>
    <t xml:space="preserve">Inverse of emergencynoone</t>
  </si>
  <si>
    <t xml:space="preserve">Exact inverse of emergencynoone.</t>
  </si>
  <si>
    <t xml:space="preserve">emergencypolind</t>
  </si>
  <si>
    <t xml:space="preserve">Auxiliary indicator of emergencypol</t>
  </si>
  <si>
    <t xml:space="preserve">Standardized version for the indices of the thesis.</t>
  </si>
  <si>
    <t xml:space="preserve">emergencynoond</t>
  </si>
  <si>
    <t xml:space="preserve">Auxiliary indicator of emergencynoone</t>
  </si>
  <si>
    <t xml:space="preserve">secfam_nm</t>
  </si>
  <si>
    <t xml:space="preserve">Security of the family with blanks filled in</t>
  </si>
  <si>
    <t xml:space="preserve">persec_nm</t>
  </si>
  <si>
    <t xml:space="preserve">Personal security with blanks filled in</t>
  </si>
  <si>
    <t xml:space="preserve">secfam_nmind</t>
  </si>
  <si>
    <t xml:space="preserve">Auxiliary indicator of secfam_nm</t>
  </si>
  <si>
    <t xml:space="preserve">persec_nmind</t>
  </si>
  <si>
    <t xml:space="preserve">Auxiliary indicator of persec_nm</t>
  </si>
  <si>
    <t xml:space="preserve">perint_nm</t>
  </si>
  <si>
    <t xml:space="preserve">Self-rated integration, personal, with blanks filled in</t>
  </si>
  <si>
    <t xml:space="preserve">famint_nm</t>
  </si>
  <si>
    <t xml:space="preserve">Self-rated integration of the family, with blanks filled in</t>
  </si>
  <si>
    <t xml:space="preserve">famint_nmind</t>
  </si>
  <si>
    <t xml:space="preserve">Auxiliary indicator of famint_nm</t>
  </si>
  <si>
    <t xml:space="preserve">perint_nmind</t>
  </si>
  <si>
    <t xml:space="preserve">Auxiliary indicator of perint_nm</t>
  </si>
  <si>
    <t xml:space="preserve">region</t>
  </si>
  <si>
    <t xml:space="preserve">Region of origin in Syria (four groups)</t>
  </si>
  <si>
    <t xml:space="preserve">Fewer than ten households from Izra and Nawa, in Daraa governorate, appear as south.</t>
  </si>
  <si>
    <t xml:space="preserve">Education</t>
  </si>
  <si>
    <t xml:space="preserve">Schooling as a numeric code (second version)</t>
  </si>
  <si>
    <t xml:space="preserve">Male</t>
  </si>
  <si>
    <t xml:space="preserve">A man answered (1/0)</t>
  </si>
  <si>
    <t xml:space="preserve">Same as genderf1m2.</t>
  </si>
  <si>
    <t xml:space="preserve">Female</t>
  </si>
  <si>
    <t xml:space="preserve">A woman answered (1/0)</t>
  </si>
  <si>
    <t xml:space="preserve">aboveaverageincome</t>
  </si>
  <si>
    <t xml:space="preserve">Income in Syria above the average (1/0)</t>
  </si>
  <si>
    <t xml:space="preserve">It measures income in Syria in dollars, and the households without that figure (no exchange rate) appear above the average.</t>
  </si>
  <si>
    <t xml:space="preserve">Highschoolorabove</t>
  </si>
  <si>
    <t xml:space="preserve">Upper secondary or more (1/0)</t>
  </si>
  <si>
    <t xml:space="preserve">Daraa</t>
  </si>
  <si>
    <t xml:space="preserve">Origin in Daraa (1/0), second version</t>
  </si>
  <si>
    <t xml:space="preserve">Fewer than ten households from Izra and Nawa appear as zero; empty for 11 camp households.</t>
  </si>
  <si>
    <t xml:space="preserve">Whitecollar</t>
  </si>
  <si>
    <t xml:space="preserve">Father in office work in Syria (1/0)</t>
  </si>
  <si>
    <t xml:space="preserve">Built from JobFatherSyria.</t>
  </si>
  <si>
    <t xml:space="preserve">Bluecollar</t>
  </si>
  <si>
    <t xml:space="preserve">Father in manual work in Syria (1/0)</t>
  </si>
  <si>
    <t xml:space="preserve">Student</t>
  </si>
  <si>
    <t xml:space="preserve">Father a student in Syria (1/0)</t>
  </si>
  <si>
    <t xml:space="preserve">Retired</t>
  </si>
  <si>
    <t xml:space="preserve">Father retired in Syria (1/0)</t>
  </si>
  <si>
    <t xml:space="preserve">Agriculture</t>
  </si>
  <si>
    <t xml:space="preserve">Father in agriculture in Syria (1/0)</t>
  </si>
  <si>
    <t xml:space="preserve">PlaceOfOrigin</t>
  </si>
  <si>
    <t xml:space="preserve">Region of origin (second version)</t>
  </si>
  <si>
    <t xml:space="preserve">Same as region.</t>
  </si>
  <si>
    <t xml:space="preserve">logIncomeJordan</t>
  </si>
  <si>
    <t xml:space="preserve">Logarithm of income in Jordan</t>
  </si>
  <si>
    <t xml:space="preserve">Logarithm of income in dollars. Empty for the households with zero income and for those with no exchange rate. Counts by group not shown, as for exchangeratesyria.</t>
  </si>
  <si>
    <t xml:space="preserve">logExpensesJordan</t>
  </si>
  <si>
    <t xml:space="preserve">Logarithm of spending in Jordan</t>
  </si>
  <si>
    <t xml:space="preserve">Logarithm of spending in dollars. Empty for the households with zero spending and for those with no exchange rate. Counts by group not shown, as for exchangeratesyria.</t>
  </si>
  <si>
    <t xml:space="preserve">PersonalSecurity</t>
  </si>
  <si>
    <t xml:space="preserve">Personal security in three groups</t>
  </si>
  <si>
    <t xml:space="preserve">persec grouped into three levels.</t>
  </si>
  <si>
    <t xml:space="preserve">PersonalSecurity_nm</t>
  </si>
  <si>
    <t xml:space="preserve">Personal security in three groups with blanks filled in</t>
  </si>
  <si>
    <t xml:space="preserve">PersonalSecurityind</t>
  </si>
  <si>
    <t xml:space="preserve">Auxiliary indicator of PersonalSecurity_nm</t>
  </si>
  <si>
    <t xml:space="preserve">Standardized version for the indices of the thesis; it was divided by the mean instead of the standard deviation.</t>
  </si>
  <si>
    <t xml:space="preserve">DecreaseinIncome</t>
  </si>
  <si>
    <t xml:space="preserve">Income fell (1/0)</t>
  </si>
  <si>
    <t xml:space="preserve">Same as decreaseinincome.</t>
  </si>
  <si>
    <t xml:space="preserve">Theft</t>
  </si>
  <si>
    <t xml:space="preserve">Experienced a theft (1/0)</t>
  </si>
  <si>
    <t xml:space="preserve">Same as theft.</t>
  </si>
  <si>
    <t xml:space="preserve">LossEmployment</t>
  </si>
  <si>
    <t xml:space="preserve">Loss of a job (1/0)</t>
  </si>
  <si>
    <t xml:space="preserve">Same as lossemployment.</t>
  </si>
  <si>
    <t xml:space="preserve">Illness</t>
  </si>
  <si>
    <t xml:space="preserve">Sickness (1/0)</t>
  </si>
  <si>
    <t xml:space="preserve">Same as sickness.</t>
  </si>
  <si>
    <t xml:space="preserve">JobHHHJordan</t>
  </si>
  <si>
    <t xml:space="preserve">Occupation in Jordan of the respondent or of the father (five groups)</t>
  </si>
  <si>
    <t xml:space="preserve">Takes the occupation of the respondent or, if the respondent does not work, that of the father. Group 5 is no work (169 and 77 households).</t>
  </si>
  <si>
    <t xml:space="preserve">SatisfactionwithJobOpportunities</t>
  </si>
  <si>
    <t xml:space="preserve">Satisfied with work in Jordan (1/0)</t>
  </si>
  <si>
    <t xml:space="preserve">Satisfied or very satisfied in satisfactionworkj; inherits its doubts.</t>
  </si>
  <si>
    <t xml:space="preserve">InformalJobJordan</t>
  </si>
  <si>
    <t xml:space="preserve">Informal work in Jordan (1/0)</t>
  </si>
  <si>
    <t xml:space="preserve">Same as informalj.</t>
  </si>
  <si>
    <t xml:space="preserve">Unemployment</t>
  </si>
  <si>
    <t xml:space="preserve">No work in Jordan according to occupation (1/0)</t>
  </si>
  <si>
    <t xml:space="preserve">Built from occupation, not from reported employment: in 54 households the respondent reports no employment and appears here with an occupation; the opposite case has fewer than ten households in each group.</t>
  </si>
  <si>
    <t xml:space="preserve">ExpIncratio</t>
  </si>
  <si>
    <t xml:space="preserve">Spending over income in Jordan</t>
  </si>
  <si>
    <t xml:space="preserve">It is the ratio of the two logarithms, not spending over income. Counts by group not shown, as for exchangeratesyria.</t>
  </si>
  <si>
    <t xml:space="preserve">Verdicts by block</t>
  </si>
  <si>
    <t xml:space="preserve">Each number is computed from the Variables sheet; if a verdict is changed there, this sheet updates.</t>
  </si>
  <si>
    <t xml:space="preserve">Variables</t>
  </si>
  <si>
    <t xml:space="preserve">Total</t>
  </si>
  <si>
    <t xml:space="preserve">By source</t>
  </si>
  <si>
    <t xml:space="preserve">Usable: answered by nearly all households, measures a concrete fact and is consistent with the rest of the file.</t>
  </si>
  <si>
    <t xml:space="preserve">Usable with care: it can be used, with the caution stated in the "Why" column.</t>
  </si>
  <si>
    <t xml:space="preserve">Not usable: very few answers, no variation, blanks that cannot be interpreted, or a derived variable with an error.</t>
  </si>
  <si>
    <t xml:space="preserve">Protected: not used, to protect households.</t>
  </si>
  <si>
    <t xml:space="preserve">Topic</t>
  </si>
  <si>
    <t xml:space="preserve">Finding</t>
  </si>
  <si>
    <t xml:space="preserve">Where it comes from</t>
  </si>
  <si>
    <t xml:space="preserve">Fieldwork</t>
  </si>
  <si>
    <t xml:space="preserve">Fieldwork ran from June to August 2016 (as recorded on 21 October 2026). The two documents from 2016 and 2017 in the folder say the survey was administered in June and July 2016, and the published essay says May to July.</t>
  </si>
  <si>
    <t xml:space="preserve">Record of 21 October 2026; Felipe Rodriguez-Preliminary Results.docx, section 2.1</t>
  </si>
  <si>
    <t xml:space="preserve">The file has no interview date. In the raw sheet named Hoja3 only 16 records carry a date, all on the same day of August 2016. Ramadan ran from 6 June to 5 July 2016.</t>
  </si>
  <si>
    <t xml:space="preserve">Data.xlsx, sheet Hoja3 (counts only)</t>
  </si>
  <si>
    <t xml:space="preserve">In the northern towns, interviews were done place by place: across the 134 interviews there are 14 consecutive runs of the same place; a random order would give between 89 and 108 (200,000 random reorderings). Irbid 52, Ramtha 38, Jerash 24, Zarqa 10 and three places with fewer than ten households.</t>
  </si>
  <si>
    <t xml:space="preserve">a1_values.py, section 9</t>
  </si>
  <si>
    <t xml:space="preserve">In the camp, the interview order moves through the districts with less clustering: 168 runs; a random order would give between 227 and 244.</t>
  </si>
  <si>
    <t xml:space="preserve">Who answered</t>
  </si>
  <si>
    <t xml:space="preserve">A woman answered in 21% of camp households and in 63% of those in the towns. In the towns, 65 of the 84 women who answered are married: the respondent does not always head the household. The thesis treated age and schooling as those of the household head.</t>
  </si>
  <si>
    <t xml:space="preserve">a1_values.py, section 2</t>
  </si>
  <si>
    <t xml:space="preserve">Questionnaire</t>
  </si>
  <si>
    <t xml:space="preserve">The original questionnaire is not in the folder. The documents from 2016 and 2017 say that shocks and responses were asked for the whole period since arrival in Jordan.</t>
  </si>
  <si>
    <t xml:space="preserve">Felipe Rodriguez-Preliminary Results.docx, section 2.1</t>
  </si>
  <si>
    <t xml:space="preserve">Responses to the fall in income</t>
  </si>
  <si>
    <t xml:space="preserve">The eleven responses were asked of all households: nearly all of the 49 whose income did not fall answered all of them.</t>
  </si>
  <si>
    <t xml:space="preserve">a3_logic.py, section 3</t>
  </si>
  <si>
    <t xml:space="preserve">Security</t>
  </si>
  <si>
    <t xml:space="preserve">Security was recorded as a number in the camp and as a word in the towns. The 1 to 5 scale of the thesis joins the two formats.</t>
  </si>
  <si>
    <t xml:space="preserve">a2_derived.py, section 8</t>
  </si>
  <si>
    <t xml:space="preserve">Opinion scales</t>
  </si>
  <si>
    <t xml:space="preserve">Answers cluster at the ends. In self-rated integration (personal), 28% of camp households answered 10 and 29% of those in the towns answered 1. In optimism, 27% of those in the towns answered 1.</t>
  </si>
  <si>
    <t xml:space="preserve">a1_values.py, section 6</t>
  </si>
  <si>
    <t xml:space="preserve">Work</t>
  </si>
  <si>
    <t xml:space="preserve">Employment is that of the respondent: among men, 30% in the camp and 29% in the towns. "Some member works" comes from another question (who works): 39% and 64%. The unemployment variable of the thesis does not follow reported employment: in 54 households the respondent reports no employment and the variable shows an occupation, and the opposite case has fewer than ten households in each group.</t>
  </si>
  <si>
    <t xml:space="preserve">a2_derived.py, section 9; a3_logic.py, section 8</t>
  </si>
  <si>
    <t xml:space="preserve">Income and spending</t>
  </si>
  <si>
    <t xml:space="preserve">Reported total spending exceeds reported income in 45% of camp households and 50% of those in the towns (231 and 119 households with both figures). Among camp households that report assistance only, in 59%.</t>
  </si>
  <si>
    <t xml:space="preserve">additional check on totalexj and the three income sources</t>
  </si>
  <si>
    <t xml:space="preserve">Spending</t>
  </si>
  <si>
    <t xml:space="preserve">No spending item has a written zero: a blank may be zero or no answer.</t>
  </si>
  <si>
    <t xml:space="preserve">a3_logic.py, section 7</t>
  </si>
  <si>
    <t xml:space="preserve">Arrival</t>
  </si>
  <si>
    <t xml:space="preserve">The year of arrival is missing for 23 camp households and the month of arrival for 317 of the 391 households.</t>
  </si>
  <si>
    <t xml:space="preserve">a3_logic.py, section 2</t>
  </si>
  <si>
    <t xml:space="preserve">Registration status</t>
  </si>
  <si>
    <t xml:space="preserve">Only 12 households in the towns and fewer than ten in the camp reported being asylum seekers: there is no variation to compare.</t>
  </si>
  <si>
    <t xml:space="preserve">rank_facts.py</t>
  </si>
  <si>
    <t xml:space="preserve">Derived variables</t>
  </si>
  <si>
    <t xml:space="preserve">Total income in Syria: households that gave no amount appear with zero (19 in the towns and fewer than ten in the camp). Total spending in Syria: 30 households in the towns with no answer appear with zero.</t>
  </si>
  <si>
    <t xml:space="preserve">a2_derived.py, sections 5 and 6</t>
  </si>
  <si>
    <t xml:space="preserve">The dollar variables are empty for the households whose year of arrival is missing or is 2016, including the Jordan variables, which do not depend on that year.</t>
  </si>
  <si>
    <t xml:space="preserve">a2_derived.py, section 5</t>
  </si>
  <si>
    <t xml:space="preserve">aboveaverageincome counts the households with no figure as "above the average". ExpIncratio is the ratio of two logarithms, not spending over income. The "_nm" versions fill blanks with the overall mean.</t>
  </si>
  <si>
    <t xml:space="preserve">a2_derived.py, sections 5 to 7</t>
  </si>
  <si>
    <t xml:space="preserve">Fewer than ten households from Izra and Nawa, which belong to Daraa governorate, appear as "south" in region and as zero in Daraa. In urban, the 16 households with no information appear as rural.</t>
  </si>
  <si>
    <t xml:space="preserve">a2_derived.py, section 3</t>
  </si>
  <si>
    <t xml:space="preserve">Whom they would turn to</t>
  </si>
  <si>
    <t xml:space="preserve">In the towns, 23 households left the first contact blank; nearly all of them appear as "has no one to turn to" in emergencynoone and as zero in emergencypol, and nearly all did answer the neighbouring questions on security and self-rated integration.</t>
  </si>
  <si>
    <t xml:space="preserve">a2_derived.py, section 8; a3_logic.py, section 9</t>
  </si>
  <si>
    <t xml:space="preserve">File</t>
  </si>
  <si>
    <t xml:space="preserve">The analysis file and the original CSV match in 58,615 of 58,650 cells. The 35 that differ sit in two variables on the time lived outside the camp: nearly all are cells with "na" in the CSV that the thesis do-file (the Stata script that built the variables) left blank. There are no duplicate households. The CSV holds two more columns that did not reach the analysis file (headed "Em, Un, Lo" and "Responsible"); they were not read.</t>
  </si>
  <si>
    <t xml:space="preserve">a4_csv.py; a1_values.py, section 9</t>
  </si>
  <si>
    <t xml:space="preserve">The thesis do-file drops fewer than ten households by their file number in its first lines, without recording the reason.</t>
  </si>
  <si>
    <t xml:space="preserve">Pacdev dofile.do, first lines</t>
  </si>
  <si>
    <t xml:space="preserve">Raw sheets</t>
  </si>
  <si>
    <t xml:space="preserve">Some questions did not reach the analysis file: rooms and bathrooms of the dwelling in Syria and in Jordan (154 records in the raw sheet named Hoja3), and household composition with age and school attendance (32 pilot households). Religion and denomination are also in those sheets; they were not read.</t>
  </si>
  <si>
    <t xml:space="preserve">Data.xlsx, sheets Hoja3 and Family Unit (counts only)</t>
  </si>
  <si>
    <t xml:space="preserve">Thesis</t>
  </si>
  <si>
    <t xml:space="preserve">One of the specifications in the do-file used the medical condition indicator as a matching variable (nearest-neighbour matching, the Stata command teffects nnmatch), together with schooling, savings, origin, sex of the respondent, year of arrival and agriculture.</t>
  </si>
  <si>
    <t xml:space="preserve">do file creating variable.do, teffects nnmatch with medicalconditionofoneofthemember</t>
  </si>
  <si>
    <t xml:space="preserve">Detail</t>
  </si>
  <si>
    <t xml:space="preserve">What was reviewed</t>
  </si>
  <si>
    <t xml:space="preserve">The 275 variables of data set.dta (391 households: 257 in Zaatari camp and 134 in the northern towns), the original CSV (Coded Data.csv), the two documents from 2016 and 2017, the two do-files (the Stata scripts that built the variables and ran the estimates of the thesis) and the structure of the raw sheets (Data.xlsx and Coded data.xlsx).</t>
  </si>
  <si>
    <t xml:space="preserve">What was not done</t>
  </si>
  <si>
    <t xml:space="preserve">Nothing was estimated. This table describes how each variable was measured; it does not compare outcomes between groups.</t>
  </si>
  <si>
    <t xml:space="preserve">Protection of households</t>
  </si>
  <si>
    <t xml:space="preserve">Everything was computed on the author's computer. Only counts by variable left it. No count below ten households appears in this table: it shows as "fewer than 10" and carries no percentage, and where the households missing from a category are fewer than ten the text says "nearly all". The "Answered" counts beside the "Applies" counts still show how many households did not answer each question, often fewer than ten; a question left unanswered is not a trait of the household, so that is accepted here. Since the edition of 21 October 2026 the counts by group read "not shown" for the two questions on health spending, because health is not crossed with place anywhere in the review, and for the six dollar variables, whose empty cells mark the households that arrived in 2016 (fewer than ten in each group) and would give that number next to the row for the year of arrival; the three rows derived from them (logIncomeJordan, logExpensesJordan, ExpIncratio) read "not shown" for the same reason.</t>
  </si>
  <si>
    <t xml:space="preserve">Answered</t>
  </si>
  <si>
    <t xml:space="preserve">A household counts as having answered if the cell is not empty. Percentages are computed over the households to which the question applies ("Applies" columns).</t>
  </si>
  <si>
    <t xml:space="preserve">Units</t>
  </si>
  <si>
    <t xml:space="preserve">Amounts in Jordan are in Jordanian dinars (JD) per month; amounts in Syria are in Syrian pounds. The scales keep the range of the question (1 to 5 or 1 to 10).</t>
  </si>
  <si>
    <t xml:space="preserve">Questions filled in only when there is something to report (second source of income, second contact). The number of households that answered is shown, without a percentage.</t>
  </si>
  <si>
    <t xml:space="preserve">Blanks</t>
  </si>
  <si>
    <t xml:space="preserve">The column "A blank means" records what the file alone can tell. The rule adopted after this audit (8 October 2026) is that a blank is a missing value and not a zero; the later steps of the review follow it.</t>
  </si>
  <si>
    <t xml:space="preserve">Original questions</t>
  </si>
  <si>
    <t xml:space="preserve">The 151 columns of the coded questionnaire, plus the two types of work of the father and the mother, which came from a separate file (typesofjobs.dta). The other 122 variables were built by the do-file.</t>
  </si>
  <si>
    <t xml:space="preserve">Verification</t>
  </si>
  <si>
    <t xml:space="preserve">The counts moved from the computer to this table as a text of 275 lines, with the same md5 checksum, a fingerprint of the file (0dac79f1edc7ce5c0dd2df3fb63ed8d1), on both sides. The analysis file was compared cell by cell with the original CSV.</t>
  </si>
  <si>
    <t xml:space="preserve">Blind replication</t>
  </si>
  <si>
    <t xml:space="preserve">On 9 October 2026 a separate instance of the AI assistant that prepared this review, given only written definitions and no code or results, recomputed the 275 lines from the analysis file: the text came out identical, with the same checksum. It also repeated the comparison of the two files (same result) and seventeen checks behind the findings (72 values). Two findings were corrected as a result: the range expected under a random interview order (89 to 108, not 88 to 107), and the finding on the first contact, which had given the figure for the whole sample as that of the towns.</t>
  </si>
  <si>
    <t xml:space="preserve">Independent review</t>
  </si>
  <si>
    <t xml:space="preserve">On 9 October 2026 two further instances that had produced none of the files reviewed this workbook and its chart as a reader receives them: every count matched the 275 lines and every formula was right. They found sentences where two counts side by side gave away a count below ten, a few labels and names not yet aligned with the other workbooks, and one figure (the voucher amount among camp households that report assistance only) that no script of the audit produced. The edition of 13 October 2026 reworded those sentences, aligned the names (the second group is the northern towns; the scales are self-rated integration), and added the script a6_vale_solo_asistencia.py, run on the author's computer on 13 October 2026, which confirms the figure.</t>
  </si>
  <si>
    <t xml:space="preserve">Edition</t>
  </si>
  <si>
    <t xml:space="preserve">English edition of 23 October 2026, the fourth. It names the loan item as the questionnaire asked it, asked for a loan (the question and its two derived variables), as the other workbooks, the technical note, the working paper and the brief do, and the row on the last place of residence no longer prints the counts of households naming Homs and Aleppo: with the origin counts of the step 2 workbook and the households with a recorded origin, those two counts fixed the households from the other governorates at a count below ten (found by a check of coherence across the materials of the review, 23 October 2026). After a blind reading of the protection of households the same day, the finding on income and spending and the verdict on the amount of the main source no longer print the number of camp households that report assistance only (in either sentence): with a cut of the step 3 workbook it fixed the households with no work income and another source, a count below ten. No other count changes. The third edition, of 21 October 2026, recorded the fieldwork months (June to August 2016), withheld the counts by group named under protection of households, stopped printing the size of the group of camp households that report assistance only (with the households that report work income and the answering total it would give a count below ten), and restated the working notes as decision records. The editions of 8 and 13 October 2026 are described in the rows above.</t>
  </si>
  <si>
    <t xml:space="preserve">What is missing</t>
  </si>
  <si>
    <t xml:space="preserve">The original questionnaire and the date of each interview are not in the folder. The descriptions in the "What it measures" column come from the labels in the file, the documents from 2016 and 2017 and the do-files.</t>
  </si>
</sst>
</file>

<file path=xl/styles.xml><?xml version="1.0" encoding="utf-8"?>
<styleSheet xmlns="http://schemas.openxmlformats.org/spreadsheetml/2006/main">
  <numFmts count="3">
    <numFmt numFmtId="164" formatCode="General"/>
    <numFmt numFmtId="165" formatCode="0%"/>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2"/>
      <name val="Arial"/>
      <family val="0"/>
      <charset val="1"/>
    </font>
    <font>
      <i val="true"/>
      <sz val="10"/>
      <name val="Arial"/>
      <family val="0"/>
      <charset val="1"/>
    </font>
  </fonts>
  <fills count="7">
    <fill>
      <patternFill patternType="none"/>
    </fill>
    <fill>
      <patternFill patternType="gray125"/>
    </fill>
    <fill>
      <patternFill patternType="solid">
        <fgColor rgb="FF1F2937"/>
        <bgColor rgb="FF333300"/>
      </patternFill>
    </fill>
    <fill>
      <patternFill patternType="solid">
        <fgColor rgb="FFE2EFDA"/>
        <bgColor rgb="FFE7E6E6"/>
      </patternFill>
    </fill>
    <fill>
      <patternFill patternType="solid">
        <fgColor rgb="FFFFF2CC"/>
        <bgColor rgb="FFE2EFDA"/>
      </patternFill>
    </fill>
    <fill>
      <patternFill patternType="solid">
        <fgColor rgb="FFDDEBF7"/>
        <bgColor rgb="FFE7E6E6"/>
      </patternFill>
    </fill>
    <fill>
      <patternFill patternType="solid">
        <fgColor rgb="FFE7E6E6"/>
        <bgColor rgb="FFE2EFDA"/>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left" vertical="top" textRotation="0" wrapText="false" indent="0" shrinkToFit="false"/>
      <protection locked="true" hidden="false"/>
    </xf>
    <xf numFmtId="164" fontId="6" fillId="4" borderId="1" xfId="0" applyFont="true" applyBorder="true" applyAlignment="true" applyProtection="false">
      <alignment horizontal="left" vertical="top" textRotation="0" wrapText="false" indent="0" shrinkToFit="false"/>
      <protection locked="true" hidden="false"/>
    </xf>
    <xf numFmtId="164" fontId="6" fillId="5" borderId="1" xfId="0" applyFont="true" applyBorder="true" applyAlignment="true" applyProtection="false">
      <alignment horizontal="left" vertical="top" textRotation="0" wrapText="false" indent="0" shrinkToFit="false"/>
      <protection locked="true" hidden="false"/>
    </xf>
    <xf numFmtId="164" fontId="6" fillId="6" borderId="1" xfId="0" applyFont="true" applyBorder="true" applyAlignment="true" applyProtection="false">
      <alignment horizontal="lef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center" vertical="top"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2937"/>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7E6E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6"/>
    <col collapsed="false" customWidth="true" hidden="false" outlineLevel="0" max="4" min="4" style="0" width="30"/>
    <col collapsed="false" customWidth="true" hidden="false" outlineLevel="0" max="5" min="5" style="0" width="46"/>
    <col collapsed="false" customWidth="true" hidden="false" outlineLevel="0" max="6" min="6" style="0" width="17"/>
    <col collapsed="false" customWidth="true" hidden="false" outlineLevel="0" max="7" min="7" style="0" width="30"/>
    <col collapsed="false" customWidth="true" hidden="false" outlineLevel="0" max="9" min="8" style="0" width="9"/>
    <col collapsed="false" customWidth="true" hidden="false" outlineLevel="0" max="11" min="10" style="0" width="13"/>
    <col collapsed="false" customWidth="true" hidden="false" outlineLevel="0" max="13" min="12" style="0" width="8"/>
    <col collapsed="false" customWidth="true" hidden="false" outlineLevel="0" max="14" min="14" style="0" width="24"/>
    <col collapsed="false" customWidth="true" hidden="false" outlineLevel="0" max="15" min="15" style="0" width="17"/>
    <col collapsed="false" customWidth="true" hidden="false" outlineLevel="0" max="16" min="16" style="0" width="78"/>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n">
        <v>1</v>
      </c>
      <c r="B2" s="3" t="s">
        <v>16</v>
      </c>
      <c r="C2" s="3" t="s">
        <v>17</v>
      </c>
      <c r="D2" s="4" t="s">
        <v>18</v>
      </c>
      <c r="E2" s="4" t="s">
        <v>19</v>
      </c>
      <c r="F2" s="3" t="s">
        <v>20</v>
      </c>
      <c r="G2" s="4" t="s">
        <v>21</v>
      </c>
      <c r="H2" s="2" t="n">
        <v>257</v>
      </c>
      <c r="I2" s="2" t="n">
        <v>134</v>
      </c>
      <c r="J2" s="2" t="n">
        <v>257</v>
      </c>
      <c r="K2" s="2" t="n">
        <v>134</v>
      </c>
      <c r="L2" s="5" t="n">
        <f aca="false">IF(AND(ISNUMBER(J2),ISNUMBER(H2)),IF(H2&gt;0,J2/H2,""),"")</f>
        <v>1</v>
      </c>
      <c r="M2" s="5" t="n">
        <f aca="false">IF(AND(ISNUMBER(K2),ISNUMBER(I2)),IF(I2&gt;0,K2/I2,""),"")</f>
        <v>1</v>
      </c>
      <c r="N2" s="4" t="s">
        <v>22</v>
      </c>
      <c r="O2" s="6" t="s">
        <v>23</v>
      </c>
      <c r="P2" s="4" t="s">
        <v>24</v>
      </c>
    </row>
    <row r="3" customFormat="false" ht="15" hidden="false" customHeight="false" outlineLevel="0" collapsed="false">
      <c r="A3" s="2" t="n">
        <v>2</v>
      </c>
      <c r="B3" s="3" t="s">
        <v>25</v>
      </c>
      <c r="C3" s="3" t="s">
        <v>17</v>
      </c>
      <c r="D3" s="4" t="s">
        <v>18</v>
      </c>
      <c r="E3" s="4" t="s">
        <v>26</v>
      </c>
      <c r="F3" s="3" t="s">
        <v>20</v>
      </c>
      <c r="G3" s="4" t="s">
        <v>27</v>
      </c>
      <c r="H3" s="2" t="n">
        <v>0</v>
      </c>
      <c r="I3" s="2" t="n">
        <v>134</v>
      </c>
      <c r="J3" s="2" t="n">
        <v>0</v>
      </c>
      <c r="K3" s="2" t="n">
        <v>134</v>
      </c>
      <c r="L3" s="5" t="str">
        <f aca="false">IF(AND(ISNUMBER(J3),ISNUMBER(H3)),IF(H3&gt;0,J3/H3,""),"")</f>
        <v/>
      </c>
      <c r="M3" s="5" t="n">
        <f aca="false">IF(AND(ISNUMBER(K3),ISNUMBER(I3)),IF(I3&gt;0,K3/I3,""),"")</f>
        <v>1</v>
      </c>
      <c r="N3" s="4" t="s">
        <v>28</v>
      </c>
      <c r="O3" s="6" t="s">
        <v>23</v>
      </c>
      <c r="P3" s="4" t="s">
        <v>29</v>
      </c>
    </row>
    <row r="4" customFormat="false" ht="15" hidden="false" customHeight="false" outlineLevel="0" collapsed="false">
      <c r="A4" s="2" t="n">
        <v>3</v>
      </c>
      <c r="B4" s="3" t="s">
        <v>30</v>
      </c>
      <c r="C4" s="3" t="s">
        <v>17</v>
      </c>
      <c r="D4" s="4" t="s">
        <v>18</v>
      </c>
      <c r="E4" s="4" t="s">
        <v>31</v>
      </c>
      <c r="F4" s="3" t="s">
        <v>20</v>
      </c>
      <c r="G4" s="4" t="s">
        <v>32</v>
      </c>
      <c r="H4" s="2" t="n">
        <v>257</v>
      </c>
      <c r="I4" s="2" t="n">
        <v>0</v>
      </c>
      <c r="J4" s="2" t="n">
        <v>257</v>
      </c>
      <c r="K4" s="2" t="n">
        <v>0</v>
      </c>
      <c r="L4" s="5" t="n">
        <f aca="false">IF(AND(ISNUMBER(J4),ISNUMBER(H4)),IF(H4&gt;0,J4/H4,""),"")</f>
        <v>1</v>
      </c>
      <c r="M4" s="5" t="str">
        <f aca="false">IF(AND(ISNUMBER(K4),ISNUMBER(I4)),IF(I4&gt;0,K4/I4,""),"")</f>
        <v/>
      </c>
      <c r="N4" s="4" t="s">
        <v>28</v>
      </c>
      <c r="O4" s="6" t="s">
        <v>23</v>
      </c>
      <c r="P4" s="4" t="s">
        <v>33</v>
      </c>
    </row>
    <row r="5" customFormat="false" ht="23.85" hidden="false" customHeight="false" outlineLevel="0" collapsed="false">
      <c r="A5" s="2" t="n">
        <v>4</v>
      </c>
      <c r="B5" s="3" t="s">
        <v>34</v>
      </c>
      <c r="C5" s="3" t="s">
        <v>17</v>
      </c>
      <c r="D5" s="4" t="s">
        <v>18</v>
      </c>
      <c r="E5" s="4" t="s">
        <v>35</v>
      </c>
      <c r="F5" s="3" t="s">
        <v>20</v>
      </c>
      <c r="G5" s="4" t="s">
        <v>21</v>
      </c>
      <c r="H5" s="2" t="n">
        <v>257</v>
      </c>
      <c r="I5" s="2" t="n">
        <v>134</v>
      </c>
      <c r="J5" s="2" t="n">
        <v>257</v>
      </c>
      <c r="K5" s="2" t="n">
        <v>134</v>
      </c>
      <c r="L5" s="5" t="n">
        <f aca="false">IF(AND(ISNUMBER(J5),ISNUMBER(H5)),IF(H5&gt;0,J5/H5,""),"")</f>
        <v>1</v>
      </c>
      <c r="M5" s="5" t="n">
        <f aca="false">IF(AND(ISNUMBER(K5),ISNUMBER(I5)),IF(I5&gt;0,K5/I5,""),"")</f>
        <v>1</v>
      </c>
      <c r="N5" s="4" t="s">
        <v>22</v>
      </c>
      <c r="O5" s="6" t="s">
        <v>23</v>
      </c>
      <c r="P5" s="4" t="s">
        <v>36</v>
      </c>
    </row>
    <row r="6" customFormat="false" ht="23.85" hidden="false" customHeight="false" outlineLevel="0" collapsed="false">
      <c r="A6" s="2" t="n">
        <v>5</v>
      </c>
      <c r="B6" s="3" t="s">
        <v>37</v>
      </c>
      <c r="C6" s="3" t="s">
        <v>17</v>
      </c>
      <c r="D6" s="4" t="s">
        <v>38</v>
      </c>
      <c r="E6" s="4" t="s">
        <v>39</v>
      </c>
      <c r="F6" s="3" t="s">
        <v>40</v>
      </c>
      <c r="G6" s="4" t="s">
        <v>21</v>
      </c>
      <c r="H6" s="2" t="n">
        <v>257</v>
      </c>
      <c r="I6" s="2" t="n">
        <v>134</v>
      </c>
      <c r="J6" s="2" t="n">
        <v>257</v>
      </c>
      <c r="K6" s="2" t="n">
        <v>134</v>
      </c>
      <c r="L6" s="5" t="n">
        <f aca="false">IF(AND(ISNUMBER(J6),ISNUMBER(H6)),IF(H6&gt;0,J6/H6,""),"")</f>
        <v>1</v>
      </c>
      <c r="M6" s="5" t="n">
        <f aca="false">IF(AND(ISNUMBER(K6),ISNUMBER(I6)),IF(I6&gt;0,K6/I6,""),"")</f>
        <v>1</v>
      </c>
      <c r="N6" s="4" t="s">
        <v>22</v>
      </c>
      <c r="O6" s="7" t="s">
        <v>41</v>
      </c>
      <c r="P6" s="4" t="s">
        <v>42</v>
      </c>
    </row>
    <row r="7" customFormat="false" ht="15" hidden="false" customHeight="false" outlineLevel="0" collapsed="false">
      <c r="A7" s="2" t="n">
        <v>6</v>
      </c>
      <c r="B7" s="3" t="s">
        <v>43</v>
      </c>
      <c r="C7" s="3" t="s">
        <v>17</v>
      </c>
      <c r="D7" s="4" t="s">
        <v>38</v>
      </c>
      <c r="E7" s="4" t="s">
        <v>44</v>
      </c>
      <c r="F7" s="3" t="s">
        <v>40</v>
      </c>
      <c r="G7" s="4" t="s">
        <v>21</v>
      </c>
      <c r="H7" s="2" t="n">
        <v>257</v>
      </c>
      <c r="I7" s="2" t="n">
        <v>134</v>
      </c>
      <c r="J7" s="2" t="n">
        <v>257</v>
      </c>
      <c r="K7" s="2" t="n">
        <v>134</v>
      </c>
      <c r="L7" s="5" t="n">
        <f aca="false">IF(AND(ISNUMBER(J7),ISNUMBER(H7)),IF(H7&gt;0,J7/H7,""),"")</f>
        <v>1</v>
      </c>
      <c r="M7" s="5" t="n">
        <f aca="false">IF(AND(ISNUMBER(K7),ISNUMBER(I7)),IF(I7&gt;0,K7/I7,""),"")</f>
        <v>1</v>
      </c>
      <c r="N7" s="4" t="s">
        <v>22</v>
      </c>
      <c r="O7" s="7" t="s">
        <v>41</v>
      </c>
      <c r="P7" s="4" t="s">
        <v>45</v>
      </c>
    </row>
    <row r="8" customFormat="false" ht="23.85" hidden="false" customHeight="false" outlineLevel="0" collapsed="false">
      <c r="A8" s="2" t="n">
        <v>7</v>
      </c>
      <c r="B8" s="3" t="s">
        <v>46</v>
      </c>
      <c r="C8" s="3" t="s">
        <v>17</v>
      </c>
      <c r="D8" s="4" t="s">
        <v>38</v>
      </c>
      <c r="E8" s="4" t="s">
        <v>47</v>
      </c>
      <c r="F8" s="3" t="s">
        <v>40</v>
      </c>
      <c r="G8" s="4" t="s">
        <v>21</v>
      </c>
      <c r="H8" s="2" t="n">
        <v>257</v>
      </c>
      <c r="I8" s="2" t="n">
        <v>134</v>
      </c>
      <c r="J8" s="2" t="n">
        <v>257</v>
      </c>
      <c r="K8" s="2" t="n">
        <v>134</v>
      </c>
      <c r="L8" s="5" t="n">
        <f aca="false">IF(AND(ISNUMBER(J8),ISNUMBER(H8)),IF(H8&gt;0,J8/H8,""),"")</f>
        <v>1</v>
      </c>
      <c r="M8" s="5" t="n">
        <f aca="false">IF(AND(ISNUMBER(K8),ISNUMBER(I8)),IF(I8&gt;0,K8/I8,""),"")</f>
        <v>1</v>
      </c>
      <c r="N8" s="4" t="s">
        <v>22</v>
      </c>
      <c r="O8" s="6" t="s">
        <v>23</v>
      </c>
      <c r="P8" s="4" t="s">
        <v>48</v>
      </c>
    </row>
    <row r="9" customFormat="false" ht="23.85" hidden="false" customHeight="false" outlineLevel="0" collapsed="false">
      <c r="A9" s="2" t="n">
        <v>8</v>
      </c>
      <c r="B9" s="3" t="s">
        <v>49</v>
      </c>
      <c r="C9" s="3" t="s">
        <v>17</v>
      </c>
      <c r="D9" s="4" t="s">
        <v>38</v>
      </c>
      <c r="E9" s="4" t="s">
        <v>50</v>
      </c>
      <c r="F9" s="3" t="s">
        <v>40</v>
      </c>
      <c r="G9" s="4" t="s">
        <v>21</v>
      </c>
      <c r="H9" s="2" t="n">
        <v>257</v>
      </c>
      <c r="I9" s="2" t="n">
        <v>134</v>
      </c>
      <c r="J9" s="2" t="n">
        <v>257</v>
      </c>
      <c r="K9" s="2" t="n">
        <v>134</v>
      </c>
      <c r="L9" s="5" t="n">
        <f aca="false">IF(AND(ISNUMBER(J9),ISNUMBER(H9)),IF(H9&gt;0,J9/H9,""),"")</f>
        <v>1</v>
      </c>
      <c r="M9" s="5" t="n">
        <f aca="false">IF(AND(ISNUMBER(K9),ISNUMBER(I9)),IF(I9&gt;0,K9/I9,""),"")</f>
        <v>1</v>
      </c>
      <c r="N9" s="4" t="s">
        <v>22</v>
      </c>
      <c r="O9" s="7" t="s">
        <v>41</v>
      </c>
      <c r="P9" s="4" t="s">
        <v>51</v>
      </c>
    </row>
    <row r="10" customFormat="false" ht="15" hidden="false" customHeight="false" outlineLevel="0" collapsed="false">
      <c r="A10" s="2" t="n">
        <v>9</v>
      </c>
      <c r="B10" s="3" t="s">
        <v>52</v>
      </c>
      <c r="C10" s="3" t="s">
        <v>17</v>
      </c>
      <c r="D10" s="4" t="s">
        <v>38</v>
      </c>
      <c r="E10" s="4" t="s">
        <v>53</v>
      </c>
      <c r="F10" s="3" t="s">
        <v>54</v>
      </c>
      <c r="G10" s="4" t="s">
        <v>21</v>
      </c>
      <c r="H10" s="2" t="n">
        <v>257</v>
      </c>
      <c r="I10" s="2" t="n">
        <v>134</v>
      </c>
      <c r="J10" s="2" t="n">
        <v>257</v>
      </c>
      <c r="K10" s="2" t="n">
        <v>134</v>
      </c>
      <c r="L10" s="5" t="n">
        <f aca="false">IF(AND(ISNUMBER(J10),ISNUMBER(H10)),IF(H10&gt;0,J10/H10,""),"")</f>
        <v>1</v>
      </c>
      <c r="M10" s="5" t="n">
        <f aca="false">IF(AND(ISNUMBER(K10),ISNUMBER(I10)),IF(I10&gt;0,K10/I10,""),"")</f>
        <v>1</v>
      </c>
      <c r="N10" s="4" t="s">
        <v>22</v>
      </c>
      <c r="O10" s="6" t="s">
        <v>23</v>
      </c>
      <c r="P10" s="4" t="s">
        <v>55</v>
      </c>
    </row>
    <row r="11" customFormat="false" ht="23.85" hidden="false" customHeight="false" outlineLevel="0" collapsed="false">
      <c r="A11" s="2" t="n">
        <v>10</v>
      </c>
      <c r="B11" s="3" t="s">
        <v>56</v>
      </c>
      <c r="C11" s="3" t="s">
        <v>17</v>
      </c>
      <c r="D11" s="4" t="s">
        <v>57</v>
      </c>
      <c r="E11" s="4" t="s">
        <v>58</v>
      </c>
      <c r="F11" s="3" t="s">
        <v>54</v>
      </c>
      <c r="G11" s="4" t="s">
        <v>59</v>
      </c>
      <c r="H11" s="2" t="n">
        <v>60</v>
      </c>
      <c r="I11" s="2" t="n">
        <v>51</v>
      </c>
      <c r="J11" s="2" t="n">
        <v>60</v>
      </c>
      <c r="K11" s="2" t="n">
        <v>51</v>
      </c>
      <c r="L11" s="5" t="n">
        <f aca="false">IF(AND(ISNUMBER(J11),ISNUMBER(H11)),IF(H11&gt;0,J11/H11,""),"")</f>
        <v>1</v>
      </c>
      <c r="M11" s="5" t="n">
        <f aca="false">IF(AND(ISNUMBER(K11),ISNUMBER(I11)),IF(I11&gt;0,K11/I11,""),"")</f>
        <v>1</v>
      </c>
      <c r="N11" s="4" t="s">
        <v>28</v>
      </c>
      <c r="O11" s="8" t="s">
        <v>60</v>
      </c>
      <c r="P11" s="4" t="s">
        <v>61</v>
      </c>
    </row>
    <row r="12" customFormat="false" ht="23.85" hidden="false" customHeight="false" outlineLevel="0" collapsed="false">
      <c r="A12" s="2" t="n">
        <v>11</v>
      </c>
      <c r="B12" s="3" t="s">
        <v>62</v>
      </c>
      <c r="C12" s="3" t="s">
        <v>17</v>
      </c>
      <c r="D12" s="4" t="s">
        <v>57</v>
      </c>
      <c r="E12" s="4" t="s">
        <v>63</v>
      </c>
      <c r="F12" s="3" t="s">
        <v>54</v>
      </c>
      <c r="G12" s="4" t="s">
        <v>21</v>
      </c>
      <c r="H12" s="2" t="n">
        <v>257</v>
      </c>
      <c r="I12" s="2" t="n">
        <v>134</v>
      </c>
      <c r="J12" s="2" t="n">
        <v>257</v>
      </c>
      <c r="K12" s="2" t="n">
        <v>134</v>
      </c>
      <c r="L12" s="5" t="n">
        <f aca="false">IF(AND(ISNUMBER(J12),ISNUMBER(H12)),IF(H12&gt;0,J12/H12,""),"")</f>
        <v>1</v>
      </c>
      <c r="M12" s="5" t="n">
        <f aca="false">IF(AND(ISNUMBER(K12),ISNUMBER(I12)),IF(I12&gt;0,K12/I12,""),"")</f>
        <v>1</v>
      </c>
      <c r="N12" s="4" t="s">
        <v>22</v>
      </c>
      <c r="O12" s="6" t="s">
        <v>23</v>
      </c>
      <c r="P12" s="4" t="s">
        <v>64</v>
      </c>
    </row>
    <row r="13" customFormat="false" ht="23.85" hidden="false" customHeight="false" outlineLevel="0" collapsed="false">
      <c r="A13" s="2" t="n">
        <v>12</v>
      </c>
      <c r="B13" s="3" t="s">
        <v>65</v>
      </c>
      <c r="C13" s="3" t="s">
        <v>17</v>
      </c>
      <c r="D13" s="4" t="s">
        <v>38</v>
      </c>
      <c r="E13" s="4" t="s">
        <v>66</v>
      </c>
      <c r="F13" s="3" t="s">
        <v>54</v>
      </c>
      <c r="G13" s="4" t="s">
        <v>21</v>
      </c>
      <c r="H13" s="2" t="n">
        <v>257</v>
      </c>
      <c r="I13" s="2" t="n">
        <v>134</v>
      </c>
      <c r="J13" s="2" t="n">
        <v>257</v>
      </c>
      <c r="K13" s="2" t="n">
        <v>134</v>
      </c>
      <c r="L13" s="5" t="n">
        <f aca="false">IF(AND(ISNUMBER(J13),ISNUMBER(H13)),IF(H13&gt;0,J13/H13,""),"")</f>
        <v>1</v>
      </c>
      <c r="M13" s="5" t="n">
        <f aca="false">IF(AND(ISNUMBER(K13),ISNUMBER(I13)),IF(I13&gt;0,K13/I13,""),"")</f>
        <v>1</v>
      </c>
      <c r="N13" s="4" t="s">
        <v>22</v>
      </c>
      <c r="O13" s="9" t="s">
        <v>67</v>
      </c>
      <c r="P13" s="4" t="s">
        <v>68</v>
      </c>
    </row>
    <row r="14" customFormat="false" ht="15" hidden="false" customHeight="false" outlineLevel="0" collapsed="false">
      <c r="A14" s="2" t="n">
        <v>13</v>
      </c>
      <c r="B14" s="3" t="s">
        <v>69</v>
      </c>
      <c r="C14" s="3" t="s">
        <v>17</v>
      </c>
      <c r="D14" s="4" t="s">
        <v>18</v>
      </c>
      <c r="E14" s="4" t="s">
        <v>70</v>
      </c>
      <c r="F14" s="3" t="s">
        <v>20</v>
      </c>
      <c r="G14" s="4" t="s">
        <v>21</v>
      </c>
      <c r="H14" s="2" t="n">
        <v>257</v>
      </c>
      <c r="I14" s="2" t="n">
        <v>134</v>
      </c>
      <c r="J14" s="2" t="n">
        <v>56</v>
      </c>
      <c r="K14" s="2" t="n">
        <v>15</v>
      </c>
      <c r="L14" s="5" t="n">
        <f aca="false">IF(AND(ISNUMBER(J14),ISNUMBER(H14)),IF(H14&gt;0,J14/H14,""),"")</f>
        <v>0.217898832684825</v>
      </c>
      <c r="M14" s="5" t="n">
        <f aca="false">IF(AND(ISNUMBER(K14),ISNUMBER(I14)),IF(I14&gt;0,K14/I14,""),"")</f>
        <v>0.111940298507463</v>
      </c>
      <c r="N14" s="4" t="s">
        <v>22</v>
      </c>
      <c r="O14" s="9" t="s">
        <v>67</v>
      </c>
      <c r="P14" s="4" t="s">
        <v>71</v>
      </c>
    </row>
    <row r="15" customFormat="false" ht="15" hidden="false" customHeight="false" outlineLevel="0" collapsed="false">
      <c r="A15" s="2" t="n">
        <v>14</v>
      </c>
      <c r="B15" s="3" t="s">
        <v>72</v>
      </c>
      <c r="C15" s="3" t="s">
        <v>17</v>
      </c>
      <c r="D15" s="4" t="s">
        <v>73</v>
      </c>
      <c r="E15" s="4" t="s">
        <v>74</v>
      </c>
      <c r="F15" s="3" t="s">
        <v>40</v>
      </c>
      <c r="G15" s="4" t="s">
        <v>21</v>
      </c>
      <c r="H15" s="2" t="n">
        <v>257</v>
      </c>
      <c r="I15" s="2" t="n">
        <v>134</v>
      </c>
      <c r="J15" s="2" t="n">
        <v>247</v>
      </c>
      <c r="K15" s="2" t="n">
        <v>133</v>
      </c>
      <c r="L15" s="5" t="n">
        <f aca="false">IF(AND(ISNUMBER(J15),ISNUMBER(H15)),IF(H15&gt;0,J15/H15,""),"")</f>
        <v>0.961089494163424</v>
      </c>
      <c r="M15" s="5" t="n">
        <f aca="false">IF(AND(ISNUMBER(K15),ISNUMBER(I15)),IF(I15&gt;0,K15/I15,""),"")</f>
        <v>0.992537313432836</v>
      </c>
      <c r="N15" s="4" t="s">
        <v>22</v>
      </c>
      <c r="O15" s="7" t="s">
        <v>41</v>
      </c>
      <c r="P15" s="4" t="s">
        <v>75</v>
      </c>
    </row>
    <row r="16" customFormat="false" ht="23.85" hidden="false" customHeight="false" outlineLevel="0" collapsed="false">
      <c r="A16" s="2" t="n">
        <v>15</v>
      </c>
      <c r="B16" s="3" t="s">
        <v>76</v>
      </c>
      <c r="C16" s="3" t="s">
        <v>17</v>
      </c>
      <c r="D16" s="4" t="s">
        <v>73</v>
      </c>
      <c r="E16" s="4" t="s">
        <v>77</v>
      </c>
      <c r="F16" s="3" t="s">
        <v>54</v>
      </c>
      <c r="G16" s="4" t="s">
        <v>21</v>
      </c>
      <c r="H16" s="2" t="n">
        <v>257</v>
      </c>
      <c r="I16" s="2" t="n">
        <v>134</v>
      </c>
      <c r="J16" s="2" t="n">
        <v>246</v>
      </c>
      <c r="K16" s="2" t="n">
        <v>134</v>
      </c>
      <c r="L16" s="5" t="n">
        <f aca="false">IF(AND(ISNUMBER(J16),ISNUMBER(H16)),IF(H16&gt;0,J16/H16,""),"")</f>
        <v>0.957198443579767</v>
      </c>
      <c r="M16" s="5" t="n">
        <f aca="false">IF(AND(ISNUMBER(K16),ISNUMBER(I16)),IF(I16&gt;0,K16/I16,""),"")</f>
        <v>1</v>
      </c>
      <c r="N16" s="4" t="s">
        <v>22</v>
      </c>
      <c r="O16" s="6" t="s">
        <v>23</v>
      </c>
      <c r="P16" s="4" t="s">
        <v>78</v>
      </c>
    </row>
    <row r="17" customFormat="false" ht="15" hidden="false" customHeight="false" outlineLevel="0" collapsed="false">
      <c r="A17" s="2" t="n">
        <v>16</v>
      </c>
      <c r="B17" s="3" t="s">
        <v>79</v>
      </c>
      <c r="C17" s="3" t="s">
        <v>17</v>
      </c>
      <c r="D17" s="4" t="s">
        <v>73</v>
      </c>
      <c r="E17" s="4" t="s">
        <v>80</v>
      </c>
      <c r="F17" s="3" t="s">
        <v>54</v>
      </c>
      <c r="G17" s="4" t="s">
        <v>21</v>
      </c>
      <c r="H17" s="2" t="n">
        <v>257</v>
      </c>
      <c r="I17" s="2" t="n">
        <v>134</v>
      </c>
      <c r="J17" s="2" t="n">
        <v>242</v>
      </c>
      <c r="K17" s="2" t="n">
        <v>133</v>
      </c>
      <c r="L17" s="5" t="n">
        <f aca="false">IF(AND(ISNUMBER(J17),ISNUMBER(H17)),IF(H17&gt;0,J17/H17,""),"")</f>
        <v>0.941634241245136</v>
      </c>
      <c r="M17" s="5" t="n">
        <f aca="false">IF(AND(ISNUMBER(K17),ISNUMBER(I17)),IF(I17&gt;0,K17/I17,""),"")</f>
        <v>0.992537313432836</v>
      </c>
      <c r="N17" s="4" t="s">
        <v>22</v>
      </c>
      <c r="O17" s="6" t="s">
        <v>23</v>
      </c>
      <c r="P17" s="4" t="s">
        <v>81</v>
      </c>
    </row>
    <row r="18" customFormat="false" ht="15" hidden="false" customHeight="false" outlineLevel="0" collapsed="false">
      <c r="A18" s="2" t="n">
        <v>17</v>
      </c>
      <c r="B18" s="3" t="s">
        <v>82</v>
      </c>
      <c r="C18" s="3" t="s">
        <v>17</v>
      </c>
      <c r="D18" s="4" t="s">
        <v>83</v>
      </c>
      <c r="E18" s="4" t="s">
        <v>84</v>
      </c>
      <c r="F18" s="3" t="s">
        <v>54</v>
      </c>
      <c r="G18" s="4" t="s">
        <v>21</v>
      </c>
      <c r="H18" s="2" t="n">
        <v>257</v>
      </c>
      <c r="I18" s="2" t="n">
        <v>134</v>
      </c>
      <c r="J18" s="2" t="n">
        <v>14</v>
      </c>
      <c r="K18" s="2" t="n">
        <v>60</v>
      </c>
      <c r="L18" s="5" t="n">
        <f aca="false">IF(AND(ISNUMBER(J18),ISNUMBER(H18)),IF(H18&gt;0,J18/H18,""),"")</f>
        <v>0.0544747081712062</v>
      </c>
      <c r="M18" s="5" t="n">
        <f aca="false">IF(AND(ISNUMBER(K18),ISNUMBER(I18)),IF(I18&gt;0,K18/I18,""),"")</f>
        <v>0.447761194029851</v>
      </c>
      <c r="N18" s="4" t="s">
        <v>22</v>
      </c>
      <c r="O18" s="9" t="s">
        <v>67</v>
      </c>
      <c r="P18" s="4" t="s">
        <v>85</v>
      </c>
    </row>
    <row r="19" customFormat="false" ht="23.85" hidden="false" customHeight="false" outlineLevel="0" collapsed="false">
      <c r="A19" s="2" t="n">
        <v>18</v>
      </c>
      <c r="B19" s="3" t="s">
        <v>86</v>
      </c>
      <c r="C19" s="3" t="s">
        <v>17</v>
      </c>
      <c r="D19" s="4" t="s">
        <v>83</v>
      </c>
      <c r="E19" s="4" t="s">
        <v>87</v>
      </c>
      <c r="F19" s="3" t="s">
        <v>54</v>
      </c>
      <c r="G19" s="4" t="s">
        <v>21</v>
      </c>
      <c r="H19" s="2" t="n">
        <v>257</v>
      </c>
      <c r="I19" s="2" t="n">
        <v>134</v>
      </c>
      <c r="J19" s="2" t="n">
        <v>234</v>
      </c>
      <c r="K19" s="2" t="n">
        <v>134</v>
      </c>
      <c r="L19" s="5" t="n">
        <f aca="false">IF(AND(ISNUMBER(J19),ISNUMBER(H19)),IF(H19&gt;0,J19/H19,""),"")</f>
        <v>0.910505836575876</v>
      </c>
      <c r="M19" s="5" t="n">
        <f aca="false">IF(AND(ISNUMBER(K19),ISNUMBER(I19)),IF(I19&gt;0,K19/I19,""),"")</f>
        <v>1</v>
      </c>
      <c r="N19" s="4" t="s">
        <v>22</v>
      </c>
      <c r="O19" s="7" t="s">
        <v>41</v>
      </c>
      <c r="P19" s="4" t="s">
        <v>88</v>
      </c>
    </row>
    <row r="20" customFormat="false" ht="15" hidden="false" customHeight="false" outlineLevel="0" collapsed="false">
      <c r="A20" s="2" t="n">
        <v>19</v>
      </c>
      <c r="B20" s="3" t="s">
        <v>89</v>
      </c>
      <c r="C20" s="3" t="s">
        <v>17</v>
      </c>
      <c r="D20" s="4" t="s">
        <v>73</v>
      </c>
      <c r="E20" s="4" t="s">
        <v>90</v>
      </c>
      <c r="F20" s="3" t="s">
        <v>54</v>
      </c>
      <c r="G20" s="4" t="s">
        <v>21</v>
      </c>
      <c r="H20" s="2" t="n">
        <v>257</v>
      </c>
      <c r="I20" s="2" t="n">
        <v>134</v>
      </c>
      <c r="J20" s="2" t="n">
        <v>98</v>
      </c>
      <c r="K20" s="2" t="n">
        <v>86</v>
      </c>
      <c r="L20" s="5" t="n">
        <f aca="false">IF(AND(ISNUMBER(J20),ISNUMBER(H20)),IF(H20&gt;0,J20/H20,""),"")</f>
        <v>0.381322957198444</v>
      </c>
      <c r="M20" s="5" t="n">
        <f aca="false">IF(AND(ISNUMBER(K20),ISNUMBER(I20)),IF(I20&gt;0,K20/I20,""),"")</f>
        <v>0.641791044776119</v>
      </c>
      <c r="N20" s="4" t="s">
        <v>91</v>
      </c>
      <c r="O20" s="9" t="s">
        <v>67</v>
      </c>
      <c r="P20" s="4" t="s">
        <v>92</v>
      </c>
    </row>
    <row r="21" customFormat="false" ht="15" hidden="false" customHeight="false" outlineLevel="0" collapsed="false">
      <c r="A21" s="2" t="n">
        <v>20</v>
      </c>
      <c r="B21" s="3" t="s">
        <v>93</v>
      </c>
      <c r="C21" s="3" t="s">
        <v>17</v>
      </c>
      <c r="D21" s="4" t="s">
        <v>94</v>
      </c>
      <c r="E21" s="4" t="s">
        <v>95</v>
      </c>
      <c r="F21" s="3" t="s">
        <v>54</v>
      </c>
      <c r="G21" s="4" t="s">
        <v>21</v>
      </c>
      <c r="H21" s="2" t="n">
        <v>257</v>
      </c>
      <c r="I21" s="2" t="n">
        <v>134</v>
      </c>
      <c r="J21" s="2" t="n">
        <v>257</v>
      </c>
      <c r="K21" s="2" t="n">
        <v>134</v>
      </c>
      <c r="L21" s="5" t="n">
        <f aca="false">IF(AND(ISNUMBER(J21),ISNUMBER(H21)),IF(H21&gt;0,J21/H21,""),"")</f>
        <v>1</v>
      </c>
      <c r="M21" s="5" t="n">
        <f aca="false">IF(AND(ISNUMBER(K21),ISNUMBER(I21)),IF(I21&gt;0,K21/I21,""),"")</f>
        <v>1</v>
      </c>
      <c r="N21" s="4" t="s">
        <v>22</v>
      </c>
      <c r="O21" s="8" t="s">
        <v>60</v>
      </c>
      <c r="P21" s="4" t="s">
        <v>96</v>
      </c>
    </row>
    <row r="22" customFormat="false" ht="15" hidden="false" customHeight="false" outlineLevel="0" collapsed="false">
      <c r="A22" s="2" t="n">
        <v>21</v>
      </c>
      <c r="B22" s="3" t="s">
        <v>97</v>
      </c>
      <c r="C22" s="3" t="s">
        <v>17</v>
      </c>
      <c r="D22" s="4" t="s">
        <v>94</v>
      </c>
      <c r="E22" s="4" t="s">
        <v>98</v>
      </c>
      <c r="F22" s="3" t="s">
        <v>54</v>
      </c>
      <c r="G22" s="4" t="s">
        <v>21</v>
      </c>
      <c r="H22" s="2" t="n">
        <v>257</v>
      </c>
      <c r="I22" s="2" t="n">
        <v>134</v>
      </c>
      <c r="J22" s="2" t="n">
        <v>257</v>
      </c>
      <c r="K22" s="2" t="n">
        <v>134</v>
      </c>
      <c r="L22" s="5" t="n">
        <f aca="false">IF(AND(ISNUMBER(J22),ISNUMBER(H22)),IF(H22&gt;0,J22/H22,""),"")</f>
        <v>1</v>
      </c>
      <c r="M22" s="5" t="n">
        <f aca="false">IF(AND(ISNUMBER(K22),ISNUMBER(I22)),IF(I22&gt;0,K22/I22,""),"")</f>
        <v>1</v>
      </c>
      <c r="N22" s="4" t="s">
        <v>22</v>
      </c>
      <c r="O22" s="8" t="s">
        <v>60</v>
      </c>
      <c r="P22" s="4" t="s">
        <v>96</v>
      </c>
    </row>
    <row r="23" customFormat="false" ht="15" hidden="false" customHeight="false" outlineLevel="0" collapsed="false">
      <c r="A23" s="2" t="n">
        <v>22</v>
      </c>
      <c r="B23" s="3" t="s">
        <v>99</v>
      </c>
      <c r="C23" s="3" t="s">
        <v>17</v>
      </c>
      <c r="D23" s="4" t="s">
        <v>83</v>
      </c>
      <c r="E23" s="4" t="s">
        <v>100</v>
      </c>
      <c r="F23" s="3" t="s">
        <v>54</v>
      </c>
      <c r="G23" s="4" t="s">
        <v>21</v>
      </c>
      <c r="H23" s="2" t="n">
        <v>257</v>
      </c>
      <c r="I23" s="2" t="n">
        <v>134</v>
      </c>
      <c r="J23" s="2" t="n">
        <v>257</v>
      </c>
      <c r="K23" s="2" t="n">
        <v>134</v>
      </c>
      <c r="L23" s="5" t="n">
        <f aca="false">IF(AND(ISNUMBER(J23),ISNUMBER(H23)),IF(H23&gt;0,J23/H23,""),"")</f>
        <v>1</v>
      </c>
      <c r="M23" s="5" t="n">
        <f aca="false">IF(AND(ISNUMBER(K23),ISNUMBER(I23)),IF(I23&gt;0,K23/I23,""),"")</f>
        <v>1</v>
      </c>
      <c r="N23" s="4" t="s">
        <v>22</v>
      </c>
      <c r="O23" s="6" t="s">
        <v>23</v>
      </c>
      <c r="P23" s="4" t="s">
        <v>101</v>
      </c>
    </row>
    <row r="24" customFormat="false" ht="15" hidden="false" customHeight="false" outlineLevel="0" collapsed="false">
      <c r="A24" s="2" t="n">
        <v>23</v>
      </c>
      <c r="B24" s="3" t="s">
        <v>102</v>
      </c>
      <c r="C24" s="3" t="s">
        <v>17</v>
      </c>
      <c r="D24" s="4" t="s">
        <v>83</v>
      </c>
      <c r="E24" s="4" t="s">
        <v>103</v>
      </c>
      <c r="F24" s="3" t="s">
        <v>54</v>
      </c>
      <c r="G24" s="4" t="s">
        <v>21</v>
      </c>
      <c r="H24" s="2" t="n">
        <v>257</v>
      </c>
      <c r="I24" s="2" t="n">
        <v>134</v>
      </c>
      <c r="J24" s="2" t="n">
        <v>257</v>
      </c>
      <c r="K24" s="2" t="n">
        <v>134</v>
      </c>
      <c r="L24" s="5" t="n">
        <f aca="false">IF(AND(ISNUMBER(J24),ISNUMBER(H24)),IF(H24&gt;0,J24/H24,""),"")</f>
        <v>1</v>
      </c>
      <c r="M24" s="5" t="n">
        <f aca="false">IF(AND(ISNUMBER(K24),ISNUMBER(I24)),IF(I24&gt;0,K24/I24,""),"")</f>
        <v>1</v>
      </c>
      <c r="N24" s="4" t="s">
        <v>22</v>
      </c>
      <c r="O24" s="6" t="s">
        <v>23</v>
      </c>
      <c r="P24" s="4" t="s">
        <v>104</v>
      </c>
    </row>
    <row r="25" customFormat="false" ht="15" hidden="false" customHeight="false" outlineLevel="0" collapsed="false">
      <c r="A25" s="2" t="n">
        <v>24</v>
      </c>
      <c r="B25" s="3" t="s">
        <v>105</v>
      </c>
      <c r="C25" s="3" t="s">
        <v>17</v>
      </c>
      <c r="D25" s="4" t="s">
        <v>83</v>
      </c>
      <c r="E25" s="4" t="s">
        <v>106</v>
      </c>
      <c r="F25" s="3" t="s">
        <v>54</v>
      </c>
      <c r="G25" s="4" t="s">
        <v>21</v>
      </c>
      <c r="H25" s="2" t="n">
        <v>257</v>
      </c>
      <c r="I25" s="2" t="n">
        <v>134</v>
      </c>
      <c r="J25" s="2" t="n">
        <v>257</v>
      </c>
      <c r="K25" s="2" t="n">
        <v>134</v>
      </c>
      <c r="L25" s="5" t="n">
        <f aca="false">IF(AND(ISNUMBER(J25),ISNUMBER(H25)),IF(H25&gt;0,J25/H25,""),"")</f>
        <v>1</v>
      </c>
      <c r="M25" s="5" t="n">
        <f aca="false">IF(AND(ISNUMBER(K25),ISNUMBER(I25)),IF(I25&gt;0,K25/I25,""),"")</f>
        <v>1</v>
      </c>
      <c r="N25" s="4" t="s">
        <v>22</v>
      </c>
      <c r="O25" s="6" t="s">
        <v>23</v>
      </c>
      <c r="P25" s="4" t="s">
        <v>107</v>
      </c>
    </row>
    <row r="26" customFormat="false" ht="15" hidden="false" customHeight="false" outlineLevel="0" collapsed="false">
      <c r="A26" s="2" t="n">
        <v>25</v>
      </c>
      <c r="B26" s="3" t="s">
        <v>108</v>
      </c>
      <c r="C26" s="3" t="s">
        <v>17</v>
      </c>
      <c r="D26" s="4" t="s">
        <v>83</v>
      </c>
      <c r="E26" s="4" t="s">
        <v>109</v>
      </c>
      <c r="F26" s="3" t="s">
        <v>54</v>
      </c>
      <c r="G26" s="4" t="s">
        <v>32</v>
      </c>
      <c r="H26" s="2" t="n">
        <v>257</v>
      </c>
      <c r="I26" s="2" t="n">
        <v>0</v>
      </c>
      <c r="J26" s="2" t="n">
        <v>257</v>
      </c>
      <c r="K26" s="2" t="n">
        <v>0</v>
      </c>
      <c r="L26" s="5" t="n">
        <f aca="false">IF(AND(ISNUMBER(J26),ISNUMBER(H26)),IF(H26&gt;0,J26/H26,""),"")</f>
        <v>1</v>
      </c>
      <c r="M26" s="5" t="str">
        <f aca="false">IF(AND(ISNUMBER(K26),ISNUMBER(I26)),IF(I26&gt;0,K26/I26,""),"")</f>
        <v/>
      </c>
      <c r="N26" s="4" t="s">
        <v>28</v>
      </c>
      <c r="O26" s="6" t="s">
        <v>23</v>
      </c>
      <c r="P26" s="4" t="s">
        <v>110</v>
      </c>
    </row>
    <row r="27" customFormat="false" ht="23.85" hidden="false" customHeight="false" outlineLevel="0" collapsed="false">
      <c r="A27" s="2" t="n">
        <v>26</v>
      </c>
      <c r="B27" s="3" t="s">
        <v>111</v>
      </c>
      <c r="C27" s="3" t="s">
        <v>17</v>
      </c>
      <c r="D27" s="4" t="s">
        <v>83</v>
      </c>
      <c r="E27" s="4" t="s">
        <v>112</v>
      </c>
      <c r="F27" s="3" t="s">
        <v>54</v>
      </c>
      <c r="G27" s="4" t="s">
        <v>113</v>
      </c>
      <c r="H27" s="2" t="n">
        <v>0</v>
      </c>
      <c r="I27" s="2" t="n">
        <v>84</v>
      </c>
      <c r="J27" s="2" t="n">
        <v>0</v>
      </c>
      <c r="K27" s="2" t="n">
        <v>83</v>
      </c>
      <c r="L27" s="5" t="str">
        <f aca="false">IF(AND(ISNUMBER(J27),ISNUMBER(H27)),IF(H27&gt;0,J27/H27,""),"")</f>
        <v/>
      </c>
      <c r="M27" s="5" t="n">
        <f aca="false">IF(AND(ISNUMBER(K27),ISNUMBER(I27)),IF(I27&gt;0,K27/I27,""),"")</f>
        <v>0.988095238095238</v>
      </c>
      <c r="N27" s="4" t="s">
        <v>28</v>
      </c>
      <c r="O27" s="7" t="s">
        <v>41</v>
      </c>
      <c r="P27" s="4" t="s">
        <v>114</v>
      </c>
    </row>
    <row r="28" customFormat="false" ht="15" hidden="false" customHeight="false" outlineLevel="0" collapsed="false">
      <c r="A28" s="2" t="n">
        <v>27</v>
      </c>
      <c r="B28" s="3" t="s">
        <v>115</v>
      </c>
      <c r="C28" s="3" t="s">
        <v>17</v>
      </c>
      <c r="D28" s="4" t="s">
        <v>83</v>
      </c>
      <c r="E28" s="4" t="s">
        <v>116</v>
      </c>
      <c r="F28" s="3" t="s">
        <v>54</v>
      </c>
      <c r="G28" s="4" t="s">
        <v>21</v>
      </c>
      <c r="H28" s="2" t="n">
        <v>257</v>
      </c>
      <c r="I28" s="2" t="n">
        <v>134</v>
      </c>
      <c r="J28" s="2" t="n">
        <v>257</v>
      </c>
      <c r="K28" s="2" t="n">
        <v>134</v>
      </c>
      <c r="L28" s="5" t="n">
        <f aca="false">IF(AND(ISNUMBER(J28),ISNUMBER(H28)),IF(H28&gt;0,J28/H28,""),"")</f>
        <v>1</v>
      </c>
      <c r="M28" s="5" t="n">
        <f aca="false">IF(AND(ISNUMBER(K28),ISNUMBER(I28)),IF(I28&gt;0,K28/I28,""),"")</f>
        <v>1</v>
      </c>
      <c r="N28" s="4" t="s">
        <v>22</v>
      </c>
      <c r="O28" s="6" t="s">
        <v>23</v>
      </c>
      <c r="P28" s="4" t="s">
        <v>117</v>
      </c>
    </row>
    <row r="29" customFormat="false" ht="15" hidden="false" customHeight="false" outlineLevel="0" collapsed="false">
      <c r="A29" s="2" t="n">
        <v>28</v>
      </c>
      <c r="B29" s="3" t="s">
        <v>118</v>
      </c>
      <c r="C29" s="3" t="s">
        <v>17</v>
      </c>
      <c r="D29" s="4" t="s">
        <v>83</v>
      </c>
      <c r="E29" s="4" t="s">
        <v>119</v>
      </c>
      <c r="F29" s="3" t="s">
        <v>54</v>
      </c>
      <c r="G29" s="4" t="s">
        <v>21</v>
      </c>
      <c r="H29" s="2" t="n">
        <v>257</v>
      </c>
      <c r="I29" s="2" t="n">
        <v>134</v>
      </c>
      <c r="J29" s="2" t="n">
        <v>29</v>
      </c>
      <c r="K29" s="2" t="n">
        <v>20</v>
      </c>
      <c r="L29" s="5" t="n">
        <f aca="false">IF(AND(ISNUMBER(J29),ISNUMBER(H29)),IF(H29&gt;0,J29/H29,""),"")</f>
        <v>0.11284046692607</v>
      </c>
      <c r="M29" s="5" t="n">
        <f aca="false">IF(AND(ISNUMBER(K29),ISNUMBER(I29)),IF(I29&gt;0,K29/I29,""),"")</f>
        <v>0.149253731343284</v>
      </c>
      <c r="N29" s="4" t="s">
        <v>91</v>
      </c>
      <c r="O29" s="9" t="s">
        <v>67</v>
      </c>
      <c r="P29" s="4" t="s">
        <v>120</v>
      </c>
    </row>
    <row r="30" customFormat="false" ht="35.05" hidden="false" customHeight="false" outlineLevel="0" collapsed="false">
      <c r="A30" s="2" t="n">
        <v>29</v>
      </c>
      <c r="B30" s="3" t="s">
        <v>121</v>
      </c>
      <c r="C30" s="3" t="s">
        <v>17</v>
      </c>
      <c r="D30" s="4" t="s">
        <v>83</v>
      </c>
      <c r="E30" s="4" t="s">
        <v>122</v>
      </c>
      <c r="F30" s="3" t="s">
        <v>54</v>
      </c>
      <c r="G30" s="4" t="s">
        <v>32</v>
      </c>
      <c r="H30" s="2" t="n">
        <v>257</v>
      </c>
      <c r="I30" s="2" t="n">
        <v>0</v>
      </c>
      <c r="J30" s="2" t="n">
        <v>96</v>
      </c>
      <c r="K30" s="2" t="n">
        <v>0</v>
      </c>
      <c r="L30" s="5" t="n">
        <f aca="false">IF(AND(ISNUMBER(J30),ISNUMBER(H30)),IF(H30&gt;0,J30/H30,""),"")</f>
        <v>0.373540856031128</v>
      </c>
      <c r="M30" s="5" t="str">
        <f aca="false">IF(AND(ISNUMBER(K30),ISNUMBER(I30)),IF(I30&gt;0,K30/I30,""),"")</f>
        <v/>
      </c>
      <c r="N30" s="4" t="s">
        <v>123</v>
      </c>
      <c r="O30" s="7" t="s">
        <v>41</v>
      </c>
      <c r="P30" s="4" t="s">
        <v>124</v>
      </c>
    </row>
    <row r="31" customFormat="false" ht="35.05" hidden="false" customHeight="false" outlineLevel="0" collapsed="false">
      <c r="A31" s="2" t="n">
        <v>30</v>
      </c>
      <c r="B31" s="3" t="s">
        <v>125</v>
      </c>
      <c r="C31" s="3" t="s">
        <v>17</v>
      </c>
      <c r="D31" s="4" t="s">
        <v>83</v>
      </c>
      <c r="E31" s="4" t="s">
        <v>126</v>
      </c>
      <c r="F31" s="3" t="s">
        <v>54</v>
      </c>
      <c r="G31" s="4" t="s">
        <v>32</v>
      </c>
      <c r="H31" s="2" t="n">
        <v>257</v>
      </c>
      <c r="I31" s="2" t="n">
        <v>0</v>
      </c>
      <c r="J31" s="2" t="n">
        <v>232</v>
      </c>
      <c r="K31" s="2" t="n">
        <v>0</v>
      </c>
      <c r="L31" s="5" t="n">
        <f aca="false">IF(AND(ISNUMBER(J31),ISNUMBER(H31)),IF(H31&gt;0,J31/H31,""),"")</f>
        <v>0.90272373540856</v>
      </c>
      <c r="M31" s="5" t="str">
        <f aca="false">IF(AND(ISNUMBER(K31),ISNUMBER(I31)),IF(I31&gt;0,K31/I31,""),"")</f>
        <v/>
      </c>
      <c r="N31" s="4" t="s">
        <v>123</v>
      </c>
      <c r="O31" s="7" t="s">
        <v>41</v>
      </c>
      <c r="P31" s="4" t="s">
        <v>127</v>
      </c>
    </row>
    <row r="32" customFormat="false" ht="15" hidden="false" customHeight="false" outlineLevel="0" collapsed="false">
      <c r="A32" s="2" t="n">
        <v>31</v>
      </c>
      <c r="B32" s="3" t="s">
        <v>128</v>
      </c>
      <c r="C32" s="3" t="s">
        <v>17</v>
      </c>
      <c r="D32" s="4" t="s">
        <v>18</v>
      </c>
      <c r="E32" s="4" t="s">
        <v>129</v>
      </c>
      <c r="F32" s="3" t="s">
        <v>20</v>
      </c>
      <c r="G32" s="4" t="s">
        <v>32</v>
      </c>
      <c r="H32" s="2" t="n">
        <v>257</v>
      </c>
      <c r="I32" s="2" t="n">
        <v>0</v>
      </c>
      <c r="J32" s="2" t="n">
        <v>249</v>
      </c>
      <c r="K32" s="2" t="n">
        <v>0</v>
      </c>
      <c r="L32" s="5" t="n">
        <f aca="false">IF(AND(ISNUMBER(J32),ISNUMBER(H32)),IF(H32&gt;0,J32/H32,""),"")</f>
        <v>0.968871595330739</v>
      </c>
      <c r="M32" s="5" t="str">
        <f aca="false">IF(AND(ISNUMBER(K32),ISNUMBER(I32)),IF(I32&gt;0,K32/I32,""),"")</f>
        <v/>
      </c>
      <c r="N32" s="4" t="s">
        <v>22</v>
      </c>
      <c r="O32" s="6" t="s">
        <v>23</v>
      </c>
      <c r="P32" s="4" t="s">
        <v>130</v>
      </c>
    </row>
    <row r="33" customFormat="false" ht="35.05" hidden="false" customHeight="false" outlineLevel="0" collapsed="false">
      <c r="A33" s="2" t="n">
        <v>32</v>
      </c>
      <c r="B33" s="3" t="s">
        <v>131</v>
      </c>
      <c r="C33" s="3" t="s">
        <v>17</v>
      </c>
      <c r="D33" s="4" t="s">
        <v>83</v>
      </c>
      <c r="E33" s="4" t="s">
        <v>132</v>
      </c>
      <c r="F33" s="3" t="s">
        <v>54</v>
      </c>
      <c r="G33" s="4" t="s">
        <v>133</v>
      </c>
      <c r="H33" s="2" t="n">
        <v>35</v>
      </c>
      <c r="I33" s="2" t="n">
        <v>0</v>
      </c>
      <c r="J33" s="2" t="n">
        <v>19</v>
      </c>
      <c r="K33" s="2" t="n">
        <v>0</v>
      </c>
      <c r="L33" s="5" t="n">
        <f aca="false">IF(AND(ISNUMBER(J33),ISNUMBER(H33)),IF(H33&gt;0,J33/H33,""),"")</f>
        <v>0.542857142857143</v>
      </c>
      <c r="M33" s="5" t="str">
        <f aca="false">IF(AND(ISNUMBER(K33),ISNUMBER(I33)),IF(I33&gt;0,K33/I33,""),"")</f>
        <v/>
      </c>
      <c r="N33" s="4" t="s">
        <v>123</v>
      </c>
      <c r="O33" s="7" t="s">
        <v>41</v>
      </c>
      <c r="P33" s="4" t="s">
        <v>134</v>
      </c>
    </row>
    <row r="34" customFormat="false" ht="35.05" hidden="false" customHeight="false" outlineLevel="0" collapsed="false">
      <c r="A34" s="2" t="n">
        <v>33</v>
      </c>
      <c r="B34" s="3" t="s">
        <v>135</v>
      </c>
      <c r="C34" s="3" t="s">
        <v>17</v>
      </c>
      <c r="D34" s="4" t="s">
        <v>83</v>
      </c>
      <c r="E34" s="4" t="s">
        <v>136</v>
      </c>
      <c r="F34" s="3" t="s">
        <v>54</v>
      </c>
      <c r="G34" s="4" t="s">
        <v>133</v>
      </c>
      <c r="H34" s="2" t="n">
        <v>35</v>
      </c>
      <c r="I34" s="2" t="n">
        <v>0</v>
      </c>
      <c r="J34" s="2" t="n">
        <v>22</v>
      </c>
      <c r="K34" s="2" t="n">
        <v>0</v>
      </c>
      <c r="L34" s="5" t="n">
        <f aca="false">IF(AND(ISNUMBER(J34),ISNUMBER(H34)),IF(H34&gt;0,J34/H34,""),"")</f>
        <v>0.628571428571429</v>
      </c>
      <c r="M34" s="5" t="str">
        <f aca="false">IF(AND(ISNUMBER(K34),ISNUMBER(I34)),IF(I34&gt;0,K34/I34,""),"")</f>
        <v/>
      </c>
      <c r="N34" s="4" t="s">
        <v>123</v>
      </c>
      <c r="O34" s="7" t="s">
        <v>41</v>
      </c>
      <c r="P34" s="4" t="s">
        <v>134</v>
      </c>
    </row>
    <row r="35" customFormat="false" ht="35.05" hidden="false" customHeight="false" outlineLevel="0" collapsed="false">
      <c r="A35" s="2" t="n">
        <v>34</v>
      </c>
      <c r="B35" s="3" t="s">
        <v>137</v>
      </c>
      <c r="C35" s="3" t="s">
        <v>17</v>
      </c>
      <c r="D35" s="4" t="s">
        <v>83</v>
      </c>
      <c r="E35" s="4" t="s">
        <v>138</v>
      </c>
      <c r="F35" s="3" t="s">
        <v>54</v>
      </c>
      <c r="G35" s="4" t="s">
        <v>113</v>
      </c>
      <c r="H35" s="2" t="n">
        <v>0</v>
      </c>
      <c r="I35" s="2" t="n">
        <v>84</v>
      </c>
      <c r="J35" s="2" t="n">
        <v>0</v>
      </c>
      <c r="K35" s="2" t="n">
        <v>52</v>
      </c>
      <c r="L35" s="5" t="str">
        <f aca="false">IF(AND(ISNUMBER(J35),ISNUMBER(H35)),IF(H35&gt;0,J35/H35,""),"")</f>
        <v/>
      </c>
      <c r="M35" s="5" t="n">
        <f aca="false">IF(AND(ISNUMBER(K35),ISNUMBER(I35)),IF(I35&gt;0,K35/I35,""),"")</f>
        <v>0.619047619047619</v>
      </c>
      <c r="N35" s="4" t="s">
        <v>123</v>
      </c>
      <c r="O35" s="7" t="s">
        <v>41</v>
      </c>
      <c r="P35" s="4" t="s">
        <v>139</v>
      </c>
    </row>
    <row r="36" customFormat="false" ht="35.05" hidden="false" customHeight="false" outlineLevel="0" collapsed="false">
      <c r="A36" s="2" t="n">
        <v>35</v>
      </c>
      <c r="B36" s="3" t="s">
        <v>140</v>
      </c>
      <c r="C36" s="3" t="s">
        <v>17</v>
      </c>
      <c r="D36" s="4" t="s">
        <v>83</v>
      </c>
      <c r="E36" s="4" t="s">
        <v>141</v>
      </c>
      <c r="F36" s="3" t="s">
        <v>54</v>
      </c>
      <c r="G36" s="4" t="s">
        <v>113</v>
      </c>
      <c r="H36" s="2" t="n">
        <v>0</v>
      </c>
      <c r="I36" s="2" t="n">
        <v>84</v>
      </c>
      <c r="J36" s="2" t="n">
        <v>0</v>
      </c>
      <c r="K36" s="2" t="n">
        <v>28</v>
      </c>
      <c r="L36" s="5" t="str">
        <f aca="false">IF(AND(ISNUMBER(J36),ISNUMBER(H36)),IF(H36&gt;0,J36/H36,""),"")</f>
        <v/>
      </c>
      <c r="M36" s="5" t="n">
        <f aca="false">IF(AND(ISNUMBER(K36),ISNUMBER(I36)),IF(I36&gt;0,K36/I36,""),"")</f>
        <v>0.333333333333333</v>
      </c>
      <c r="N36" s="4" t="s">
        <v>123</v>
      </c>
      <c r="O36" s="7" t="s">
        <v>41</v>
      </c>
      <c r="P36" s="4" t="s">
        <v>139</v>
      </c>
    </row>
    <row r="37" customFormat="false" ht="35.05" hidden="false" customHeight="false" outlineLevel="0" collapsed="false">
      <c r="A37" s="2" t="n">
        <v>36</v>
      </c>
      <c r="B37" s="3" t="s">
        <v>142</v>
      </c>
      <c r="C37" s="3" t="s">
        <v>17</v>
      </c>
      <c r="D37" s="4" t="s">
        <v>83</v>
      </c>
      <c r="E37" s="4" t="s">
        <v>143</v>
      </c>
      <c r="F37" s="3" t="s">
        <v>54</v>
      </c>
      <c r="G37" s="4" t="s">
        <v>113</v>
      </c>
      <c r="H37" s="2" t="n">
        <v>0</v>
      </c>
      <c r="I37" s="2" t="n">
        <v>84</v>
      </c>
      <c r="J37" s="2" t="n">
        <v>0</v>
      </c>
      <c r="K37" s="2" t="s">
        <v>144</v>
      </c>
      <c r="L37" s="5" t="str">
        <f aca="false">IF(AND(ISNUMBER(J37),ISNUMBER(H37)),IF(H37&gt;0,J37/H37,""),"")</f>
        <v/>
      </c>
      <c r="M37" s="5" t="str">
        <f aca="false">IF(AND(ISNUMBER(K37),ISNUMBER(I37)),IF(I37&gt;0,K37/I37,""),"")</f>
        <v/>
      </c>
      <c r="N37" s="4" t="s">
        <v>123</v>
      </c>
      <c r="O37" s="7" t="s">
        <v>41</v>
      </c>
      <c r="P37" s="4" t="s">
        <v>139</v>
      </c>
    </row>
    <row r="38" customFormat="false" ht="35.05" hidden="false" customHeight="false" outlineLevel="0" collapsed="false">
      <c r="A38" s="2" t="n">
        <v>37</v>
      </c>
      <c r="B38" s="3" t="s">
        <v>145</v>
      </c>
      <c r="C38" s="3" t="s">
        <v>17</v>
      </c>
      <c r="D38" s="4" t="s">
        <v>83</v>
      </c>
      <c r="E38" s="4" t="s">
        <v>146</v>
      </c>
      <c r="F38" s="3" t="s">
        <v>54</v>
      </c>
      <c r="G38" s="4" t="s">
        <v>27</v>
      </c>
      <c r="H38" s="2" t="n">
        <v>0</v>
      </c>
      <c r="I38" s="2" t="n">
        <v>134</v>
      </c>
      <c r="J38" s="2" t="n">
        <v>0</v>
      </c>
      <c r="K38" s="2" t="s">
        <v>144</v>
      </c>
      <c r="L38" s="5" t="str">
        <f aca="false">IF(AND(ISNUMBER(J38),ISNUMBER(H38)),IF(H38&gt;0,J38/H38,""),"")</f>
        <v/>
      </c>
      <c r="M38" s="5" t="str">
        <f aca="false">IF(AND(ISNUMBER(K38),ISNUMBER(I38)),IF(I38&gt;0,K38/I38,""),"")</f>
        <v/>
      </c>
      <c r="N38" s="4" t="s">
        <v>123</v>
      </c>
      <c r="O38" s="9" t="s">
        <v>67</v>
      </c>
      <c r="P38" s="4" t="s">
        <v>147</v>
      </c>
    </row>
    <row r="39" customFormat="false" ht="35.05" hidden="false" customHeight="false" outlineLevel="0" collapsed="false">
      <c r="A39" s="2" t="n">
        <v>38</v>
      </c>
      <c r="B39" s="3" t="s">
        <v>148</v>
      </c>
      <c r="C39" s="3" t="s">
        <v>17</v>
      </c>
      <c r="D39" s="4" t="s">
        <v>83</v>
      </c>
      <c r="E39" s="4" t="s">
        <v>149</v>
      </c>
      <c r="F39" s="3" t="s">
        <v>54</v>
      </c>
      <c r="G39" s="4" t="s">
        <v>27</v>
      </c>
      <c r="H39" s="2" t="n">
        <v>0</v>
      </c>
      <c r="I39" s="2" t="n">
        <v>134</v>
      </c>
      <c r="J39" s="2" t="n">
        <v>0</v>
      </c>
      <c r="K39" s="2" t="s">
        <v>144</v>
      </c>
      <c r="L39" s="5" t="str">
        <f aca="false">IF(AND(ISNUMBER(J39),ISNUMBER(H39)),IF(H39&gt;0,J39/H39,""),"")</f>
        <v/>
      </c>
      <c r="M39" s="5" t="str">
        <f aca="false">IF(AND(ISNUMBER(K39),ISNUMBER(I39)),IF(I39&gt;0,K39/I39,""),"")</f>
        <v/>
      </c>
      <c r="N39" s="4" t="s">
        <v>123</v>
      </c>
      <c r="O39" s="9" t="s">
        <v>67</v>
      </c>
      <c r="P39" s="4" t="s">
        <v>147</v>
      </c>
    </row>
    <row r="40" customFormat="false" ht="35.05" hidden="false" customHeight="false" outlineLevel="0" collapsed="false">
      <c r="A40" s="2" t="n">
        <v>39</v>
      </c>
      <c r="B40" s="3" t="s">
        <v>150</v>
      </c>
      <c r="C40" s="3" t="s">
        <v>17</v>
      </c>
      <c r="D40" s="4" t="s">
        <v>83</v>
      </c>
      <c r="E40" s="4" t="s">
        <v>151</v>
      </c>
      <c r="F40" s="3" t="s">
        <v>54</v>
      </c>
      <c r="G40" s="4" t="s">
        <v>27</v>
      </c>
      <c r="H40" s="2" t="n">
        <v>0</v>
      </c>
      <c r="I40" s="2" t="n">
        <v>134</v>
      </c>
      <c r="J40" s="2" t="n">
        <v>0</v>
      </c>
      <c r="K40" s="2" t="n">
        <v>78</v>
      </c>
      <c r="L40" s="5" t="str">
        <f aca="false">IF(AND(ISNUMBER(J40),ISNUMBER(H40)),IF(H40&gt;0,J40/H40,""),"")</f>
        <v/>
      </c>
      <c r="M40" s="5" t="n">
        <f aca="false">IF(AND(ISNUMBER(K40),ISNUMBER(I40)),IF(I40&gt;0,K40/I40,""),"")</f>
        <v>0.582089552238806</v>
      </c>
      <c r="N40" s="4" t="s">
        <v>123</v>
      </c>
      <c r="O40" s="7" t="s">
        <v>41</v>
      </c>
      <c r="P40" s="4" t="s">
        <v>152</v>
      </c>
    </row>
    <row r="41" customFormat="false" ht="15" hidden="false" customHeight="false" outlineLevel="0" collapsed="false">
      <c r="A41" s="2" t="n">
        <v>40</v>
      </c>
      <c r="B41" s="3" t="s">
        <v>153</v>
      </c>
      <c r="C41" s="3" t="s">
        <v>17</v>
      </c>
      <c r="D41" s="4" t="s">
        <v>83</v>
      </c>
      <c r="E41" s="4" t="s">
        <v>154</v>
      </c>
      <c r="F41" s="3" t="s">
        <v>54</v>
      </c>
      <c r="G41" s="4" t="s">
        <v>21</v>
      </c>
      <c r="H41" s="2" t="n">
        <v>257</v>
      </c>
      <c r="I41" s="2" t="n">
        <v>134</v>
      </c>
      <c r="J41" s="2" t="n">
        <v>248</v>
      </c>
      <c r="K41" s="2" t="n">
        <v>122</v>
      </c>
      <c r="L41" s="5" t="n">
        <f aca="false">IF(AND(ISNUMBER(J41),ISNUMBER(H41)),IF(H41&gt;0,J41/H41,""),"")</f>
        <v>0.964980544747082</v>
      </c>
      <c r="M41" s="5" t="n">
        <f aca="false">IF(AND(ISNUMBER(K41),ISNUMBER(I41)),IF(I41&gt;0,K41/I41,""),"")</f>
        <v>0.91044776119403</v>
      </c>
      <c r="N41" s="4" t="s">
        <v>22</v>
      </c>
      <c r="O41" s="9" t="s">
        <v>67</v>
      </c>
      <c r="P41" s="4" t="s">
        <v>155</v>
      </c>
    </row>
    <row r="42" customFormat="false" ht="15" hidden="false" customHeight="false" outlineLevel="0" collapsed="false">
      <c r="A42" s="2" t="n">
        <v>41</v>
      </c>
      <c r="B42" s="3" t="s">
        <v>156</v>
      </c>
      <c r="C42" s="3" t="s">
        <v>17</v>
      </c>
      <c r="D42" s="4" t="s">
        <v>157</v>
      </c>
      <c r="E42" s="4" t="s">
        <v>158</v>
      </c>
      <c r="F42" s="3" t="s">
        <v>54</v>
      </c>
      <c r="G42" s="4" t="s">
        <v>21</v>
      </c>
      <c r="H42" s="2" t="n">
        <v>257</v>
      </c>
      <c r="I42" s="2" t="n">
        <v>134</v>
      </c>
      <c r="J42" s="2" t="n">
        <v>257</v>
      </c>
      <c r="K42" s="2" t="n">
        <v>134</v>
      </c>
      <c r="L42" s="5" t="n">
        <f aca="false">IF(AND(ISNUMBER(J42),ISNUMBER(H42)),IF(H42&gt;0,J42/H42,""),"")</f>
        <v>1</v>
      </c>
      <c r="M42" s="5" t="n">
        <f aca="false">IF(AND(ISNUMBER(K42),ISNUMBER(I42)),IF(I42&gt;0,K42/I42,""),"")</f>
        <v>1</v>
      </c>
      <c r="N42" s="4" t="s">
        <v>22</v>
      </c>
      <c r="O42" s="7" t="s">
        <v>41</v>
      </c>
      <c r="P42" s="4" t="s">
        <v>159</v>
      </c>
    </row>
    <row r="43" customFormat="false" ht="15" hidden="false" customHeight="false" outlineLevel="0" collapsed="false">
      <c r="A43" s="2" t="n">
        <v>42</v>
      </c>
      <c r="B43" s="3" t="s">
        <v>160</v>
      </c>
      <c r="C43" s="3" t="s">
        <v>17</v>
      </c>
      <c r="D43" s="4" t="s">
        <v>157</v>
      </c>
      <c r="E43" s="4" t="s">
        <v>161</v>
      </c>
      <c r="F43" s="3" t="s">
        <v>54</v>
      </c>
      <c r="G43" s="4" t="s">
        <v>21</v>
      </c>
      <c r="H43" s="2" t="n">
        <v>257</v>
      </c>
      <c r="I43" s="2" t="n">
        <v>134</v>
      </c>
      <c r="J43" s="2" t="n">
        <v>257</v>
      </c>
      <c r="K43" s="2" t="n">
        <v>134</v>
      </c>
      <c r="L43" s="5" t="n">
        <f aca="false">IF(AND(ISNUMBER(J43),ISNUMBER(H43)),IF(H43&gt;0,J43/H43,""),"")</f>
        <v>1</v>
      </c>
      <c r="M43" s="5" t="n">
        <f aca="false">IF(AND(ISNUMBER(K43),ISNUMBER(I43)),IF(I43&gt;0,K43/I43,""),"")</f>
        <v>1</v>
      </c>
      <c r="N43" s="4" t="s">
        <v>22</v>
      </c>
      <c r="O43" s="6" t="s">
        <v>23</v>
      </c>
      <c r="P43" s="4" t="s">
        <v>162</v>
      </c>
    </row>
    <row r="44" customFormat="false" ht="15" hidden="false" customHeight="false" outlineLevel="0" collapsed="false">
      <c r="A44" s="2" t="n">
        <v>43</v>
      </c>
      <c r="B44" s="3" t="s">
        <v>163</v>
      </c>
      <c r="C44" s="3" t="s">
        <v>17</v>
      </c>
      <c r="D44" s="4" t="s">
        <v>157</v>
      </c>
      <c r="E44" s="4" t="s">
        <v>164</v>
      </c>
      <c r="F44" s="3" t="s">
        <v>54</v>
      </c>
      <c r="G44" s="4" t="s">
        <v>21</v>
      </c>
      <c r="H44" s="2" t="n">
        <v>257</v>
      </c>
      <c r="I44" s="2" t="n">
        <v>134</v>
      </c>
      <c r="J44" s="2" t="n">
        <v>257</v>
      </c>
      <c r="K44" s="2" t="n">
        <v>134</v>
      </c>
      <c r="L44" s="5" t="n">
        <f aca="false">IF(AND(ISNUMBER(J44),ISNUMBER(H44)),IF(H44&gt;0,J44/H44,""),"")</f>
        <v>1</v>
      </c>
      <c r="M44" s="5" t="n">
        <f aca="false">IF(AND(ISNUMBER(K44),ISNUMBER(I44)),IF(I44&gt;0,K44/I44,""),"")</f>
        <v>1</v>
      </c>
      <c r="N44" s="4" t="s">
        <v>22</v>
      </c>
      <c r="O44" s="6" t="s">
        <v>23</v>
      </c>
      <c r="P44" s="4" t="s">
        <v>165</v>
      </c>
    </row>
    <row r="45" customFormat="false" ht="23.85" hidden="false" customHeight="false" outlineLevel="0" collapsed="false">
      <c r="A45" s="2" t="n">
        <v>44</v>
      </c>
      <c r="B45" s="3" t="s">
        <v>166</v>
      </c>
      <c r="C45" s="3" t="s">
        <v>17</v>
      </c>
      <c r="D45" s="4" t="s">
        <v>157</v>
      </c>
      <c r="E45" s="4" t="s">
        <v>167</v>
      </c>
      <c r="F45" s="3" t="s">
        <v>54</v>
      </c>
      <c r="G45" s="4" t="s">
        <v>21</v>
      </c>
      <c r="H45" s="2" t="n">
        <v>257</v>
      </c>
      <c r="I45" s="2" t="n">
        <v>134</v>
      </c>
      <c r="J45" s="2" t="n">
        <v>257</v>
      </c>
      <c r="K45" s="2" t="n">
        <v>134</v>
      </c>
      <c r="L45" s="5" t="n">
        <f aca="false">IF(AND(ISNUMBER(J45),ISNUMBER(H45)),IF(H45&gt;0,J45/H45,""),"")</f>
        <v>1</v>
      </c>
      <c r="M45" s="5" t="n">
        <f aca="false">IF(AND(ISNUMBER(K45),ISNUMBER(I45)),IF(I45&gt;0,K45/I45,""),"")</f>
        <v>1</v>
      </c>
      <c r="N45" s="4" t="s">
        <v>22</v>
      </c>
      <c r="O45" s="7" t="s">
        <v>41</v>
      </c>
      <c r="P45" s="4" t="s">
        <v>168</v>
      </c>
    </row>
    <row r="46" customFormat="false" ht="23.85" hidden="false" customHeight="false" outlineLevel="0" collapsed="false">
      <c r="A46" s="2" t="n">
        <v>45</v>
      </c>
      <c r="B46" s="3" t="s">
        <v>169</v>
      </c>
      <c r="C46" s="3" t="s">
        <v>17</v>
      </c>
      <c r="D46" s="4" t="s">
        <v>157</v>
      </c>
      <c r="E46" s="4" t="s">
        <v>170</v>
      </c>
      <c r="F46" s="3" t="s">
        <v>54</v>
      </c>
      <c r="G46" s="4" t="s">
        <v>21</v>
      </c>
      <c r="H46" s="2" t="n">
        <v>257</v>
      </c>
      <c r="I46" s="2" t="n">
        <v>134</v>
      </c>
      <c r="J46" s="2" t="n">
        <v>256</v>
      </c>
      <c r="K46" s="2" t="n">
        <v>134</v>
      </c>
      <c r="L46" s="5" t="n">
        <f aca="false">IF(AND(ISNUMBER(J46),ISNUMBER(H46)),IF(H46&gt;0,J46/H46,""),"")</f>
        <v>0.996108949416342</v>
      </c>
      <c r="M46" s="5" t="n">
        <f aca="false">IF(AND(ISNUMBER(K46),ISNUMBER(I46)),IF(I46&gt;0,K46/I46,""),"")</f>
        <v>1</v>
      </c>
      <c r="N46" s="4" t="s">
        <v>22</v>
      </c>
      <c r="O46" s="6" t="s">
        <v>23</v>
      </c>
      <c r="P46" s="4" t="s">
        <v>171</v>
      </c>
    </row>
    <row r="47" customFormat="false" ht="23.85" hidden="false" customHeight="false" outlineLevel="0" collapsed="false">
      <c r="A47" s="2" t="n">
        <v>46</v>
      </c>
      <c r="B47" s="3" t="s">
        <v>172</v>
      </c>
      <c r="C47" s="3" t="s">
        <v>17</v>
      </c>
      <c r="D47" s="4" t="s">
        <v>157</v>
      </c>
      <c r="E47" s="4" t="s">
        <v>173</v>
      </c>
      <c r="F47" s="3" t="s">
        <v>54</v>
      </c>
      <c r="G47" s="4" t="s">
        <v>21</v>
      </c>
      <c r="H47" s="2" t="n">
        <v>257</v>
      </c>
      <c r="I47" s="2" t="n">
        <v>134</v>
      </c>
      <c r="J47" s="2" t="n">
        <v>16</v>
      </c>
      <c r="K47" s="2" t="n">
        <v>132</v>
      </c>
      <c r="L47" s="5" t="n">
        <f aca="false">IF(AND(ISNUMBER(J47),ISNUMBER(H47)),IF(H47&gt;0,J47/H47,""),"")</f>
        <v>0.0622568093385214</v>
      </c>
      <c r="M47" s="5" t="n">
        <f aca="false">IF(AND(ISNUMBER(K47),ISNUMBER(I47)),IF(I47&gt;0,K47/I47,""),"")</f>
        <v>0.985074626865672</v>
      </c>
      <c r="N47" s="4" t="s">
        <v>22</v>
      </c>
      <c r="O47" s="7" t="s">
        <v>41</v>
      </c>
      <c r="P47" s="4" t="s">
        <v>174</v>
      </c>
    </row>
    <row r="48" customFormat="false" ht="15" hidden="false" customHeight="false" outlineLevel="0" collapsed="false">
      <c r="A48" s="2" t="n">
        <v>47</v>
      </c>
      <c r="B48" s="3" t="s">
        <v>175</v>
      </c>
      <c r="C48" s="3" t="s">
        <v>17</v>
      </c>
      <c r="D48" s="4" t="s">
        <v>176</v>
      </c>
      <c r="E48" s="4" t="s">
        <v>177</v>
      </c>
      <c r="F48" s="3" t="s">
        <v>54</v>
      </c>
      <c r="G48" s="4" t="s">
        <v>21</v>
      </c>
      <c r="H48" s="2" t="n">
        <v>257</v>
      </c>
      <c r="I48" s="2" t="n">
        <v>134</v>
      </c>
      <c r="J48" s="2" t="n">
        <v>257</v>
      </c>
      <c r="K48" s="2" t="n">
        <v>133</v>
      </c>
      <c r="L48" s="5" t="n">
        <f aca="false">IF(AND(ISNUMBER(J48),ISNUMBER(H48)),IF(H48&gt;0,J48/H48,""),"")</f>
        <v>1</v>
      </c>
      <c r="M48" s="5" t="n">
        <f aca="false">IF(AND(ISNUMBER(K48),ISNUMBER(I48)),IF(I48&gt;0,K48/I48,""),"")</f>
        <v>0.992537313432836</v>
      </c>
      <c r="N48" s="4" t="s">
        <v>22</v>
      </c>
      <c r="O48" s="6" t="s">
        <v>23</v>
      </c>
      <c r="P48" s="4" t="s">
        <v>178</v>
      </c>
    </row>
    <row r="49" customFormat="false" ht="15" hidden="false" customHeight="false" outlineLevel="0" collapsed="false">
      <c r="A49" s="2" t="n">
        <v>48</v>
      </c>
      <c r="B49" s="3" t="s">
        <v>179</v>
      </c>
      <c r="C49" s="3" t="s">
        <v>17</v>
      </c>
      <c r="D49" s="4" t="s">
        <v>176</v>
      </c>
      <c r="E49" s="4" t="s">
        <v>180</v>
      </c>
      <c r="F49" s="3" t="s">
        <v>54</v>
      </c>
      <c r="G49" s="4" t="s">
        <v>21</v>
      </c>
      <c r="H49" s="2" t="n">
        <v>257</v>
      </c>
      <c r="I49" s="2" t="n">
        <v>134</v>
      </c>
      <c r="J49" s="2" t="n">
        <v>257</v>
      </c>
      <c r="K49" s="2" t="n">
        <v>133</v>
      </c>
      <c r="L49" s="5" t="n">
        <f aca="false">IF(AND(ISNUMBER(J49),ISNUMBER(H49)),IF(H49&gt;0,J49/H49,""),"")</f>
        <v>1</v>
      </c>
      <c r="M49" s="5" t="n">
        <f aca="false">IF(AND(ISNUMBER(K49),ISNUMBER(I49)),IF(I49&gt;0,K49/I49,""),"")</f>
        <v>0.992537313432836</v>
      </c>
      <c r="N49" s="4" t="s">
        <v>22</v>
      </c>
      <c r="O49" s="6" t="s">
        <v>23</v>
      </c>
      <c r="P49" s="4" t="s">
        <v>181</v>
      </c>
    </row>
    <row r="50" customFormat="false" ht="15" hidden="false" customHeight="false" outlineLevel="0" collapsed="false">
      <c r="A50" s="2" t="n">
        <v>49</v>
      </c>
      <c r="B50" s="3" t="s">
        <v>182</v>
      </c>
      <c r="C50" s="3" t="s">
        <v>17</v>
      </c>
      <c r="D50" s="4" t="s">
        <v>176</v>
      </c>
      <c r="E50" s="4" t="s">
        <v>183</v>
      </c>
      <c r="F50" s="3" t="s">
        <v>54</v>
      </c>
      <c r="G50" s="4" t="s">
        <v>21</v>
      </c>
      <c r="H50" s="2" t="n">
        <v>257</v>
      </c>
      <c r="I50" s="2" t="n">
        <v>134</v>
      </c>
      <c r="J50" s="2" t="n">
        <v>257</v>
      </c>
      <c r="K50" s="2" t="n">
        <v>133</v>
      </c>
      <c r="L50" s="5" t="n">
        <f aca="false">IF(AND(ISNUMBER(J50),ISNUMBER(H50)),IF(H50&gt;0,J50/H50,""),"")</f>
        <v>1</v>
      </c>
      <c r="M50" s="5" t="n">
        <f aca="false">IF(AND(ISNUMBER(K50),ISNUMBER(I50)),IF(I50&gt;0,K50/I50,""),"")</f>
        <v>0.992537313432836</v>
      </c>
      <c r="N50" s="4" t="s">
        <v>22</v>
      </c>
      <c r="O50" s="6" t="s">
        <v>23</v>
      </c>
      <c r="P50" s="4" t="s">
        <v>178</v>
      </c>
    </row>
    <row r="51" customFormat="false" ht="15" hidden="false" customHeight="false" outlineLevel="0" collapsed="false">
      <c r="A51" s="2" t="n">
        <v>50</v>
      </c>
      <c r="B51" s="3" t="s">
        <v>184</v>
      </c>
      <c r="C51" s="3" t="s">
        <v>17</v>
      </c>
      <c r="D51" s="4" t="s">
        <v>176</v>
      </c>
      <c r="E51" s="4" t="s">
        <v>185</v>
      </c>
      <c r="F51" s="3" t="s">
        <v>54</v>
      </c>
      <c r="G51" s="4" t="s">
        <v>21</v>
      </c>
      <c r="H51" s="2" t="n">
        <v>257</v>
      </c>
      <c r="I51" s="2" t="n">
        <v>134</v>
      </c>
      <c r="J51" s="2" t="n">
        <v>257</v>
      </c>
      <c r="K51" s="2" t="n">
        <v>133</v>
      </c>
      <c r="L51" s="5" t="n">
        <f aca="false">IF(AND(ISNUMBER(J51),ISNUMBER(H51)),IF(H51&gt;0,J51/H51,""),"")</f>
        <v>1</v>
      </c>
      <c r="M51" s="5" t="n">
        <f aca="false">IF(AND(ISNUMBER(K51),ISNUMBER(I51)),IF(I51&gt;0,K51/I51,""),"")</f>
        <v>0.992537313432836</v>
      </c>
      <c r="N51" s="4" t="s">
        <v>22</v>
      </c>
      <c r="O51" s="6" t="s">
        <v>23</v>
      </c>
      <c r="P51" s="4" t="s">
        <v>181</v>
      </c>
    </row>
    <row r="52" customFormat="false" ht="15" hidden="false" customHeight="false" outlineLevel="0" collapsed="false">
      <c r="A52" s="2" t="n">
        <v>51</v>
      </c>
      <c r="B52" s="3" t="s">
        <v>186</v>
      </c>
      <c r="C52" s="3" t="s">
        <v>17</v>
      </c>
      <c r="D52" s="4" t="s">
        <v>176</v>
      </c>
      <c r="E52" s="4" t="s">
        <v>187</v>
      </c>
      <c r="F52" s="3" t="s">
        <v>54</v>
      </c>
      <c r="G52" s="4" t="s">
        <v>21</v>
      </c>
      <c r="H52" s="2" t="n">
        <v>257</v>
      </c>
      <c r="I52" s="2" t="n">
        <v>134</v>
      </c>
      <c r="J52" s="2" t="n">
        <v>257</v>
      </c>
      <c r="K52" s="2" t="n">
        <v>133</v>
      </c>
      <c r="L52" s="5" t="n">
        <f aca="false">IF(AND(ISNUMBER(J52),ISNUMBER(H52)),IF(H52&gt;0,J52/H52,""),"")</f>
        <v>1</v>
      </c>
      <c r="M52" s="5" t="n">
        <f aca="false">IF(AND(ISNUMBER(K52),ISNUMBER(I52)),IF(I52&gt;0,K52/I52,""),"")</f>
        <v>0.992537313432836</v>
      </c>
      <c r="N52" s="4" t="s">
        <v>22</v>
      </c>
      <c r="O52" s="6" t="s">
        <v>23</v>
      </c>
      <c r="P52" s="4" t="s">
        <v>178</v>
      </c>
    </row>
    <row r="53" customFormat="false" ht="15" hidden="false" customHeight="false" outlineLevel="0" collapsed="false">
      <c r="A53" s="2" t="n">
        <v>52</v>
      </c>
      <c r="B53" s="3" t="s">
        <v>188</v>
      </c>
      <c r="C53" s="3" t="s">
        <v>17</v>
      </c>
      <c r="D53" s="4" t="s">
        <v>176</v>
      </c>
      <c r="E53" s="4" t="s">
        <v>189</v>
      </c>
      <c r="F53" s="3" t="s">
        <v>54</v>
      </c>
      <c r="G53" s="4" t="s">
        <v>21</v>
      </c>
      <c r="H53" s="2" t="n">
        <v>257</v>
      </c>
      <c r="I53" s="2" t="n">
        <v>134</v>
      </c>
      <c r="J53" s="2" t="n">
        <v>257</v>
      </c>
      <c r="K53" s="2" t="n">
        <v>133</v>
      </c>
      <c r="L53" s="5" t="n">
        <f aca="false">IF(AND(ISNUMBER(J53),ISNUMBER(H53)),IF(H53&gt;0,J53/H53,""),"")</f>
        <v>1</v>
      </c>
      <c r="M53" s="5" t="n">
        <f aca="false">IF(AND(ISNUMBER(K53),ISNUMBER(I53)),IF(I53&gt;0,K53/I53,""),"")</f>
        <v>0.992537313432836</v>
      </c>
      <c r="N53" s="4" t="s">
        <v>22</v>
      </c>
      <c r="O53" s="6" t="s">
        <v>23</v>
      </c>
      <c r="P53" s="4" t="s">
        <v>181</v>
      </c>
    </row>
    <row r="54" customFormat="false" ht="15" hidden="false" customHeight="false" outlineLevel="0" collapsed="false">
      <c r="A54" s="2" t="n">
        <v>53</v>
      </c>
      <c r="B54" s="3" t="s">
        <v>190</v>
      </c>
      <c r="C54" s="3" t="s">
        <v>17</v>
      </c>
      <c r="D54" s="4" t="s">
        <v>176</v>
      </c>
      <c r="E54" s="4" t="s">
        <v>191</v>
      </c>
      <c r="F54" s="3" t="s">
        <v>54</v>
      </c>
      <c r="G54" s="4" t="s">
        <v>21</v>
      </c>
      <c r="H54" s="2" t="n">
        <v>257</v>
      </c>
      <c r="I54" s="2" t="n">
        <v>134</v>
      </c>
      <c r="J54" s="2" t="n">
        <v>257</v>
      </c>
      <c r="K54" s="2" t="n">
        <v>133</v>
      </c>
      <c r="L54" s="5" t="n">
        <f aca="false">IF(AND(ISNUMBER(J54),ISNUMBER(H54)),IF(H54&gt;0,J54/H54,""),"")</f>
        <v>1</v>
      </c>
      <c r="M54" s="5" t="n">
        <f aca="false">IF(AND(ISNUMBER(K54),ISNUMBER(I54)),IF(I54&gt;0,K54/I54,""),"")</f>
        <v>0.992537313432836</v>
      </c>
      <c r="N54" s="4" t="s">
        <v>22</v>
      </c>
      <c r="O54" s="6" t="s">
        <v>23</v>
      </c>
      <c r="P54" s="4" t="s">
        <v>178</v>
      </c>
    </row>
    <row r="55" customFormat="false" ht="23.85" hidden="false" customHeight="false" outlineLevel="0" collapsed="false">
      <c r="A55" s="2" t="n">
        <v>54</v>
      </c>
      <c r="B55" s="3" t="s">
        <v>192</v>
      </c>
      <c r="C55" s="3" t="s">
        <v>17</v>
      </c>
      <c r="D55" s="4" t="s">
        <v>176</v>
      </c>
      <c r="E55" s="4" t="s">
        <v>193</v>
      </c>
      <c r="F55" s="3" t="s">
        <v>54</v>
      </c>
      <c r="G55" s="4" t="s">
        <v>21</v>
      </c>
      <c r="H55" s="2" t="n">
        <v>257</v>
      </c>
      <c r="I55" s="2" t="n">
        <v>134</v>
      </c>
      <c r="J55" s="2" t="n">
        <v>257</v>
      </c>
      <c r="K55" s="2" t="n">
        <v>133</v>
      </c>
      <c r="L55" s="5" t="n">
        <f aca="false">IF(AND(ISNUMBER(J55),ISNUMBER(H55)),IF(H55&gt;0,J55/H55,""),"")</f>
        <v>1</v>
      </c>
      <c r="M55" s="5" t="n">
        <f aca="false">IF(AND(ISNUMBER(K55),ISNUMBER(I55)),IF(I55&gt;0,K55/I55,""),"")</f>
        <v>0.992537313432836</v>
      </c>
      <c r="N55" s="4" t="s">
        <v>22</v>
      </c>
      <c r="O55" s="6" t="s">
        <v>23</v>
      </c>
      <c r="P55" s="4" t="s">
        <v>194</v>
      </c>
    </row>
    <row r="56" customFormat="false" ht="15" hidden="false" customHeight="false" outlineLevel="0" collapsed="false">
      <c r="A56" s="2" t="n">
        <v>55</v>
      </c>
      <c r="B56" s="3" t="s">
        <v>195</v>
      </c>
      <c r="C56" s="3" t="s">
        <v>17</v>
      </c>
      <c r="D56" s="4" t="s">
        <v>196</v>
      </c>
      <c r="E56" s="4" t="s">
        <v>197</v>
      </c>
      <c r="F56" s="3" t="s">
        <v>54</v>
      </c>
      <c r="G56" s="4" t="s">
        <v>21</v>
      </c>
      <c r="H56" s="2" t="n">
        <v>257</v>
      </c>
      <c r="I56" s="2" t="n">
        <v>134</v>
      </c>
      <c r="J56" s="2" t="n">
        <v>257</v>
      </c>
      <c r="K56" s="2" t="n">
        <v>129</v>
      </c>
      <c r="L56" s="5" t="n">
        <f aca="false">IF(AND(ISNUMBER(J56),ISNUMBER(H56)),IF(H56&gt;0,J56/H56,""),"")</f>
        <v>1</v>
      </c>
      <c r="M56" s="5" t="n">
        <f aca="false">IF(AND(ISNUMBER(K56),ISNUMBER(I56)),IF(I56&gt;0,K56/I56,""),"")</f>
        <v>0.962686567164179</v>
      </c>
      <c r="N56" s="4" t="s">
        <v>22</v>
      </c>
      <c r="O56" s="6" t="s">
        <v>23</v>
      </c>
      <c r="P56" s="4" t="s">
        <v>198</v>
      </c>
    </row>
    <row r="57" customFormat="false" ht="23.85" hidden="false" customHeight="false" outlineLevel="0" collapsed="false">
      <c r="A57" s="2" t="n">
        <v>56</v>
      </c>
      <c r="B57" s="3" t="s">
        <v>199</v>
      </c>
      <c r="C57" s="3" t="s">
        <v>17</v>
      </c>
      <c r="D57" s="4" t="s">
        <v>196</v>
      </c>
      <c r="E57" s="4" t="s">
        <v>200</v>
      </c>
      <c r="F57" s="3" t="s">
        <v>54</v>
      </c>
      <c r="G57" s="4" t="s">
        <v>21</v>
      </c>
      <c r="H57" s="2" t="n">
        <v>257</v>
      </c>
      <c r="I57" s="2" t="n">
        <v>134</v>
      </c>
      <c r="J57" s="2" t="n">
        <v>257</v>
      </c>
      <c r="K57" s="2" t="n">
        <v>129</v>
      </c>
      <c r="L57" s="5" t="n">
        <f aca="false">IF(AND(ISNUMBER(J57),ISNUMBER(H57)),IF(H57&gt;0,J57/H57,""),"")</f>
        <v>1</v>
      </c>
      <c r="M57" s="5" t="n">
        <f aca="false">IF(AND(ISNUMBER(K57),ISNUMBER(I57)),IF(I57&gt;0,K57/I57,""),"")</f>
        <v>0.962686567164179</v>
      </c>
      <c r="N57" s="4" t="s">
        <v>22</v>
      </c>
      <c r="O57" s="6" t="s">
        <v>23</v>
      </c>
      <c r="P57" s="4" t="s">
        <v>201</v>
      </c>
    </row>
    <row r="58" customFormat="false" ht="15" hidden="false" customHeight="false" outlineLevel="0" collapsed="false">
      <c r="A58" s="2" t="n">
        <v>57</v>
      </c>
      <c r="B58" s="3" t="s">
        <v>202</v>
      </c>
      <c r="C58" s="3" t="s">
        <v>17</v>
      </c>
      <c r="D58" s="4" t="s">
        <v>196</v>
      </c>
      <c r="E58" s="4" t="s">
        <v>203</v>
      </c>
      <c r="F58" s="3" t="s">
        <v>54</v>
      </c>
      <c r="G58" s="4" t="s">
        <v>21</v>
      </c>
      <c r="H58" s="2" t="n">
        <v>257</v>
      </c>
      <c r="I58" s="2" t="n">
        <v>134</v>
      </c>
      <c r="J58" s="2" t="n">
        <v>257</v>
      </c>
      <c r="K58" s="2" t="n">
        <v>129</v>
      </c>
      <c r="L58" s="5" t="n">
        <f aca="false">IF(AND(ISNUMBER(J58),ISNUMBER(H58)),IF(H58&gt;0,J58/H58,""),"")</f>
        <v>1</v>
      </c>
      <c r="M58" s="5" t="n">
        <f aca="false">IF(AND(ISNUMBER(K58),ISNUMBER(I58)),IF(I58&gt;0,K58/I58,""),"")</f>
        <v>0.962686567164179</v>
      </c>
      <c r="N58" s="4" t="s">
        <v>22</v>
      </c>
      <c r="O58" s="6" t="s">
        <v>23</v>
      </c>
      <c r="P58" s="4" t="s">
        <v>198</v>
      </c>
    </row>
    <row r="59" customFormat="false" ht="23.85" hidden="false" customHeight="false" outlineLevel="0" collapsed="false">
      <c r="A59" s="2" t="n">
        <v>58</v>
      </c>
      <c r="B59" s="3" t="s">
        <v>204</v>
      </c>
      <c r="C59" s="3" t="s">
        <v>17</v>
      </c>
      <c r="D59" s="4" t="s">
        <v>196</v>
      </c>
      <c r="E59" s="4" t="s">
        <v>205</v>
      </c>
      <c r="F59" s="3" t="s">
        <v>54</v>
      </c>
      <c r="G59" s="4" t="s">
        <v>21</v>
      </c>
      <c r="H59" s="2" t="n">
        <v>257</v>
      </c>
      <c r="I59" s="2" t="n">
        <v>134</v>
      </c>
      <c r="J59" s="2" t="n">
        <v>257</v>
      </c>
      <c r="K59" s="2" t="n">
        <v>129</v>
      </c>
      <c r="L59" s="5" t="n">
        <f aca="false">IF(AND(ISNUMBER(J59),ISNUMBER(H59)),IF(H59&gt;0,J59/H59,""),"")</f>
        <v>1</v>
      </c>
      <c r="M59" s="5" t="n">
        <f aca="false">IF(AND(ISNUMBER(K59),ISNUMBER(I59)),IF(I59&gt;0,K59/I59,""),"")</f>
        <v>0.962686567164179</v>
      </c>
      <c r="N59" s="4" t="s">
        <v>22</v>
      </c>
      <c r="O59" s="6" t="s">
        <v>23</v>
      </c>
      <c r="P59" s="4" t="s">
        <v>201</v>
      </c>
    </row>
    <row r="60" customFormat="false" ht="15" hidden="false" customHeight="false" outlineLevel="0" collapsed="false">
      <c r="A60" s="2" t="n">
        <v>59</v>
      </c>
      <c r="B60" s="3" t="s">
        <v>206</v>
      </c>
      <c r="C60" s="3" t="s">
        <v>17</v>
      </c>
      <c r="D60" s="4" t="s">
        <v>207</v>
      </c>
      <c r="E60" s="4" t="s">
        <v>208</v>
      </c>
      <c r="F60" s="3" t="s">
        <v>54</v>
      </c>
      <c r="G60" s="4" t="s">
        <v>21</v>
      </c>
      <c r="H60" s="2" t="n">
        <v>257</v>
      </c>
      <c r="I60" s="2" t="n">
        <v>134</v>
      </c>
      <c r="J60" s="2" t="n">
        <v>257</v>
      </c>
      <c r="K60" s="2" t="n">
        <v>133</v>
      </c>
      <c r="L60" s="5" t="n">
        <f aca="false">IF(AND(ISNUMBER(J60),ISNUMBER(H60)),IF(H60&gt;0,J60/H60,""),"")</f>
        <v>1</v>
      </c>
      <c r="M60" s="5" t="n">
        <f aca="false">IF(AND(ISNUMBER(K60),ISNUMBER(I60)),IF(I60&gt;0,K60/I60,""),"")</f>
        <v>0.992537313432836</v>
      </c>
      <c r="N60" s="4" t="s">
        <v>22</v>
      </c>
      <c r="O60" s="6" t="s">
        <v>23</v>
      </c>
      <c r="P60" s="4" t="s">
        <v>209</v>
      </c>
    </row>
    <row r="61" customFormat="false" ht="15" hidden="false" customHeight="false" outlineLevel="0" collapsed="false">
      <c r="A61" s="2" t="n">
        <v>60</v>
      </c>
      <c r="B61" s="3" t="s">
        <v>210</v>
      </c>
      <c r="C61" s="3" t="s">
        <v>17</v>
      </c>
      <c r="D61" s="4" t="s">
        <v>207</v>
      </c>
      <c r="E61" s="4" t="s">
        <v>211</v>
      </c>
      <c r="F61" s="3" t="s">
        <v>54</v>
      </c>
      <c r="G61" s="4" t="s">
        <v>21</v>
      </c>
      <c r="H61" s="2" t="n">
        <v>257</v>
      </c>
      <c r="I61" s="2" t="n">
        <v>134</v>
      </c>
      <c r="J61" s="2" t="n">
        <v>257</v>
      </c>
      <c r="K61" s="2" t="n">
        <v>133</v>
      </c>
      <c r="L61" s="5" t="n">
        <f aca="false">IF(AND(ISNUMBER(J61),ISNUMBER(H61)),IF(H61&gt;0,J61/H61,""),"")</f>
        <v>1</v>
      </c>
      <c r="M61" s="5" t="n">
        <f aca="false">IF(AND(ISNUMBER(K61),ISNUMBER(I61)),IF(I61&gt;0,K61/I61,""),"")</f>
        <v>0.992537313432836</v>
      </c>
      <c r="N61" s="4" t="s">
        <v>22</v>
      </c>
      <c r="O61" s="6" t="s">
        <v>23</v>
      </c>
      <c r="P61" s="4" t="s">
        <v>212</v>
      </c>
    </row>
    <row r="62" customFormat="false" ht="15" hidden="false" customHeight="false" outlineLevel="0" collapsed="false">
      <c r="A62" s="2" t="n">
        <v>61</v>
      </c>
      <c r="B62" s="3" t="s">
        <v>213</v>
      </c>
      <c r="C62" s="3" t="s">
        <v>17</v>
      </c>
      <c r="D62" s="4" t="s">
        <v>207</v>
      </c>
      <c r="E62" s="4" t="s">
        <v>214</v>
      </c>
      <c r="F62" s="3" t="s">
        <v>54</v>
      </c>
      <c r="G62" s="4" t="s">
        <v>21</v>
      </c>
      <c r="H62" s="2" t="n">
        <v>257</v>
      </c>
      <c r="I62" s="2" t="n">
        <v>134</v>
      </c>
      <c r="J62" s="2" t="n">
        <v>257</v>
      </c>
      <c r="K62" s="2" t="n">
        <v>129</v>
      </c>
      <c r="L62" s="5" t="n">
        <f aca="false">IF(AND(ISNUMBER(J62),ISNUMBER(H62)),IF(H62&gt;0,J62/H62,""),"")</f>
        <v>1</v>
      </c>
      <c r="M62" s="5" t="n">
        <f aca="false">IF(AND(ISNUMBER(K62),ISNUMBER(I62)),IF(I62&gt;0,K62/I62,""),"")</f>
        <v>0.962686567164179</v>
      </c>
      <c r="N62" s="4" t="s">
        <v>22</v>
      </c>
      <c r="O62" s="6" t="s">
        <v>23</v>
      </c>
      <c r="P62" s="4" t="s">
        <v>198</v>
      </c>
    </row>
    <row r="63" customFormat="false" ht="15" hidden="false" customHeight="false" outlineLevel="0" collapsed="false">
      <c r="A63" s="2" t="n">
        <v>62</v>
      </c>
      <c r="B63" s="3" t="s">
        <v>215</v>
      </c>
      <c r="C63" s="3" t="s">
        <v>17</v>
      </c>
      <c r="D63" s="4" t="s">
        <v>207</v>
      </c>
      <c r="E63" s="4" t="s">
        <v>216</v>
      </c>
      <c r="F63" s="3" t="s">
        <v>54</v>
      </c>
      <c r="G63" s="4" t="s">
        <v>21</v>
      </c>
      <c r="H63" s="2" t="n">
        <v>257</v>
      </c>
      <c r="I63" s="2" t="n">
        <v>134</v>
      </c>
      <c r="J63" s="2" t="n">
        <v>257</v>
      </c>
      <c r="K63" s="2" t="n">
        <v>129</v>
      </c>
      <c r="L63" s="5" t="n">
        <f aca="false">IF(AND(ISNUMBER(J63),ISNUMBER(H63)),IF(H63&gt;0,J63/H63,""),"")</f>
        <v>1</v>
      </c>
      <c r="M63" s="5" t="n">
        <f aca="false">IF(AND(ISNUMBER(K63),ISNUMBER(I63)),IF(I63&gt;0,K63/I63,""),"")</f>
        <v>0.962686567164179</v>
      </c>
      <c r="N63" s="4" t="s">
        <v>22</v>
      </c>
      <c r="O63" s="6" t="s">
        <v>23</v>
      </c>
      <c r="P63" s="4" t="s">
        <v>217</v>
      </c>
    </row>
    <row r="64" customFormat="false" ht="15" hidden="false" customHeight="false" outlineLevel="0" collapsed="false">
      <c r="A64" s="2" t="n">
        <v>63</v>
      </c>
      <c r="B64" s="3" t="s">
        <v>218</v>
      </c>
      <c r="C64" s="3" t="s">
        <v>17</v>
      </c>
      <c r="D64" s="4" t="s">
        <v>207</v>
      </c>
      <c r="E64" s="4" t="s">
        <v>219</v>
      </c>
      <c r="F64" s="3" t="s">
        <v>54</v>
      </c>
      <c r="G64" s="4" t="s">
        <v>21</v>
      </c>
      <c r="H64" s="2" t="n">
        <v>257</v>
      </c>
      <c r="I64" s="2" t="n">
        <v>134</v>
      </c>
      <c r="J64" s="2" t="n">
        <v>257</v>
      </c>
      <c r="K64" s="2" t="n">
        <v>133</v>
      </c>
      <c r="L64" s="5" t="n">
        <f aca="false">IF(AND(ISNUMBER(J64),ISNUMBER(H64)),IF(H64&gt;0,J64/H64,""),"")</f>
        <v>1</v>
      </c>
      <c r="M64" s="5" t="n">
        <f aca="false">IF(AND(ISNUMBER(K64),ISNUMBER(I64)),IF(I64&gt;0,K64/I64,""),"")</f>
        <v>0.992537313432836</v>
      </c>
      <c r="N64" s="4" t="s">
        <v>22</v>
      </c>
      <c r="O64" s="6" t="s">
        <v>23</v>
      </c>
      <c r="P64" s="4" t="s">
        <v>220</v>
      </c>
    </row>
    <row r="65" customFormat="false" ht="15" hidden="false" customHeight="false" outlineLevel="0" collapsed="false">
      <c r="A65" s="2" t="n">
        <v>64</v>
      </c>
      <c r="B65" s="3" t="s">
        <v>221</v>
      </c>
      <c r="C65" s="3" t="s">
        <v>17</v>
      </c>
      <c r="D65" s="4" t="s">
        <v>207</v>
      </c>
      <c r="E65" s="4" t="s">
        <v>222</v>
      </c>
      <c r="F65" s="3" t="s">
        <v>54</v>
      </c>
      <c r="G65" s="4" t="s">
        <v>21</v>
      </c>
      <c r="H65" s="2" t="n">
        <v>257</v>
      </c>
      <c r="I65" s="2" t="n">
        <v>134</v>
      </c>
      <c r="J65" s="2" t="n">
        <v>257</v>
      </c>
      <c r="K65" s="2" t="n">
        <v>133</v>
      </c>
      <c r="L65" s="5" t="n">
        <f aca="false">IF(AND(ISNUMBER(J65),ISNUMBER(H65)),IF(H65&gt;0,J65/H65,""),"")</f>
        <v>1</v>
      </c>
      <c r="M65" s="5" t="n">
        <f aca="false">IF(AND(ISNUMBER(K65),ISNUMBER(I65)),IF(I65&gt;0,K65/I65,""),"")</f>
        <v>0.992537313432836</v>
      </c>
      <c r="N65" s="4" t="s">
        <v>22</v>
      </c>
      <c r="O65" s="6" t="s">
        <v>23</v>
      </c>
      <c r="P65" s="4" t="s">
        <v>223</v>
      </c>
    </row>
    <row r="66" customFormat="false" ht="15" hidden="false" customHeight="false" outlineLevel="0" collapsed="false">
      <c r="A66" s="2" t="n">
        <v>65</v>
      </c>
      <c r="B66" s="3" t="s">
        <v>224</v>
      </c>
      <c r="C66" s="3" t="s">
        <v>17</v>
      </c>
      <c r="D66" s="4" t="s">
        <v>207</v>
      </c>
      <c r="E66" s="4" t="s">
        <v>225</v>
      </c>
      <c r="F66" s="3" t="s">
        <v>54</v>
      </c>
      <c r="G66" s="4" t="s">
        <v>21</v>
      </c>
      <c r="H66" s="2" t="n">
        <v>257</v>
      </c>
      <c r="I66" s="2" t="n">
        <v>134</v>
      </c>
      <c r="J66" s="2" t="n">
        <v>257</v>
      </c>
      <c r="K66" s="2" t="n">
        <v>133</v>
      </c>
      <c r="L66" s="5" t="n">
        <f aca="false">IF(AND(ISNUMBER(J66),ISNUMBER(H66)),IF(H66&gt;0,J66/H66,""),"")</f>
        <v>1</v>
      </c>
      <c r="M66" s="5" t="n">
        <f aca="false">IF(AND(ISNUMBER(K66),ISNUMBER(I66)),IF(I66&gt;0,K66/I66,""),"")</f>
        <v>0.992537313432836</v>
      </c>
      <c r="N66" s="4" t="s">
        <v>22</v>
      </c>
      <c r="O66" s="6" t="s">
        <v>23</v>
      </c>
      <c r="P66" s="4" t="s">
        <v>181</v>
      </c>
    </row>
    <row r="67" customFormat="false" ht="23.85" hidden="false" customHeight="false" outlineLevel="0" collapsed="false">
      <c r="A67" s="2" t="n">
        <v>66</v>
      </c>
      <c r="B67" s="3" t="s">
        <v>226</v>
      </c>
      <c r="C67" s="3" t="s">
        <v>17</v>
      </c>
      <c r="D67" s="4" t="s">
        <v>207</v>
      </c>
      <c r="E67" s="4" t="s">
        <v>227</v>
      </c>
      <c r="F67" s="3" t="s">
        <v>54</v>
      </c>
      <c r="G67" s="4" t="s">
        <v>21</v>
      </c>
      <c r="H67" s="2" t="n">
        <v>257</v>
      </c>
      <c r="I67" s="2" t="n">
        <v>134</v>
      </c>
      <c r="J67" s="2" t="n">
        <v>257</v>
      </c>
      <c r="K67" s="2" t="n">
        <v>133</v>
      </c>
      <c r="L67" s="5" t="n">
        <f aca="false">IF(AND(ISNUMBER(J67),ISNUMBER(H67)),IF(H67&gt;0,J67/H67,""),"")</f>
        <v>1</v>
      </c>
      <c r="M67" s="5" t="n">
        <f aca="false">IF(AND(ISNUMBER(K67),ISNUMBER(I67)),IF(I67&gt;0,K67/I67,""),"")</f>
        <v>0.992537313432836</v>
      </c>
      <c r="N67" s="4" t="s">
        <v>22</v>
      </c>
      <c r="O67" s="6" t="s">
        <v>23</v>
      </c>
      <c r="P67" s="4" t="s">
        <v>228</v>
      </c>
    </row>
    <row r="68" customFormat="false" ht="23.85" hidden="false" customHeight="false" outlineLevel="0" collapsed="false">
      <c r="A68" s="2" t="n">
        <v>67</v>
      </c>
      <c r="B68" s="3" t="s">
        <v>229</v>
      </c>
      <c r="C68" s="3" t="s">
        <v>17</v>
      </c>
      <c r="D68" s="4" t="s">
        <v>230</v>
      </c>
      <c r="E68" s="4" t="s">
        <v>231</v>
      </c>
      <c r="F68" s="3" t="s">
        <v>40</v>
      </c>
      <c r="G68" s="4" t="s">
        <v>21</v>
      </c>
      <c r="H68" s="2" t="n">
        <v>257</v>
      </c>
      <c r="I68" s="2" t="n">
        <v>134</v>
      </c>
      <c r="J68" s="2" t="n">
        <v>256</v>
      </c>
      <c r="K68" s="2" t="n">
        <v>133</v>
      </c>
      <c r="L68" s="5" t="n">
        <f aca="false">IF(AND(ISNUMBER(J68),ISNUMBER(H68)),IF(H68&gt;0,J68/H68,""),"")</f>
        <v>0.996108949416342</v>
      </c>
      <c r="M68" s="5" t="n">
        <f aca="false">IF(AND(ISNUMBER(K68),ISNUMBER(I68)),IF(I68&gt;0,K68/I68,""),"")</f>
        <v>0.992537313432836</v>
      </c>
      <c r="N68" s="4" t="s">
        <v>22</v>
      </c>
      <c r="O68" s="7" t="s">
        <v>41</v>
      </c>
      <c r="P68" s="4" t="s">
        <v>232</v>
      </c>
    </row>
    <row r="69" customFormat="false" ht="23.85" hidden="false" customHeight="false" outlineLevel="0" collapsed="false">
      <c r="A69" s="2" t="n">
        <v>68</v>
      </c>
      <c r="B69" s="3" t="s">
        <v>233</v>
      </c>
      <c r="C69" s="3" t="s">
        <v>17</v>
      </c>
      <c r="D69" s="4" t="s">
        <v>234</v>
      </c>
      <c r="E69" s="4" t="s">
        <v>235</v>
      </c>
      <c r="F69" s="3" t="s">
        <v>40</v>
      </c>
      <c r="G69" s="4" t="s">
        <v>21</v>
      </c>
      <c r="H69" s="2" t="n">
        <v>257</v>
      </c>
      <c r="I69" s="2" t="n">
        <v>134</v>
      </c>
      <c r="J69" s="2" t="n">
        <v>248</v>
      </c>
      <c r="K69" s="2" t="n">
        <v>132</v>
      </c>
      <c r="L69" s="5" t="n">
        <f aca="false">IF(AND(ISNUMBER(J69),ISNUMBER(H69)),IF(H69&gt;0,J69/H69,""),"")</f>
        <v>0.964980544747082</v>
      </c>
      <c r="M69" s="5" t="n">
        <f aca="false">IF(AND(ISNUMBER(K69),ISNUMBER(I69)),IF(I69&gt;0,K69/I69,""),"")</f>
        <v>0.985074626865672</v>
      </c>
      <c r="N69" s="4" t="s">
        <v>22</v>
      </c>
      <c r="O69" s="7" t="s">
        <v>41</v>
      </c>
      <c r="P69" s="4" t="s">
        <v>236</v>
      </c>
    </row>
    <row r="70" customFormat="false" ht="15" hidden="false" customHeight="false" outlineLevel="0" collapsed="false">
      <c r="A70" s="2" t="n">
        <v>69</v>
      </c>
      <c r="B70" s="3" t="s">
        <v>237</v>
      </c>
      <c r="C70" s="3" t="s">
        <v>17</v>
      </c>
      <c r="D70" s="4" t="s">
        <v>234</v>
      </c>
      <c r="E70" s="4" t="s">
        <v>238</v>
      </c>
      <c r="F70" s="3" t="s">
        <v>40</v>
      </c>
      <c r="G70" s="4" t="s">
        <v>21</v>
      </c>
      <c r="H70" s="2" t="n">
        <v>257</v>
      </c>
      <c r="I70" s="2" t="n">
        <v>134</v>
      </c>
      <c r="J70" s="2" t="n">
        <v>256</v>
      </c>
      <c r="K70" s="2" t="n">
        <v>134</v>
      </c>
      <c r="L70" s="5" t="n">
        <f aca="false">IF(AND(ISNUMBER(J70),ISNUMBER(H70)),IF(H70&gt;0,J70/H70,""),"")</f>
        <v>0.996108949416342</v>
      </c>
      <c r="M70" s="5" t="n">
        <f aca="false">IF(AND(ISNUMBER(K70),ISNUMBER(I70)),IF(I70&gt;0,K70/I70,""),"")</f>
        <v>1</v>
      </c>
      <c r="N70" s="4" t="s">
        <v>22</v>
      </c>
      <c r="O70" s="7" t="s">
        <v>41</v>
      </c>
      <c r="P70" s="4" t="s">
        <v>239</v>
      </c>
    </row>
    <row r="71" customFormat="false" ht="15" hidden="false" customHeight="false" outlineLevel="0" collapsed="false">
      <c r="A71" s="2" t="n">
        <v>70</v>
      </c>
      <c r="B71" s="3" t="s">
        <v>240</v>
      </c>
      <c r="C71" s="3" t="s">
        <v>17</v>
      </c>
      <c r="D71" s="4" t="s">
        <v>234</v>
      </c>
      <c r="E71" s="4" t="s">
        <v>241</v>
      </c>
      <c r="F71" s="3" t="s">
        <v>54</v>
      </c>
      <c r="G71" s="4" t="s">
        <v>21</v>
      </c>
      <c r="H71" s="2" t="n">
        <v>257</v>
      </c>
      <c r="I71" s="2" t="n">
        <v>134</v>
      </c>
      <c r="J71" s="2" t="n">
        <v>252</v>
      </c>
      <c r="K71" s="2" t="n">
        <v>131</v>
      </c>
      <c r="L71" s="5" t="n">
        <f aca="false">IF(AND(ISNUMBER(J71),ISNUMBER(H71)),IF(H71&gt;0,J71/H71,""),"")</f>
        <v>0.980544747081712</v>
      </c>
      <c r="M71" s="5" t="n">
        <f aca="false">IF(AND(ISNUMBER(K71),ISNUMBER(I71)),IF(I71&gt;0,K71/I71,""),"")</f>
        <v>0.977611940298508</v>
      </c>
      <c r="N71" s="4" t="s">
        <v>91</v>
      </c>
      <c r="O71" s="7" t="s">
        <v>41</v>
      </c>
      <c r="P71" s="4" t="s">
        <v>242</v>
      </c>
    </row>
    <row r="72" customFormat="false" ht="23.85" hidden="false" customHeight="false" outlineLevel="0" collapsed="false">
      <c r="A72" s="2" t="n">
        <v>71</v>
      </c>
      <c r="B72" s="3" t="s">
        <v>243</v>
      </c>
      <c r="C72" s="3" t="s">
        <v>17</v>
      </c>
      <c r="D72" s="4" t="s">
        <v>234</v>
      </c>
      <c r="E72" s="4" t="s">
        <v>244</v>
      </c>
      <c r="F72" s="3" t="s">
        <v>54</v>
      </c>
      <c r="G72" s="4" t="s">
        <v>21</v>
      </c>
      <c r="H72" s="2" t="n">
        <v>257</v>
      </c>
      <c r="I72" s="2" t="n">
        <v>134</v>
      </c>
      <c r="J72" s="2" t="n">
        <v>101</v>
      </c>
      <c r="K72" s="2" t="n">
        <v>86</v>
      </c>
      <c r="L72" s="5" t="n">
        <f aca="false">IF(AND(ISNUMBER(J72),ISNUMBER(H72)),IF(H72&gt;0,J72/H72,""),"")</f>
        <v>0.392996108949416</v>
      </c>
      <c r="M72" s="5" t="n">
        <f aca="false">IF(AND(ISNUMBER(K72),ISNUMBER(I72)),IF(I72&gt;0,K72/I72,""),"")</f>
        <v>0.641791044776119</v>
      </c>
      <c r="N72" s="4" t="s">
        <v>91</v>
      </c>
      <c r="O72" s="7" t="s">
        <v>41</v>
      </c>
      <c r="P72" s="4" t="s">
        <v>245</v>
      </c>
    </row>
    <row r="73" customFormat="false" ht="15" hidden="false" customHeight="false" outlineLevel="0" collapsed="false">
      <c r="A73" s="2" t="n">
        <v>72</v>
      </c>
      <c r="B73" s="3" t="s">
        <v>246</v>
      </c>
      <c r="C73" s="3" t="s">
        <v>17</v>
      </c>
      <c r="D73" s="4" t="s">
        <v>234</v>
      </c>
      <c r="E73" s="4" t="s">
        <v>247</v>
      </c>
      <c r="F73" s="3" t="s">
        <v>40</v>
      </c>
      <c r="G73" s="4" t="s">
        <v>21</v>
      </c>
      <c r="H73" s="2" t="n">
        <v>257</v>
      </c>
      <c r="I73" s="2" t="n">
        <v>134</v>
      </c>
      <c r="J73" s="2" t="n">
        <v>244</v>
      </c>
      <c r="K73" s="2" t="n">
        <v>126</v>
      </c>
      <c r="L73" s="5" t="n">
        <f aca="false">IF(AND(ISNUMBER(J73),ISNUMBER(H73)),IF(H73&gt;0,J73/H73,""),"")</f>
        <v>0.949416342412451</v>
      </c>
      <c r="M73" s="5" t="n">
        <f aca="false">IF(AND(ISNUMBER(K73),ISNUMBER(I73)),IF(I73&gt;0,K73/I73,""),"")</f>
        <v>0.940298507462687</v>
      </c>
      <c r="N73" s="4" t="s">
        <v>22</v>
      </c>
      <c r="O73" s="7" t="s">
        <v>41</v>
      </c>
      <c r="P73" s="4" t="s">
        <v>248</v>
      </c>
    </row>
    <row r="74" customFormat="false" ht="23.85" hidden="false" customHeight="false" outlineLevel="0" collapsed="false">
      <c r="A74" s="2" t="n">
        <v>73</v>
      </c>
      <c r="B74" s="3" t="s">
        <v>249</v>
      </c>
      <c r="C74" s="3" t="s">
        <v>17</v>
      </c>
      <c r="D74" s="4" t="s">
        <v>234</v>
      </c>
      <c r="E74" s="4" t="s">
        <v>250</v>
      </c>
      <c r="F74" s="3" t="s">
        <v>251</v>
      </c>
      <c r="G74" s="4" t="s">
        <v>252</v>
      </c>
      <c r="H74" s="2"/>
      <c r="I74" s="2"/>
      <c r="J74" s="2" t="n">
        <v>27</v>
      </c>
      <c r="K74" s="2" t="n">
        <v>22</v>
      </c>
      <c r="L74" s="5" t="str">
        <f aca="false">IF(AND(ISNUMBER(J74),ISNUMBER(H74)),IF(H74&gt;0,J74/H74,""),"")</f>
        <v/>
      </c>
      <c r="M74" s="5" t="str">
        <f aca="false">IF(AND(ISNUMBER(K74),ISNUMBER(I74)),IF(I74&gt;0,K74/I74,""),"")</f>
        <v/>
      </c>
      <c r="N74" s="4" t="s">
        <v>91</v>
      </c>
      <c r="O74" s="9" t="s">
        <v>67</v>
      </c>
      <c r="P74" s="4" t="s">
        <v>253</v>
      </c>
    </row>
    <row r="75" customFormat="false" ht="15" hidden="false" customHeight="false" outlineLevel="0" collapsed="false">
      <c r="A75" s="2" t="n">
        <v>74</v>
      </c>
      <c r="B75" s="3" t="s">
        <v>254</v>
      </c>
      <c r="C75" s="3" t="s">
        <v>17</v>
      </c>
      <c r="D75" s="4" t="s">
        <v>234</v>
      </c>
      <c r="E75" s="4" t="s">
        <v>255</v>
      </c>
      <c r="F75" s="3" t="s">
        <v>40</v>
      </c>
      <c r="G75" s="4" t="s">
        <v>21</v>
      </c>
      <c r="H75" s="2" t="n">
        <v>257</v>
      </c>
      <c r="I75" s="2" t="n">
        <v>134</v>
      </c>
      <c r="J75" s="2" t="n">
        <v>249</v>
      </c>
      <c r="K75" s="2" t="n">
        <v>126</v>
      </c>
      <c r="L75" s="5" t="n">
        <f aca="false">IF(AND(ISNUMBER(J75),ISNUMBER(H75)),IF(H75&gt;0,J75/H75,""),"")</f>
        <v>0.968871595330739</v>
      </c>
      <c r="M75" s="5" t="n">
        <f aca="false">IF(AND(ISNUMBER(K75),ISNUMBER(I75)),IF(I75&gt;0,K75/I75,""),"")</f>
        <v>0.940298507462687</v>
      </c>
      <c r="N75" s="4" t="s">
        <v>22</v>
      </c>
      <c r="O75" s="7" t="s">
        <v>41</v>
      </c>
      <c r="P75" s="4" t="s">
        <v>256</v>
      </c>
    </row>
    <row r="76" customFormat="false" ht="23.85" hidden="false" customHeight="false" outlineLevel="0" collapsed="false">
      <c r="A76" s="2" t="n">
        <v>75</v>
      </c>
      <c r="B76" s="3" t="s">
        <v>257</v>
      </c>
      <c r="C76" s="3" t="s">
        <v>17</v>
      </c>
      <c r="D76" s="4" t="s">
        <v>234</v>
      </c>
      <c r="E76" s="4" t="s">
        <v>258</v>
      </c>
      <c r="F76" s="3" t="s">
        <v>251</v>
      </c>
      <c r="G76" s="4" t="s">
        <v>252</v>
      </c>
      <c r="H76" s="2"/>
      <c r="I76" s="2"/>
      <c r="J76" s="2" t="n">
        <v>23</v>
      </c>
      <c r="K76" s="2" t="n">
        <v>22</v>
      </c>
      <c r="L76" s="5" t="str">
        <f aca="false">IF(AND(ISNUMBER(J76),ISNUMBER(H76)),IF(H76&gt;0,J76/H76,""),"")</f>
        <v/>
      </c>
      <c r="M76" s="5" t="str">
        <f aca="false">IF(AND(ISNUMBER(K76),ISNUMBER(I76)),IF(I76&gt;0,K76/I76,""),"")</f>
        <v/>
      </c>
      <c r="N76" s="4" t="s">
        <v>91</v>
      </c>
      <c r="O76" s="9" t="s">
        <v>67</v>
      </c>
      <c r="P76" s="4" t="s">
        <v>259</v>
      </c>
    </row>
    <row r="77" customFormat="false" ht="15" hidden="false" customHeight="false" outlineLevel="0" collapsed="false">
      <c r="A77" s="2" t="n">
        <v>76</v>
      </c>
      <c r="B77" s="3" t="s">
        <v>260</v>
      </c>
      <c r="C77" s="3" t="s">
        <v>17</v>
      </c>
      <c r="D77" s="4" t="s">
        <v>261</v>
      </c>
      <c r="E77" s="4" t="s">
        <v>262</v>
      </c>
      <c r="F77" s="3" t="s">
        <v>54</v>
      </c>
      <c r="G77" s="4" t="s">
        <v>21</v>
      </c>
      <c r="H77" s="2" t="n">
        <v>257</v>
      </c>
      <c r="I77" s="2" t="n">
        <v>134</v>
      </c>
      <c r="J77" s="2" t="n">
        <v>254</v>
      </c>
      <c r="K77" s="2" t="n">
        <v>131</v>
      </c>
      <c r="L77" s="5" t="n">
        <f aca="false">IF(AND(ISNUMBER(J77),ISNUMBER(H77)),IF(H77&gt;0,J77/H77,""),"")</f>
        <v>0.988326848249027</v>
      </c>
      <c r="M77" s="5" t="n">
        <f aca="false">IF(AND(ISNUMBER(K77),ISNUMBER(I77)),IF(I77&gt;0,K77/I77,""),"")</f>
        <v>0.977611940298508</v>
      </c>
      <c r="N77" s="4" t="s">
        <v>22</v>
      </c>
      <c r="O77" s="6" t="s">
        <v>23</v>
      </c>
      <c r="P77" s="4" t="s">
        <v>263</v>
      </c>
    </row>
    <row r="78" customFormat="false" ht="23.85" hidden="false" customHeight="false" outlineLevel="0" collapsed="false">
      <c r="A78" s="2" t="n">
        <v>77</v>
      </c>
      <c r="B78" s="3" t="s">
        <v>264</v>
      </c>
      <c r="C78" s="3" t="s">
        <v>17</v>
      </c>
      <c r="D78" s="4" t="s">
        <v>261</v>
      </c>
      <c r="E78" s="4" t="s">
        <v>265</v>
      </c>
      <c r="F78" s="3" t="s">
        <v>54</v>
      </c>
      <c r="G78" s="4" t="s">
        <v>21</v>
      </c>
      <c r="H78" s="2" t="n">
        <v>257</v>
      </c>
      <c r="I78" s="2" t="n">
        <v>134</v>
      </c>
      <c r="J78" s="2" t="n">
        <v>253</v>
      </c>
      <c r="K78" s="2" t="n">
        <v>115</v>
      </c>
      <c r="L78" s="5" t="n">
        <f aca="false">IF(AND(ISNUMBER(J78),ISNUMBER(H78)),IF(H78&gt;0,J78/H78,""),"")</f>
        <v>0.98443579766537</v>
      </c>
      <c r="M78" s="5" t="n">
        <f aca="false">IF(AND(ISNUMBER(K78),ISNUMBER(I78)),IF(I78&gt;0,K78/I78,""),"")</f>
        <v>0.858208955223881</v>
      </c>
      <c r="N78" s="4" t="s">
        <v>22</v>
      </c>
      <c r="O78" s="7" t="s">
        <v>41</v>
      </c>
      <c r="P78" s="4" t="s">
        <v>266</v>
      </c>
    </row>
    <row r="79" customFormat="false" ht="15" hidden="false" customHeight="false" outlineLevel="0" collapsed="false">
      <c r="A79" s="2" t="n">
        <v>78</v>
      </c>
      <c r="B79" s="3" t="s">
        <v>267</v>
      </c>
      <c r="C79" s="3" t="s">
        <v>17</v>
      </c>
      <c r="D79" s="4" t="s">
        <v>261</v>
      </c>
      <c r="E79" s="4" t="s">
        <v>268</v>
      </c>
      <c r="F79" s="3" t="s">
        <v>54</v>
      </c>
      <c r="G79" s="4" t="s">
        <v>252</v>
      </c>
      <c r="H79" s="2"/>
      <c r="I79" s="2"/>
      <c r="J79" s="2" t="s">
        <v>144</v>
      </c>
      <c r="K79" s="2" t="n">
        <v>16</v>
      </c>
      <c r="L79" s="5" t="str">
        <f aca="false">IF(AND(ISNUMBER(J79),ISNUMBER(H79)),IF(H79&gt;0,J79/H79,""),"")</f>
        <v/>
      </c>
      <c r="M79" s="5" t="str">
        <f aca="false">IF(AND(ISNUMBER(K79),ISNUMBER(I79)),IF(I79&gt;0,K79/I79,""),"")</f>
        <v/>
      </c>
      <c r="N79" s="4" t="s">
        <v>28</v>
      </c>
      <c r="O79" s="9" t="s">
        <v>67</v>
      </c>
      <c r="P79" s="4" t="s">
        <v>269</v>
      </c>
    </row>
    <row r="80" customFormat="false" ht="15" hidden="false" customHeight="false" outlineLevel="0" collapsed="false">
      <c r="A80" s="2" t="n">
        <v>79</v>
      </c>
      <c r="B80" s="3" t="s">
        <v>270</v>
      </c>
      <c r="C80" s="3" t="s">
        <v>17</v>
      </c>
      <c r="D80" s="4" t="s">
        <v>261</v>
      </c>
      <c r="E80" s="4" t="s">
        <v>271</v>
      </c>
      <c r="F80" s="3" t="s">
        <v>54</v>
      </c>
      <c r="G80" s="4" t="s">
        <v>252</v>
      </c>
      <c r="H80" s="2"/>
      <c r="I80" s="2"/>
      <c r="J80" s="2" t="s">
        <v>144</v>
      </c>
      <c r="K80" s="2" t="n">
        <v>15</v>
      </c>
      <c r="L80" s="5" t="str">
        <f aca="false">IF(AND(ISNUMBER(J80),ISNUMBER(H80)),IF(H80&gt;0,J80/H80,""),"")</f>
        <v/>
      </c>
      <c r="M80" s="5" t="str">
        <f aca="false">IF(AND(ISNUMBER(K80),ISNUMBER(I80)),IF(I80&gt;0,K80/I80,""),"")</f>
        <v/>
      </c>
      <c r="N80" s="4" t="s">
        <v>28</v>
      </c>
      <c r="O80" s="9" t="s">
        <v>67</v>
      </c>
      <c r="P80" s="4" t="s">
        <v>269</v>
      </c>
    </row>
    <row r="81" customFormat="false" ht="15" hidden="false" customHeight="false" outlineLevel="0" collapsed="false">
      <c r="A81" s="2" t="n">
        <v>80</v>
      </c>
      <c r="B81" s="3" t="s">
        <v>272</v>
      </c>
      <c r="C81" s="3" t="s">
        <v>17</v>
      </c>
      <c r="D81" s="4" t="s">
        <v>261</v>
      </c>
      <c r="E81" s="4" t="s">
        <v>273</v>
      </c>
      <c r="F81" s="3" t="s">
        <v>54</v>
      </c>
      <c r="G81" s="4" t="s">
        <v>252</v>
      </c>
      <c r="H81" s="2"/>
      <c r="I81" s="2"/>
      <c r="J81" s="2" t="n">
        <v>0</v>
      </c>
      <c r="K81" s="2" t="s">
        <v>144</v>
      </c>
      <c r="L81" s="5" t="str">
        <f aca="false">IF(AND(ISNUMBER(J81),ISNUMBER(H81)),IF(H81&gt;0,J81/H81,""),"")</f>
        <v/>
      </c>
      <c r="M81" s="5" t="str">
        <f aca="false">IF(AND(ISNUMBER(K81),ISNUMBER(I81)),IF(I81&gt;0,K81/I81,""),"")</f>
        <v/>
      </c>
      <c r="N81" s="4" t="s">
        <v>28</v>
      </c>
      <c r="O81" s="9" t="s">
        <v>67</v>
      </c>
      <c r="P81" s="4" t="s">
        <v>274</v>
      </c>
    </row>
    <row r="82" customFormat="false" ht="15" hidden="false" customHeight="false" outlineLevel="0" collapsed="false">
      <c r="A82" s="2" t="n">
        <v>81</v>
      </c>
      <c r="B82" s="3" t="s">
        <v>275</v>
      </c>
      <c r="C82" s="3" t="s">
        <v>17</v>
      </c>
      <c r="D82" s="4" t="s">
        <v>261</v>
      </c>
      <c r="E82" s="4" t="s">
        <v>276</v>
      </c>
      <c r="F82" s="3" t="s">
        <v>54</v>
      </c>
      <c r="G82" s="4" t="s">
        <v>252</v>
      </c>
      <c r="H82" s="2"/>
      <c r="I82" s="2"/>
      <c r="J82" s="2" t="n">
        <v>0</v>
      </c>
      <c r="K82" s="2" t="s">
        <v>144</v>
      </c>
      <c r="L82" s="5" t="str">
        <f aca="false">IF(AND(ISNUMBER(J82),ISNUMBER(H82)),IF(H82&gt;0,J82/H82,""),"")</f>
        <v/>
      </c>
      <c r="M82" s="5" t="str">
        <f aca="false">IF(AND(ISNUMBER(K82),ISNUMBER(I82)),IF(I82&gt;0,K82/I82,""),"")</f>
        <v/>
      </c>
      <c r="N82" s="4" t="s">
        <v>28</v>
      </c>
      <c r="O82" s="9" t="s">
        <v>67</v>
      </c>
      <c r="P82" s="4" t="s">
        <v>274</v>
      </c>
    </row>
    <row r="83" customFormat="false" ht="15" hidden="false" customHeight="false" outlineLevel="0" collapsed="false">
      <c r="A83" s="2" t="n">
        <v>82</v>
      </c>
      <c r="B83" s="3" t="s">
        <v>277</v>
      </c>
      <c r="C83" s="3" t="s">
        <v>17</v>
      </c>
      <c r="D83" s="4" t="s">
        <v>261</v>
      </c>
      <c r="E83" s="4" t="s">
        <v>278</v>
      </c>
      <c r="F83" s="3" t="s">
        <v>54</v>
      </c>
      <c r="G83" s="4" t="s">
        <v>21</v>
      </c>
      <c r="H83" s="2" t="n">
        <v>257</v>
      </c>
      <c r="I83" s="2" t="n">
        <v>134</v>
      </c>
      <c r="J83" s="2" t="n">
        <v>248</v>
      </c>
      <c r="K83" s="2" t="n">
        <v>132</v>
      </c>
      <c r="L83" s="5" t="n">
        <f aca="false">IF(AND(ISNUMBER(J83),ISNUMBER(H83)),IF(H83&gt;0,J83/H83,""),"")</f>
        <v>0.964980544747082</v>
      </c>
      <c r="M83" s="5" t="n">
        <f aca="false">IF(AND(ISNUMBER(K83),ISNUMBER(I83)),IF(I83&gt;0,K83/I83,""),"")</f>
        <v>0.985074626865672</v>
      </c>
      <c r="N83" s="4" t="s">
        <v>22</v>
      </c>
      <c r="O83" s="6" t="s">
        <v>23</v>
      </c>
      <c r="P83" s="4" t="s">
        <v>279</v>
      </c>
    </row>
    <row r="84" customFormat="false" ht="35.05" hidden="false" customHeight="false" outlineLevel="0" collapsed="false">
      <c r="A84" s="2" t="n">
        <v>83</v>
      </c>
      <c r="B84" s="3" t="s">
        <v>280</v>
      </c>
      <c r="C84" s="3" t="s">
        <v>17</v>
      </c>
      <c r="D84" s="4" t="s">
        <v>261</v>
      </c>
      <c r="E84" s="4" t="s">
        <v>281</v>
      </c>
      <c r="F84" s="3" t="s">
        <v>54</v>
      </c>
      <c r="G84" s="4" t="s">
        <v>21</v>
      </c>
      <c r="H84" s="2" t="n">
        <v>257</v>
      </c>
      <c r="I84" s="2" t="n">
        <v>134</v>
      </c>
      <c r="J84" s="2" t="n">
        <v>248</v>
      </c>
      <c r="K84" s="2" t="n">
        <v>129</v>
      </c>
      <c r="L84" s="5" t="n">
        <f aca="false">IF(AND(ISNUMBER(J84),ISNUMBER(H84)),IF(H84&gt;0,J84/H84,""),"")</f>
        <v>0.964980544747082</v>
      </c>
      <c r="M84" s="5" t="n">
        <f aca="false">IF(AND(ISNUMBER(K84),ISNUMBER(I84)),IF(I84&gt;0,K84/I84,""),"")</f>
        <v>0.962686567164179</v>
      </c>
      <c r="N84" s="4" t="s">
        <v>22</v>
      </c>
      <c r="O84" s="6" t="s">
        <v>23</v>
      </c>
      <c r="P84" s="4" t="s">
        <v>282</v>
      </c>
    </row>
    <row r="85" customFormat="false" ht="23.85" hidden="false" customHeight="false" outlineLevel="0" collapsed="false">
      <c r="A85" s="2" t="n">
        <v>84</v>
      </c>
      <c r="B85" s="3" t="s">
        <v>283</v>
      </c>
      <c r="C85" s="3" t="s">
        <v>17</v>
      </c>
      <c r="D85" s="4" t="s">
        <v>261</v>
      </c>
      <c r="E85" s="4" t="s">
        <v>284</v>
      </c>
      <c r="F85" s="3" t="s">
        <v>54</v>
      </c>
      <c r="G85" s="4" t="s">
        <v>252</v>
      </c>
      <c r="H85" s="2"/>
      <c r="I85" s="2"/>
      <c r="J85" s="2" t="n">
        <v>79</v>
      </c>
      <c r="K85" s="2" t="n">
        <v>116</v>
      </c>
      <c r="L85" s="5" t="str">
        <f aca="false">IF(AND(ISNUMBER(J85),ISNUMBER(H85)),IF(H85&gt;0,J85/H85,""),"")</f>
        <v/>
      </c>
      <c r="M85" s="5" t="str">
        <f aca="false">IF(AND(ISNUMBER(K85),ISNUMBER(I85)),IF(I85&gt;0,K85/I85,""),"")</f>
        <v/>
      </c>
      <c r="N85" s="4" t="s">
        <v>28</v>
      </c>
      <c r="O85" s="6" t="s">
        <v>23</v>
      </c>
      <c r="P85" s="4" t="s">
        <v>285</v>
      </c>
    </row>
    <row r="86" customFormat="false" ht="15" hidden="false" customHeight="false" outlineLevel="0" collapsed="false">
      <c r="A86" s="2" t="n">
        <v>85</v>
      </c>
      <c r="B86" s="3" t="s">
        <v>286</v>
      </c>
      <c r="C86" s="3" t="s">
        <v>17</v>
      </c>
      <c r="D86" s="4" t="s">
        <v>261</v>
      </c>
      <c r="E86" s="4" t="s">
        <v>287</v>
      </c>
      <c r="F86" s="3" t="s">
        <v>54</v>
      </c>
      <c r="G86" s="4" t="s">
        <v>252</v>
      </c>
      <c r="H86" s="2"/>
      <c r="I86" s="2"/>
      <c r="J86" s="2" t="n">
        <v>79</v>
      </c>
      <c r="K86" s="2" t="n">
        <v>112</v>
      </c>
      <c r="L86" s="5" t="str">
        <f aca="false">IF(AND(ISNUMBER(J86),ISNUMBER(H86)),IF(H86&gt;0,J86/H86,""),"")</f>
        <v/>
      </c>
      <c r="M86" s="5" t="str">
        <f aca="false">IF(AND(ISNUMBER(K86),ISNUMBER(I86)),IF(I86&gt;0,K86/I86,""),"")</f>
        <v/>
      </c>
      <c r="N86" s="4" t="s">
        <v>28</v>
      </c>
      <c r="O86" s="6" t="s">
        <v>23</v>
      </c>
      <c r="P86" s="4" t="s">
        <v>288</v>
      </c>
    </row>
    <row r="87" customFormat="false" ht="15" hidden="false" customHeight="false" outlineLevel="0" collapsed="false">
      <c r="A87" s="2" t="n">
        <v>86</v>
      </c>
      <c r="B87" s="3" t="s">
        <v>289</v>
      </c>
      <c r="C87" s="3" t="s">
        <v>17</v>
      </c>
      <c r="D87" s="4" t="s">
        <v>261</v>
      </c>
      <c r="E87" s="4" t="s">
        <v>290</v>
      </c>
      <c r="F87" s="3" t="s">
        <v>54</v>
      </c>
      <c r="G87" s="4" t="s">
        <v>252</v>
      </c>
      <c r="H87" s="2"/>
      <c r="I87" s="2"/>
      <c r="J87" s="2" t="s">
        <v>144</v>
      </c>
      <c r="K87" s="2" t="n">
        <v>25</v>
      </c>
      <c r="L87" s="5" t="str">
        <f aca="false">IF(AND(ISNUMBER(J87),ISNUMBER(H87)),IF(H87&gt;0,J87/H87,""),"")</f>
        <v/>
      </c>
      <c r="M87" s="5" t="str">
        <f aca="false">IF(AND(ISNUMBER(K87),ISNUMBER(I87)),IF(I87&gt;0,K87/I87,""),"")</f>
        <v/>
      </c>
      <c r="N87" s="4" t="s">
        <v>28</v>
      </c>
      <c r="O87" s="7" t="s">
        <v>41</v>
      </c>
      <c r="P87" s="4" t="s">
        <v>291</v>
      </c>
    </row>
    <row r="88" customFormat="false" ht="15" hidden="false" customHeight="false" outlineLevel="0" collapsed="false">
      <c r="A88" s="2" t="n">
        <v>87</v>
      </c>
      <c r="B88" s="3" t="s">
        <v>292</v>
      </c>
      <c r="C88" s="3" t="s">
        <v>17</v>
      </c>
      <c r="D88" s="4" t="s">
        <v>261</v>
      </c>
      <c r="E88" s="4" t="s">
        <v>293</v>
      </c>
      <c r="F88" s="3" t="s">
        <v>54</v>
      </c>
      <c r="G88" s="4" t="s">
        <v>252</v>
      </c>
      <c r="H88" s="2"/>
      <c r="I88" s="2"/>
      <c r="J88" s="2" t="s">
        <v>144</v>
      </c>
      <c r="K88" s="2" t="n">
        <v>20</v>
      </c>
      <c r="L88" s="5" t="str">
        <f aca="false">IF(AND(ISNUMBER(J88),ISNUMBER(H88)),IF(H88&gt;0,J88/H88,""),"")</f>
        <v/>
      </c>
      <c r="M88" s="5" t="str">
        <f aca="false">IF(AND(ISNUMBER(K88),ISNUMBER(I88)),IF(I88&gt;0,K88/I88,""),"")</f>
        <v/>
      </c>
      <c r="N88" s="4" t="s">
        <v>28</v>
      </c>
      <c r="O88" s="7" t="s">
        <v>41</v>
      </c>
      <c r="P88" s="4" t="s">
        <v>294</v>
      </c>
    </row>
    <row r="89" customFormat="false" ht="23.85" hidden="false" customHeight="false" outlineLevel="0" collapsed="false">
      <c r="A89" s="2" t="n">
        <v>88</v>
      </c>
      <c r="B89" s="3" t="s">
        <v>295</v>
      </c>
      <c r="C89" s="3" t="s">
        <v>17</v>
      </c>
      <c r="D89" s="4" t="s">
        <v>296</v>
      </c>
      <c r="E89" s="4" t="s">
        <v>297</v>
      </c>
      <c r="F89" s="3" t="s">
        <v>54</v>
      </c>
      <c r="G89" s="4" t="s">
        <v>21</v>
      </c>
      <c r="H89" s="2" t="n">
        <v>257</v>
      </c>
      <c r="I89" s="2" t="n">
        <v>134</v>
      </c>
      <c r="J89" s="2" t="s">
        <v>144</v>
      </c>
      <c r="K89" s="2" t="s">
        <v>144</v>
      </c>
      <c r="L89" s="5" t="str">
        <f aca="false">IF(AND(ISNUMBER(J89),ISNUMBER(H89)),IF(H89&gt;0,J89/H89,""),"")</f>
        <v/>
      </c>
      <c r="M89" s="5" t="str">
        <f aca="false">IF(AND(ISNUMBER(K89),ISNUMBER(I89)),IF(I89&gt;0,K89/I89,""),"")</f>
        <v/>
      </c>
      <c r="N89" s="4" t="s">
        <v>298</v>
      </c>
      <c r="O89" s="9" t="s">
        <v>67</v>
      </c>
      <c r="P89" s="4" t="s">
        <v>299</v>
      </c>
    </row>
    <row r="90" customFormat="false" ht="15" hidden="false" customHeight="false" outlineLevel="0" collapsed="false">
      <c r="A90" s="2" t="n">
        <v>89</v>
      </c>
      <c r="B90" s="3" t="s">
        <v>300</v>
      </c>
      <c r="C90" s="3" t="s">
        <v>17</v>
      </c>
      <c r="D90" s="4" t="s">
        <v>296</v>
      </c>
      <c r="E90" s="4" t="s">
        <v>301</v>
      </c>
      <c r="F90" s="3" t="s">
        <v>54</v>
      </c>
      <c r="G90" s="4" t="s">
        <v>302</v>
      </c>
      <c r="H90" s="2" t="s">
        <v>144</v>
      </c>
      <c r="I90" s="2" t="n">
        <v>116</v>
      </c>
      <c r="J90" s="2" t="s">
        <v>144</v>
      </c>
      <c r="K90" s="2" t="n">
        <v>105</v>
      </c>
      <c r="L90" s="5" t="str">
        <f aca="false">IF(AND(ISNUMBER(J90),ISNUMBER(H90)),IF(H90&gt;0,J90/H90,""),"")</f>
        <v/>
      </c>
      <c r="M90" s="5" t="n">
        <f aca="false">IF(AND(ISNUMBER(K90),ISNUMBER(I90)),IF(I90&gt;0,K90/I90,""),"")</f>
        <v>0.905172413793103</v>
      </c>
      <c r="N90" s="4" t="s">
        <v>22</v>
      </c>
      <c r="O90" s="6" t="s">
        <v>23</v>
      </c>
      <c r="P90" s="4" t="s">
        <v>303</v>
      </c>
    </row>
    <row r="91" customFormat="false" ht="15" hidden="false" customHeight="false" outlineLevel="0" collapsed="false">
      <c r="A91" s="2" t="n">
        <v>90</v>
      </c>
      <c r="B91" s="3" t="s">
        <v>304</v>
      </c>
      <c r="C91" s="3" t="s">
        <v>17</v>
      </c>
      <c r="D91" s="4" t="s">
        <v>296</v>
      </c>
      <c r="E91" s="4" t="s">
        <v>305</v>
      </c>
      <c r="F91" s="3" t="s">
        <v>54</v>
      </c>
      <c r="G91" s="4" t="s">
        <v>21</v>
      </c>
      <c r="H91" s="2" t="n">
        <v>257</v>
      </c>
      <c r="I91" s="2" t="n">
        <v>134</v>
      </c>
      <c r="J91" s="2" t="n">
        <v>248</v>
      </c>
      <c r="K91" s="2" t="n">
        <v>64</v>
      </c>
      <c r="L91" s="5" t="n">
        <f aca="false">IF(AND(ISNUMBER(J91),ISNUMBER(H91)),IF(H91&gt;0,J91/H91,""),"")</f>
        <v>0.964980544747082</v>
      </c>
      <c r="M91" s="5" t="n">
        <f aca="false">IF(AND(ISNUMBER(K91),ISNUMBER(I91)),IF(I91&gt;0,K91/I91,""),"")</f>
        <v>0.477611940298507</v>
      </c>
      <c r="N91" s="4" t="s">
        <v>22</v>
      </c>
      <c r="O91" s="7" t="s">
        <v>41</v>
      </c>
      <c r="P91" s="4" t="s">
        <v>306</v>
      </c>
    </row>
    <row r="92" customFormat="false" ht="15" hidden="false" customHeight="false" outlineLevel="0" collapsed="false">
      <c r="A92" s="2" t="n">
        <v>91</v>
      </c>
      <c r="B92" s="3" t="s">
        <v>307</v>
      </c>
      <c r="C92" s="3" t="s">
        <v>17</v>
      </c>
      <c r="D92" s="4" t="s">
        <v>296</v>
      </c>
      <c r="E92" s="4" t="s">
        <v>308</v>
      </c>
      <c r="F92" s="3" t="s">
        <v>54</v>
      </c>
      <c r="G92" s="4" t="s">
        <v>21</v>
      </c>
      <c r="H92" s="2" t="n">
        <v>257</v>
      </c>
      <c r="I92" s="2" t="n">
        <v>134</v>
      </c>
      <c r="J92" s="2" t="n">
        <v>221</v>
      </c>
      <c r="K92" s="2" t="n">
        <v>106</v>
      </c>
      <c r="L92" s="5" t="n">
        <f aca="false">IF(AND(ISNUMBER(J92),ISNUMBER(H92)),IF(H92&gt;0,J92/H92,""),"")</f>
        <v>0.859922178988327</v>
      </c>
      <c r="M92" s="5" t="n">
        <f aca="false">IF(AND(ISNUMBER(K92),ISNUMBER(I92)),IF(I92&gt;0,K92/I92,""),"")</f>
        <v>0.791044776119403</v>
      </c>
      <c r="N92" s="4" t="s">
        <v>22</v>
      </c>
      <c r="O92" s="7" t="s">
        <v>41</v>
      </c>
      <c r="P92" s="4" t="s">
        <v>309</v>
      </c>
    </row>
    <row r="93" customFormat="false" ht="35.05" hidden="false" customHeight="false" outlineLevel="0" collapsed="false">
      <c r="A93" s="2" t="n">
        <v>92</v>
      </c>
      <c r="B93" s="3" t="s">
        <v>310</v>
      </c>
      <c r="C93" s="3" t="s">
        <v>17</v>
      </c>
      <c r="D93" s="4" t="s">
        <v>296</v>
      </c>
      <c r="E93" s="4" t="s">
        <v>311</v>
      </c>
      <c r="F93" s="3" t="s">
        <v>54</v>
      </c>
      <c r="G93" s="4" t="s">
        <v>21</v>
      </c>
      <c r="H93" s="2" t="n">
        <v>257</v>
      </c>
      <c r="I93" s="2" t="n">
        <v>134</v>
      </c>
      <c r="J93" s="2" t="s">
        <v>312</v>
      </c>
      <c r="K93" s="2" t="s">
        <v>312</v>
      </c>
      <c r="L93" s="5" t="str">
        <f aca="false">IF(AND(ISNUMBER(J93),ISNUMBER(H93)),IF(H93&gt;0,J93/H93,""),"")</f>
        <v/>
      </c>
      <c r="M93" s="5" t="str">
        <f aca="false">IF(AND(ISNUMBER(K93),ISNUMBER(I93)),IF(I93&gt;0,K93/I93,""),"")</f>
        <v/>
      </c>
      <c r="N93" s="4" t="s">
        <v>298</v>
      </c>
      <c r="O93" s="9" t="s">
        <v>67</v>
      </c>
      <c r="P93" s="4" t="s">
        <v>313</v>
      </c>
    </row>
    <row r="94" customFormat="false" ht="35.05" hidden="false" customHeight="false" outlineLevel="0" collapsed="false">
      <c r="A94" s="2" t="n">
        <v>93</v>
      </c>
      <c r="B94" s="3" t="s">
        <v>314</v>
      </c>
      <c r="C94" s="3" t="s">
        <v>17</v>
      </c>
      <c r="D94" s="4" t="s">
        <v>296</v>
      </c>
      <c r="E94" s="4" t="s">
        <v>315</v>
      </c>
      <c r="F94" s="3" t="s">
        <v>54</v>
      </c>
      <c r="G94" s="4" t="s">
        <v>21</v>
      </c>
      <c r="H94" s="2" t="n">
        <v>257</v>
      </c>
      <c r="I94" s="2" t="n">
        <v>134</v>
      </c>
      <c r="J94" s="2" t="s">
        <v>312</v>
      </c>
      <c r="K94" s="2" t="s">
        <v>312</v>
      </c>
      <c r="L94" s="5" t="str">
        <f aca="false">IF(AND(ISNUMBER(J94),ISNUMBER(H94)),IF(H94&gt;0,J94/H94,""),"")</f>
        <v/>
      </c>
      <c r="M94" s="5" t="str">
        <f aca="false">IF(AND(ISNUMBER(K94),ISNUMBER(I94)),IF(I94&gt;0,K94/I94,""),"")</f>
        <v/>
      </c>
      <c r="N94" s="4" t="s">
        <v>298</v>
      </c>
      <c r="O94" s="9" t="s">
        <v>67</v>
      </c>
      <c r="P94" s="4" t="s">
        <v>316</v>
      </c>
    </row>
    <row r="95" customFormat="false" ht="23.85" hidden="false" customHeight="false" outlineLevel="0" collapsed="false">
      <c r="A95" s="2" t="n">
        <v>94</v>
      </c>
      <c r="B95" s="3" t="s">
        <v>317</v>
      </c>
      <c r="C95" s="3" t="s">
        <v>17</v>
      </c>
      <c r="D95" s="4" t="s">
        <v>296</v>
      </c>
      <c r="E95" s="4" t="s">
        <v>318</v>
      </c>
      <c r="F95" s="3" t="s">
        <v>54</v>
      </c>
      <c r="G95" s="4" t="s">
        <v>21</v>
      </c>
      <c r="H95" s="2" t="n">
        <v>257</v>
      </c>
      <c r="I95" s="2" t="n">
        <v>134</v>
      </c>
      <c r="J95" s="2" t="n">
        <v>33</v>
      </c>
      <c r="K95" s="2" t="s">
        <v>144</v>
      </c>
      <c r="L95" s="5" t="n">
        <f aca="false">IF(AND(ISNUMBER(J95),ISNUMBER(H95)),IF(H95&gt;0,J95/H95,""),"")</f>
        <v>0.1284046692607</v>
      </c>
      <c r="M95" s="5" t="str">
        <f aca="false">IF(AND(ISNUMBER(K95),ISNUMBER(I95)),IF(I95&gt;0,K95/I95,""),"")</f>
        <v/>
      </c>
      <c r="N95" s="4" t="s">
        <v>298</v>
      </c>
      <c r="O95" s="9" t="s">
        <v>67</v>
      </c>
      <c r="P95" s="4" t="s">
        <v>319</v>
      </c>
    </row>
    <row r="96" customFormat="false" ht="23.85" hidden="false" customHeight="false" outlineLevel="0" collapsed="false">
      <c r="A96" s="2" t="n">
        <v>95</v>
      </c>
      <c r="B96" s="3" t="s">
        <v>320</v>
      </c>
      <c r="C96" s="3" t="s">
        <v>17</v>
      </c>
      <c r="D96" s="4" t="s">
        <v>296</v>
      </c>
      <c r="E96" s="4" t="s">
        <v>321</v>
      </c>
      <c r="F96" s="3" t="s">
        <v>54</v>
      </c>
      <c r="G96" s="4" t="s">
        <v>21</v>
      </c>
      <c r="H96" s="2" t="n">
        <v>257</v>
      </c>
      <c r="I96" s="2" t="n">
        <v>134</v>
      </c>
      <c r="J96" s="2" t="s">
        <v>144</v>
      </c>
      <c r="K96" s="2" t="n">
        <v>10</v>
      </c>
      <c r="L96" s="5" t="str">
        <f aca="false">IF(AND(ISNUMBER(J96),ISNUMBER(H96)),IF(H96&gt;0,J96/H96,""),"")</f>
        <v/>
      </c>
      <c r="M96" s="5" t="n">
        <f aca="false">IF(AND(ISNUMBER(K96),ISNUMBER(I96)),IF(I96&gt;0,K96/I96,""),"")</f>
        <v>0.0746268656716418</v>
      </c>
      <c r="N96" s="4" t="s">
        <v>298</v>
      </c>
      <c r="O96" s="9" t="s">
        <v>67</v>
      </c>
      <c r="P96" s="4" t="s">
        <v>322</v>
      </c>
    </row>
    <row r="97" customFormat="false" ht="23.85" hidden="false" customHeight="false" outlineLevel="0" collapsed="false">
      <c r="A97" s="2" t="n">
        <v>96</v>
      </c>
      <c r="B97" s="3" t="s">
        <v>323</v>
      </c>
      <c r="C97" s="3" t="s">
        <v>17</v>
      </c>
      <c r="D97" s="4" t="s">
        <v>296</v>
      </c>
      <c r="E97" s="4" t="s">
        <v>324</v>
      </c>
      <c r="F97" s="3" t="s">
        <v>54</v>
      </c>
      <c r="G97" s="4" t="s">
        <v>21</v>
      </c>
      <c r="H97" s="2" t="n">
        <v>257</v>
      </c>
      <c r="I97" s="2" t="n">
        <v>134</v>
      </c>
      <c r="J97" s="2" t="n">
        <v>247</v>
      </c>
      <c r="K97" s="2" t="n">
        <v>90</v>
      </c>
      <c r="L97" s="5" t="n">
        <f aca="false">IF(AND(ISNUMBER(J97),ISNUMBER(H97)),IF(H97&gt;0,J97/H97,""),"")</f>
        <v>0.961089494163424</v>
      </c>
      <c r="M97" s="5" t="n">
        <f aca="false">IF(AND(ISNUMBER(K97),ISNUMBER(I97)),IF(I97&gt;0,K97/I97,""),"")</f>
        <v>0.671641791044776</v>
      </c>
      <c r="N97" s="4" t="s">
        <v>298</v>
      </c>
      <c r="O97" s="7" t="s">
        <v>41</v>
      </c>
      <c r="P97" s="4" t="s">
        <v>325</v>
      </c>
    </row>
    <row r="98" customFormat="false" ht="23.85" hidden="false" customHeight="false" outlineLevel="0" collapsed="false">
      <c r="A98" s="2" t="n">
        <v>97</v>
      </c>
      <c r="B98" s="3" t="s">
        <v>326</v>
      </c>
      <c r="C98" s="3" t="s">
        <v>17</v>
      </c>
      <c r="D98" s="4" t="s">
        <v>296</v>
      </c>
      <c r="E98" s="4" t="s">
        <v>327</v>
      </c>
      <c r="F98" s="3" t="s">
        <v>54</v>
      </c>
      <c r="G98" s="4" t="s">
        <v>21</v>
      </c>
      <c r="H98" s="2" t="n">
        <v>257</v>
      </c>
      <c r="I98" s="2" t="n">
        <v>134</v>
      </c>
      <c r="J98" s="2" t="s">
        <v>144</v>
      </c>
      <c r="K98" s="2" t="n">
        <v>115</v>
      </c>
      <c r="L98" s="5" t="str">
        <f aca="false">IF(AND(ISNUMBER(J98),ISNUMBER(H98)),IF(H98&gt;0,J98/H98,""),"")</f>
        <v/>
      </c>
      <c r="M98" s="5" t="n">
        <f aca="false">IF(AND(ISNUMBER(K98),ISNUMBER(I98)),IF(I98&gt;0,K98/I98,""),"")</f>
        <v>0.858208955223881</v>
      </c>
      <c r="N98" s="4" t="s">
        <v>298</v>
      </c>
      <c r="O98" s="7" t="s">
        <v>41</v>
      </c>
      <c r="P98" s="4" t="s">
        <v>328</v>
      </c>
    </row>
    <row r="99" customFormat="false" ht="23.85" hidden="false" customHeight="false" outlineLevel="0" collapsed="false">
      <c r="A99" s="2" t="n">
        <v>98</v>
      </c>
      <c r="B99" s="3" t="s">
        <v>329</v>
      </c>
      <c r="C99" s="3" t="s">
        <v>17</v>
      </c>
      <c r="D99" s="4" t="s">
        <v>296</v>
      </c>
      <c r="E99" s="4" t="s">
        <v>330</v>
      </c>
      <c r="F99" s="3" t="s">
        <v>54</v>
      </c>
      <c r="G99" s="4" t="s">
        <v>21</v>
      </c>
      <c r="H99" s="2" t="n">
        <v>257</v>
      </c>
      <c r="I99" s="2" t="n">
        <v>134</v>
      </c>
      <c r="J99" s="2" t="n">
        <v>237</v>
      </c>
      <c r="K99" s="2" t="n">
        <v>65</v>
      </c>
      <c r="L99" s="5" t="n">
        <f aca="false">IF(AND(ISNUMBER(J99),ISNUMBER(H99)),IF(H99&gt;0,J99/H99,""),"")</f>
        <v>0.922178988326848</v>
      </c>
      <c r="M99" s="5" t="n">
        <f aca="false">IF(AND(ISNUMBER(K99),ISNUMBER(I99)),IF(I99&gt;0,K99/I99,""),"")</f>
        <v>0.485074626865672</v>
      </c>
      <c r="N99" s="4" t="s">
        <v>298</v>
      </c>
      <c r="O99" s="7" t="s">
        <v>41</v>
      </c>
      <c r="P99" s="4" t="s">
        <v>331</v>
      </c>
    </row>
    <row r="100" customFormat="false" ht="23.85" hidden="false" customHeight="false" outlineLevel="0" collapsed="false">
      <c r="A100" s="2" t="n">
        <v>99</v>
      </c>
      <c r="B100" s="3" t="s">
        <v>332</v>
      </c>
      <c r="C100" s="3" t="s">
        <v>17</v>
      </c>
      <c r="D100" s="4" t="s">
        <v>296</v>
      </c>
      <c r="E100" s="4" t="s">
        <v>333</v>
      </c>
      <c r="F100" s="3" t="s">
        <v>54</v>
      </c>
      <c r="G100" s="4" t="s">
        <v>21</v>
      </c>
      <c r="H100" s="2" t="n">
        <v>257</v>
      </c>
      <c r="I100" s="2" t="n">
        <v>134</v>
      </c>
      <c r="J100" s="2" t="s">
        <v>144</v>
      </c>
      <c r="K100" s="2" t="n">
        <v>101</v>
      </c>
      <c r="L100" s="5" t="str">
        <f aca="false">IF(AND(ISNUMBER(J100),ISNUMBER(H100)),IF(H100&gt;0,J100/H100,""),"")</f>
        <v/>
      </c>
      <c r="M100" s="5" t="n">
        <f aca="false">IF(AND(ISNUMBER(K100),ISNUMBER(I100)),IF(I100&gt;0,K100/I100,""),"")</f>
        <v>0.753731343283582</v>
      </c>
      <c r="N100" s="4" t="s">
        <v>298</v>
      </c>
      <c r="O100" s="7" t="s">
        <v>41</v>
      </c>
      <c r="P100" s="4" t="s">
        <v>334</v>
      </c>
    </row>
    <row r="101" customFormat="false" ht="23.85" hidden="false" customHeight="false" outlineLevel="0" collapsed="false">
      <c r="A101" s="2" t="n">
        <v>100</v>
      </c>
      <c r="B101" s="3" t="s">
        <v>335</v>
      </c>
      <c r="C101" s="3" t="s">
        <v>17</v>
      </c>
      <c r="D101" s="4" t="s">
        <v>296</v>
      </c>
      <c r="E101" s="4" t="s">
        <v>336</v>
      </c>
      <c r="F101" s="3" t="s">
        <v>54</v>
      </c>
      <c r="G101" s="4" t="s">
        <v>21</v>
      </c>
      <c r="H101" s="2" t="n">
        <v>257</v>
      </c>
      <c r="I101" s="2" t="n">
        <v>134</v>
      </c>
      <c r="J101" s="2" t="n">
        <v>15</v>
      </c>
      <c r="K101" s="2" t="s">
        <v>144</v>
      </c>
      <c r="L101" s="5" t="n">
        <f aca="false">IF(AND(ISNUMBER(J101),ISNUMBER(H101)),IF(H101&gt;0,J101/H101,""),"")</f>
        <v>0.0583657587548638</v>
      </c>
      <c r="M101" s="5" t="str">
        <f aca="false">IF(AND(ISNUMBER(K101),ISNUMBER(I101)),IF(I101&gt;0,K101/I101,""),"")</f>
        <v/>
      </c>
      <c r="N101" s="4" t="s">
        <v>298</v>
      </c>
      <c r="O101" s="9" t="s">
        <v>67</v>
      </c>
      <c r="P101" s="4" t="s">
        <v>337</v>
      </c>
    </row>
    <row r="102" customFormat="false" ht="23.85" hidden="false" customHeight="false" outlineLevel="0" collapsed="false">
      <c r="A102" s="2" t="n">
        <v>101</v>
      </c>
      <c r="B102" s="3" t="s">
        <v>338</v>
      </c>
      <c r="C102" s="3" t="s">
        <v>17</v>
      </c>
      <c r="D102" s="4" t="s">
        <v>296</v>
      </c>
      <c r="E102" s="4" t="s">
        <v>339</v>
      </c>
      <c r="F102" s="3" t="s">
        <v>54</v>
      </c>
      <c r="G102" s="4" t="s">
        <v>21</v>
      </c>
      <c r="H102" s="2" t="n">
        <v>257</v>
      </c>
      <c r="I102" s="2" t="n">
        <v>134</v>
      </c>
      <c r="J102" s="2" t="n">
        <v>177</v>
      </c>
      <c r="K102" s="2" t="n">
        <v>113</v>
      </c>
      <c r="L102" s="5" t="n">
        <f aca="false">IF(AND(ISNUMBER(J102),ISNUMBER(H102)),IF(H102&gt;0,J102/H102,""),"")</f>
        <v>0.688715953307393</v>
      </c>
      <c r="M102" s="5" t="n">
        <f aca="false">IF(AND(ISNUMBER(K102),ISNUMBER(I102)),IF(I102&gt;0,K102/I102,""),"")</f>
        <v>0.843283582089552</v>
      </c>
      <c r="N102" s="4" t="s">
        <v>298</v>
      </c>
      <c r="O102" s="7" t="s">
        <v>41</v>
      </c>
      <c r="P102" s="4" t="s">
        <v>340</v>
      </c>
    </row>
    <row r="103" customFormat="false" ht="23.85" hidden="false" customHeight="false" outlineLevel="0" collapsed="false">
      <c r="A103" s="2" t="n">
        <v>102</v>
      </c>
      <c r="B103" s="3" t="s">
        <v>341</v>
      </c>
      <c r="C103" s="3" t="s">
        <v>17</v>
      </c>
      <c r="D103" s="4" t="s">
        <v>296</v>
      </c>
      <c r="E103" s="4" t="s">
        <v>342</v>
      </c>
      <c r="F103" s="3" t="s">
        <v>54</v>
      </c>
      <c r="G103" s="4" t="s">
        <v>21</v>
      </c>
      <c r="H103" s="2" t="n">
        <v>257</v>
      </c>
      <c r="I103" s="2" t="n">
        <v>134</v>
      </c>
      <c r="J103" s="2" t="n">
        <v>64</v>
      </c>
      <c r="K103" s="2" t="n">
        <v>12</v>
      </c>
      <c r="L103" s="5" t="n">
        <f aca="false">IF(AND(ISNUMBER(J103),ISNUMBER(H103)),IF(H103&gt;0,J103/H103,""),"")</f>
        <v>0.249027237354086</v>
      </c>
      <c r="M103" s="5" t="n">
        <f aca="false">IF(AND(ISNUMBER(K103),ISNUMBER(I103)),IF(I103&gt;0,K103/I103,""),"")</f>
        <v>0.0895522388059701</v>
      </c>
      <c r="N103" s="4" t="s">
        <v>298</v>
      </c>
      <c r="O103" s="9" t="s">
        <v>67</v>
      </c>
      <c r="P103" s="4" t="s">
        <v>343</v>
      </c>
    </row>
    <row r="104" customFormat="false" ht="23.85" hidden="false" customHeight="false" outlineLevel="0" collapsed="false">
      <c r="A104" s="2" t="n">
        <v>103</v>
      </c>
      <c r="B104" s="3" t="s">
        <v>344</v>
      </c>
      <c r="C104" s="3" t="s">
        <v>17</v>
      </c>
      <c r="D104" s="4" t="s">
        <v>296</v>
      </c>
      <c r="E104" s="4" t="s">
        <v>345</v>
      </c>
      <c r="F104" s="3" t="s">
        <v>54</v>
      </c>
      <c r="G104" s="4" t="s">
        <v>21</v>
      </c>
      <c r="H104" s="2" t="n">
        <v>257</v>
      </c>
      <c r="I104" s="2" t="n">
        <v>134</v>
      </c>
      <c r="J104" s="2" t="n">
        <v>36</v>
      </c>
      <c r="K104" s="2" t="n">
        <v>44</v>
      </c>
      <c r="L104" s="5" t="n">
        <f aca="false">IF(AND(ISNUMBER(J104),ISNUMBER(H104)),IF(H104&gt;0,J104/H104,""),"")</f>
        <v>0.140077821011673</v>
      </c>
      <c r="M104" s="5" t="n">
        <f aca="false">IF(AND(ISNUMBER(K104),ISNUMBER(I104)),IF(I104&gt;0,K104/I104,""),"")</f>
        <v>0.328358208955224</v>
      </c>
      <c r="N104" s="4" t="s">
        <v>298</v>
      </c>
      <c r="O104" s="9" t="s">
        <v>67</v>
      </c>
      <c r="P104" s="4" t="s">
        <v>346</v>
      </c>
    </row>
    <row r="105" customFormat="false" ht="23.85" hidden="false" customHeight="false" outlineLevel="0" collapsed="false">
      <c r="A105" s="2" t="n">
        <v>104</v>
      </c>
      <c r="B105" s="3" t="s">
        <v>347</v>
      </c>
      <c r="C105" s="3" t="s">
        <v>17</v>
      </c>
      <c r="D105" s="4" t="s">
        <v>296</v>
      </c>
      <c r="E105" s="4" t="s">
        <v>348</v>
      </c>
      <c r="F105" s="3" t="s">
        <v>54</v>
      </c>
      <c r="G105" s="4" t="s">
        <v>21</v>
      </c>
      <c r="H105" s="2" t="n">
        <v>257</v>
      </c>
      <c r="I105" s="2" t="n">
        <v>134</v>
      </c>
      <c r="J105" s="2" t="n">
        <v>22</v>
      </c>
      <c r="K105" s="2" t="s">
        <v>144</v>
      </c>
      <c r="L105" s="5" t="n">
        <f aca="false">IF(AND(ISNUMBER(J105),ISNUMBER(H105)),IF(H105&gt;0,J105/H105,""),"")</f>
        <v>0.0856031128404669</v>
      </c>
      <c r="M105" s="5" t="str">
        <f aca="false">IF(AND(ISNUMBER(K105),ISNUMBER(I105)),IF(I105&gt;0,K105/I105,""),"")</f>
        <v/>
      </c>
      <c r="N105" s="4" t="s">
        <v>298</v>
      </c>
      <c r="O105" s="9" t="s">
        <v>67</v>
      </c>
      <c r="P105" s="4" t="s">
        <v>349</v>
      </c>
    </row>
    <row r="106" customFormat="false" ht="23.85" hidden="false" customHeight="false" outlineLevel="0" collapsed="false">
      <c r="A106" s="2" t="n">
        <v>105</v>
      </c>
      <c r="B106" s="3" t="s">
        <v>350</v>
      </c>
      <c r="C106" s="3" t="s">
        <v>17</v>
      </c>
      <c r="D106" s="4" t="s">
        <v>296</v>
      </c>
      <c r="E106" s="4" t="s">
        <v>351</v>
      </c>
      <c r="F106" s="3" t="s">
        <v>54</v>
      </c>
      <c r="G106" s="4" t="s">
        <v>21</v>
      </c>
      <c r="H106" s="2" t="n">
        <v>257</v>
      </c>
      <c r="I106" s="2" t="n">
        <v>134</v>
      </c>
      <c r="J106" s="2" t="n">
        <v>24</v>
      </c>
      <c r="K106" s="2" t="n">
        <v>30</v>
      </c>
      <c r="L106" s="5" t="n">
        <f aca="false">IF(AND(ISNUMBER(J106),ISNUMBER(H106)),IF(H106&gt;0,J106/H106,""),"")</f>
        <v>0.0933852140077821</v>
      </c>
      <c r="M106" s="5" t="n">
        <f aca="false">IF(AND(ISNUMBER(K106),ISNUMBER(I106)),IF(I106&gt;0,K106/I106,""),"")</f>
        <v>0.223880597014925</v>
      </c>
      <c r="N106" s="4" t="s">
        <v>298</v>
      </c>
      <c r="O106" s="9" t="s">
        <v>67</v>
      </c>
      <c r="P106" s="4" t="s">
        <v>352</v>
      </c>
    </row>
    <row r="107" customFormat="false" ht="15" hidden="false" customHeight="false" outlineLevel="0" collapsed="false">
      <c r="A107" s="2" t="n">
        <v>106</v>
      </c>
      <c r="B107" s="3" t="s">
        <v>353</v>
      </c>
      <c r="C107" s="3" t="s">
        <v>17</v>
      </c>
      <c r="D107" s="4" t="s">
        <v>296</v>
      </c>
      <c r="E107" s="4" t="s">
        <v>354</v>
      </c>
      <c r="F107" s="3" t="s">
        <v>54</v>
      </c>
      <c r="G107" s="4" t="s">
        <v>21</v>
      </c>
      <c r="H107" s="2" t="n">
        <v>257</v>
      </c>
      <c r="I107" s="2" t="n">
        <v>134</v>
      </c>
      <c r="J107" s="2" t="n">
        <v>252</v>
      </c>
      <c r="K107" s="2" t="n">
        <v>95</v>
      </c>
      <c r="L107" s="5" t="n">
        <f aca="false">IF(AND(ISNUMBER(J107),ISNUMBER(H107)),IF(H107&gt;0,J107/H107,""),"")</f>
        <v>0.980544747081712</v>
      </c>
      <c r="M107" s="5" t="n">
        <f aca="false">IF(AND(ISNUMBER(K107),ISNUMBER(I107)),IF(I107&gt;0,K107/I107,""),"")</f>
        <v>0.708955223880597</v>
      </c>
      <c r="N107" s="4" t="s">
        <v>22</v>
      </c>
      <c r="O107" s="7" t="s">
        <v>41</v>
      </c>
      <c r="P107" s="4" t="s">
        <v>355</v>
      </c>
    </row>
    <row r="108" customFormat="false" ht="23.85" hidden="false" customHeight="false" outlineLevel="0" collapsed="false">
      <c r="A108" s="2" t="n">
        <v>107</v>
      </c>
      <c r="B108" s="3" t="s">
        <v>356</v>
      </c>
      <c r="C108" s="3" t="s">
        <v>17</v>
      </c>
      <c r="D108" s="4" t="s">
        <v>296</v>
      </c>
      <c r="E108" s="4" t="s">
        <v>357</v>
      </c>
      <c r="F108" s="3" t="s">
        <v>54</v>
      </c>
      <c r="G108" s="4" t="s">
        <v>21</v>
      </c>
      <c r="H108" s="2" t="n">
        <v>257</v>
      </c>
      <c r="I108" s="2" t="n">
        <v>134</v>
      </c>
      <c r="J108" s="2" t="n">
        <v>239</v>
      </c>
      <c r="K108" s="2" t="n">
        <v>121</v>
      </c>
      <c r="L108" s="5" t="n">
        <f aca="false">IF(AND(ISNUMBER(J108),ISNUMBER(H108)),IF(H108&gt;0,J108/H108,""),"")</f>
        <v>0.929961089494164</v>
      </c>
      <c r="M108" s="5" t="n">
        <f aca="false">IF(AND(ISNUMBER(K108),ISNUMBER(I108)),IF(I108&gt;0,K108/I108,""),"")</f>
        <v>0.902985074626866</v>
      </c>
      <c r="N108" s="4" t="s">
        <v>22</v>
      </c>
      <c r="O108" s="7" t="s">
        <v>41</v>
      </c>
      <c r="P108" s="4" t="s">
        <v>358</v>
      </c>
    </row>
    <row r="109" customFormat="false" ht="15" hidden="false" customHeight="false" outlineLevel="0" collapsed="false">
      <c r="A109" s="2" t="n">
        <v>108</v>
      </c>
      <c r="B109" s="3" t="s">
        <v>359</v>
      </c>
      <c r="C109" s="3" t="s">
        <v>17</v>
      </c>
      <c r="D109" s="4" t="s">
        <v>234</v>
      </c>
      <c r="E109" s="4" t="s">
        <v>360</v>
      </c>
      <c r="F109" s="3" t="s">
        <v>361</v>
      </c>
      <c r="G109" s="4" t="s">
        <v>21</v>
      </c>
      <c r="H109" s="2" t="n">
        <v>257</v>
      </c>
      <c r="I109" s="2" t="n">
        <v>134</v>
      </c>
      <c r="J109" s="2" t="n">
        <v>257</v>
      </c>
      <c r="K109" s="2" t="n">
        <v>133</v>
      </c>
      <c r="L109" s="5" t="n">
        <f aca="false">IF(AND(ISNUMBER(J109),ISNUMBER(H109)),IF(H109&gt;0,J109/H109,""),"")</f>
        <v>1</v>
      </c>
      <c r="M109" s="5" t="n">
        <f aca="false">IF(AND(ISNUMBER(K109),ISNUMBER(I109)),IF(I109&gt;0,K109/I109,""),"")</f>
        <v>0.992537313432836</v>
      </c>
      <c r="N109" s="4" t="s">
        <v>22</v>
      </c>
      <c r="O109" s="7" t="s">
        <v>41</v>
      </c>
      <c r="P109" s="4" t="s">
        <v>362</v>
      </c>
    </row>
    <row r="110" customFormat="false" ht="15" hidden="false" customHeight="false" outlineLevel="0" collapsed="false">
      <c r="A110" s="2" t="n">
        <v>109</v>
      </c>
      <c r="B110" s="3" t="s">
        <v>363</v>
      </c>
      <c r="C110" s="3" t="s">
        <v>17</v>
      </c>
      <c r="D110" s="4" t="s">
        <v>234</v>
      </c>
      <c r="E110" s="4" t="s">
        <v>364</v>
      </c>
      <c r="F110" s="3" t="s">
        <v>361</v>
      </c>
      <c r="G110" s="4" t="s">
        <v>21</v>
      </c>
      <c r="H110" s="2" t="n">
        <v>257</v>
      </c>
      <c r="I110" s="2" t="n">
        <v>134</v>
      </c>
      <c r="J110" s="2" t="n">
        <v>257</v>
      </c>
      <c r="K110" s="2" t="n">
        <v>133</v>
      </c>
      <c r="L110" s="5" t="n">
        <f aca="false">IF(AND(ISNUMBER(J110),ISNUMBER(H110)),IF(H110&gt;0,J110/H110,""),"")</f>
        <v>1</v>
      </c>
      <c r="M110" s="5" t="n">
        <f aca="false">IF(AND(ISNUMBER(K110),ISNUMBER(I110)),IF(I110&gt;0,K110/I110,""),"")</f>
        <v>0.992537313432836</v>
      </c>
      <c r="N110" s="4" t="s">
        <v>22</v>
      </c>
      <c r="O110" s="7" t="s">
        <v>41</v>
      </c>
      <c r="P110" s="4" t="s">
        <v>362</v>
      </c>
    </row>
    <row r="111" customFormat="false" ht="15" hidden="false" customHeight="false" outlineLevel="0" collapsed="false">
      <c r="A111" s="2" t="n">
        <v>110</v>
      </c>
      <c r="B111" s="3" t="s">
        <v>365</v>
      </c>
      <c r="C111" s="3" t="s">
        <v>17</v>
      </c>
      <c r="D111" s="4" t="s">
        <v>234</v>
      </c>
      <c r="E111" s="4" t="s">
        <v>366</v>
      </c>
      <c r="F111" s="3" t="s">
        <v>54</v>
      </c>
      <c r="G111" s="4" t="s">
        <v>21</v>
      </c>
      <c r="H111" s="2" t="n">
        <v>257</v>
      </c>
      <c r="I111" s="2" t="n">
        <v>134</v>
      </c>
      <c r="J111" s="2" t="n">
        <v>257</v>
      </c>
      <c r="K111" s="2" t="n">
        <v>133</v>
      </c>
      <c r="L111" s="5" t="n">
        <f aca="false">IF(AND(ISNUMBER(J111),ISNUMBER(H111)),IF(H111&gt;0,J111/H111,""),"")</f>
        <v>1</v>
      </c>
      <c r="M111" s="5" t="n">
        <f aca="false">IF(AND(ISNUMBER(K111),ISNUMBER(I111)),IF(I111&gt;0,K111/I111,""),"")</f>
        <v>0.992537313432836</v>
      </c>
      <c r="N111" s="4" t="s">
        <v>22</v>
      </c>
      <c r="O111" s="6" t="s">
        <v>23</v>
      </c>
      <c r="P111" s="4" t="s">
        <v>181</v>
      </c>
    </row>
    <row r="112" customFormat="false" ht="15" hidden="false" customHeight="false" outlineLevel="0" collapsed="false">
      <c r="A112" s="2" t="n">
        <v>111</v>
      </c>
      <c r="B112" s="3" t="s">
        <v>367</v>
      </c>
      <c r="C112" s="3" t="s">
        <v>17</v>
      </c>
      <c r="D112" s="4" t="s">
        <v>234</v>
      </c>
      <c r="E112" s="4" t="s">
        <v>368</v>
      </c>
      <c r="F112" s="3" t="s">
        <v>54</v>
      </c>
      <c r="G112" s="4" t="s">
        <v>21</v>
      </c>
      <c r="H112" s="2" t="n">
        <v>257</v>
      </c>
      <c r="I112" s="2" t="n">
        <v>134</v>
      </c>
      <c r="J112" s="2" t="n">
        <v>257</v>
      </c>
      <c r="K112" s="2" t="n">
        <v>133</v>
      </c>
      <c r="L112" s="5" t="n">
        <f aca="false">IF(AND(ISNUMBER(J112),ISNUMBER(H112)),IF(H112&gt;0,J112/H112,""),"")</f>
        <v>1</v>
      </c>
      <c r="M112" s="5" t="n">
        <f aca="false">IF(AND(ISNUMBER(K112),ISNUMBER(I112)),IF(I112&gt;0,K112/I112,""),"")</f>
        <v>0.992537313432836</v>
      </c>
      <c r="N112" s="4" t="s">
        <v>22</v>
      </c>
      <c r="O112" s="6" t="s">
        <v>23</v>
      </c>
      <c r="P112" s="4" t="s">
        <v>181</v>
      </c>
    </row>
    <row r="113" customFormat="false" ht="15" hidden="false" customHeight="false" outlineLevel="0" collapsed="false">
      <c r="A113" s="2" t="n">
        <v>112</v>
      </c>
      <c r="B113" s="3" t="s">
        <v>369</v>
      </c>
      <c r="C113" s="3" t="s">
        <v>17</v>
      </c>
      <c r="D113" s="4" t="s">
        <v>234</v>
      </c>
      <c r="E113" s="4" t="s">
        <v>370</v>
      </c>
      <c r="F113" s="3" t="s">
        <v>361</v>
      </c>
      <c r="G113" s="4" t="s">
        <v>21</v>
      </c>
      <c r="H113" s="2" t="n">
        <v>257</v>
      </c>
      <c r="I113" s="2" t="n">
        <v>134</v>
      </c>
      <c r="J113" s="2" t="n">
        <v>257</v>
      </c>
      <c r="K113" s="2" t="n">
        <v>130</v>
      </c>
      <c r="L113" s="5" t="n">
        <f aca="false">IF(AND(ISNUMBER(J113),ISNUMBER(H113)),IF(H113&gt;0,J113/H113,""),"")</f>
        <v>1</v>
      </c>
      <c r="M113" s="5" t="n">
        <f aca="false">IF(AND(ISNUMBER(K113),ISNUMBER(I113)),IF(I113&gt;0,K113/I113,""),"")</f>
        <v>0.970149253731343</v>
      </c>
      <c r="N113" s="4" t="s">
        <v>22</v>
      </c>
      <c r="O113" s="7" t="s">
        <v>41</v>
      </c>
      <c r="P113" s="4" t="s">
        <v>362</v>
      </c>
    </row>
    <row r="114" customFormat="false" ht="15" hidden="false" customHeight="false" outlineLevel="0" collapsed="false">
      <c r="A114" s="2" t="n">
        <v>113</v>
      </c>
      <c r="B114" s="3" t="s">
        <v>371</v>
      </c>
      <c r="C114" s="3" t="s">
        <v>17</v>
      </c>
      <c r="D114" s="4" t="s">
        <v>234</v>
      </c>
      <c r="E114" s="4" t="s">
        <v>372</v>
      </c>
      <c r="F114" s="3" t="s">
        <v>361</v>
      </c>
      <c r="G114" s="4" t="s">
        <v>21</v>
      </c>
      <c r="H114" s="2" t="n">
        <v>257</v>
      </c>
      <c r="I114" s="2" t="n">
        <v>134</v>
      </c>
      <c r="J114" s="2" t="n">
        <v>256</v>
      </c>
      <c r="K114" s="2" t="n">
        <v>133</v>
      </c>
      <c r="L114" s="5" t="n">
        <f aca="false">IF(AND(ISNUMBER(J114),ISNUMBER(H114)),IF(H114&gt;0,J114/H114,""),"")</f>
        <v>0.996108949416342</v>
      </c>
      <c r="M114" s="5" t="n">
        <f aca="false">IF(AND(ISNUMBER(K114),ISNUMBER(I114)),IF(I114&gt;0,K114/I114,""),"")</f>
        <v>0.992537313432836</v>
      </c>
      <c r="N114" s="4" t="s">
        <v>22</v>
      </c>
      <c r="O114" s="7" t="s">
        <v>41</v>
      </c>
      <c r="P114" s="4" t="s">
        <v>362</v>
      </c>
    </row>
    <row r="115" customFormat="false" ht="15" hidden="false" customHeight="false" outlineLevel="0" collapsed="false">
      <c r="A115" s="2" t="n">
        <v>114</v>
      </c>
      <c r="B115" s="3" t="s">
        <v>373</v>
      </c>
      <c r="C115" s="3" t="s">
        <v>17</v>
      </c>
      <c r="D115" s="4" t="s">
        <v>234</v>
      </c>
      <c r="E115" s="4" t="s">
        <v>374</v>
      </c>
      <c r="F115" s="3" t="s">
        <v>361</v>
      </c>
      <c r="G115" s="4" t="s">
        <v>252</v>
      </c>
      <c r="H115" s="2"/>
      <c r="I115" s="2"/>
      <c r="J115" s="2" t="n">
        <v>216</v>
      </c>
      <c r="K115" s="2" t="n">
        <v>75</v>
      </c>
      <c r="L115" s="5" t="str">
        <f aca="false">IF(AND(ISNUMBER(J115),ISNUMBER(H115)),IF(H115&gt;0,J115/H115,""),"")</f>
        <v/>
      </c>
      <c r="M115" s="5" t="str">
        <f aca="false">IF(AND(ISNUMBER(K115),ISNUMBER(I115)),IF(I115&gt;0,K115/I115,""),"")</f>
        <v/>
      </c>
      <c r="N115" s="4" t="s">
        <v>28</v>
      </c>
      <c r="O115" s="7" t="s">
        <v>41</v>
      </c>
      <c r="P115" s="4" t="s">
        <v>375</v>
      </c>
    </row>
    <row r="116" customFormat="false" ht="23.85" hidden="false" customHeight="false" outlineLevel="0" collapsed="false">
      <c r="A116" s="2" t="n">
        <v>115</v>
      </c>
      <c r="B116" s="3" t="s">
        <v>376</v>
      </c>
      <c r="C116" s="3" t="s">
        <v>17</v>
      </c>
      <c r="D116" s="4" t="s">
        <v>234</v>
      </c>
      <c r="E116" s="4" t="s">
        <v>377</v>
      </c>
      <c r="F116" s="3" t="s">
        <v>361</v>
      </c>
      <c r="G116" s="4" t="s">
        <v>252</v>
      </c>
      <c r="H116" s="2"/>
      <c r="I116" s="2"/>
      <c r="J116" s="2" t="n">
        <v>64</v>
      </c>
      <c r="K116" s="2" t="n">
        <v>57</v>
      </c>
      <c r="L116" s="5" t="str">
        <f aca="false">IF(AND(ISNUMBER(J116),ISNUMBER(H116)),IF(H116&gt;0,J116/H116,""),"")</f>
        <v/>
      </c>
      <c r="M116" s="5" t="str">
        <f aca="false">IF(AND(ISNUMBER(K116),ISNUMBER(I116)),IF(I116&gt;0,K116/I116,""),"")</f>
        <v/>
      </c>
      <c r="N116" s="4" t="s">
        <v>28</v>
      </c>
      <c r="O116" s="7" t="s">
        <v>41</v>
      </c>
      <c r="P116" s="4" t="s">
        <v>378</v>
      </c>
    </row>
    <row r="117" customFormat="false" ht="15" hidden="false" customHeight="false" outlineLevel="0" collapsed="false">
      <c r="A117" s="2" t="n">
        <v>116</v>
      </c>
      <c r="B117" s="3" t="s">
        <v>379</v>
      </c>
      <c r="C117" s="3" t="s">
        <v>17</v>
      </c>
      <c r="D117" s="4" t="s">
        <v>234</v>
      </c>
      <c r="E117" s="4" t="s">
        <v>380</v>
      </c>
      <c r="F117" s="3" t="s">
        <v>40</v>
      </c>
      <c r="G117" s="4" t="s">
        <v>21</v>
      </c>
      <c r="H117" s="2" t="n">
        <v>257</v>
      </c>
      <c r="I117" s="2" t="n">
        <v>134</v>
      </c>
      <c r="J117" s="2" t="n">
        <v>247</v>
      </c>
      <c r="K117" s="2" t="n">
        <v>124</v>
      </c>
      <c r="L117" s="5" t="n">
        <f aca="false">IF(AND(ISNUMBER(J117),ISNUMBER(H117)),IF(H117&gt;0,J117/H117,""),"")</f>
        <v>0.961089494163424</v>
      </c>
      <c r="M117" s="5" t="n">
        <f aca="false">IF(AND(ISNUMBER(K117),ISNUMBER(I117)),IF(I117&gt;0,K117/I117,""),"")</f>
        <v>0.925373134328358</v>
      </c>
      <c r="N117" s="4" t="s">
        <v>22</v>
      </c>
      <c r="O117" s="7" t="s">
        <v>41</v>
      </c>
      <c r="P117" s="4" t="s">
        <v>381</v>
      </c>
    </row>
    <row r="118" customFormat="false" ht="23.85" hidden="false" customHeight="false" outlineLevel="0" collapsed="false">
      <c r="A118" s="2" t="n">
        <v>117</v>
      </c>
      <c r="B118" s="3" t="s">
        <v>382</v>
      </c>
      <c r="C118" s="3" t="s">
        <v>17</v>
      </c>
      <c r="D118" s="4" t="s">
        <v>234</v>
      </c>
      <c r="E118" s="4" t="s">
        <v>383</v>
      </c>
      <c r="F118" s="3" t="s">
        <v>40</v>
      </c>
      <c r="G118" s="4" t="s">
        <v>21</v>
      </c>
      <c r="H118" s="2" t="n">
        <v>257</v>
      </c>
      <c r="I118" s="2" t="n">
        <v>134</v>
      </c>
      <c r="J118" s="2" t="n">
        <v>243</v>
      </c>
      <c r="K118" s="2" t="n">
        <v>116</v>
      </c>
      <c r="L118" s="5" t="n">
        <f aca="false">IF(AND(ISNUMBER(J118),ISNUMBER(H118)),IF(H118&gt;0,J118/H118,""),"")</f>
        <v>0.945525291828794</v>
      </c>
      <c r="M118" s="5" t="n">
        <f aca="false">IF(AND(ISNUMBER(K118),ISNUMBER(I118)),IF(I118&gt;0,K118/I118,""),"")</f>
        <v>0.865671641791045</v>
      </c>
      <c r="N118" s="4" t="s">
        <v>22</v>
      </c>
      <c r="O118" s="7" t="s">
        <v>41</v>
      </c>
      <c r="P118" s="4" t="s">
        <v>384</v>
      </c>
    </row>
    <row r="119" customFormat="false" ht="15" hidden="false" customHeight="false" outlineLevel="0" collapsed="false">
      <c r="A119" s="2" t="n">
        <v>118</v>
      </c>
      <c r="B119" s="3" t="s">
        <v>385</v>
      </c>
      <c r="C119" s="3" t="s">
        <v>17</v>
      </c>
      <c r="D119" s="4" t="s">
        <v>386</v>
      </c>
      <c r="E119" s="4" t="s">
        <v>387</v>
      </c>
      <c r="F119" s="3" t="s">
        <v>40</v>
      </c>
      <c r="G119" s="4" t="s">
        <v>21</v>
      </c>
      <c r="H119" s="2" t="n">
        <v>257</v>
      </c>
      <c r="I119" s="2" t="n">
        <v>134</v>
      </c>
      <c r="J119" s="2" t="n">
        <v>257</v>
      </c>
      <c r="K119" s="2" t="n">
        <v>132</v>
      </c>
      <c r="L119" s="5" t="n">
        <f aca="false">IF(AND(ISNUMBER(J119),ISNUMBER(H119)),IF(H119&gt;0,J119/H119,""),"")</f>
        <v>1</v>
      </c>
      <c r="M119" s="5" t="n">
        <f aca="false">IF(AND(ISNUMBER(K119),ISNUMBER(I119)),IF(I119&gt;0,K119/I119,""),"")</f>
        <v>0.985074626865672</v>
      </c>
      <c r="N119" s="4" t="s">
        <v>22</v>
      </c>
      <c r="O119" s="7" t="s">
        <v>41</v>
      </c>
      <c r="P119" s="4" t="s">
        <v>388</v>
      </c>
    </row>
    <row r="120" customFormat="false" ht="23.85" hidden="false" customHeight="false" outlineLevel="0" collapsed="false">
      <c r="A120" s="2" t="n">
        <v>119</v>
      </c>
      <c r="B120" s="3" t="s">
        <v>389</v>
      </c>
      <c r="C120" s="3" t="s">
        <v>17</v>
      </c>
      <c r="D120" s="4" t="s">
        <v>386</v>
      </c>
      <c r="E120" s="4" t="s">
        <v>390</v>
      </c>
      <c r="F120" s="3" t="s">
        <v>40</v>
      </c>
      <c r="G120" s="4" t="s">
        <v>21</v>
      </c>
      <c r="H120" s="2" t="n">
        <v>257</v>
      </c>
      <c r="I120" s="2" t="n">
        <v>134</v>
      </c>
      <c r="J120" s="2" t="n">
        <v>257</v>
      </c>
      <c r="K120" s="2" t="n">
        <v>133</v>
      </c>
      <c r="L120" s="5" t="n">
        <f aca="false">IF(AND(ISNUMBER(J120),ISNUMBER(H120)),IF(H120&gt;0,J120/H120,""),"")</f>
        <v>1</v>
      </c>
      <c r="M120" s="5" t="n">
        <f aca="false">IF(AND(ISNUMBER(K120),ISNUMBER(I120)),IF(I120&gt;0,K120/I120,""),"")</f>
        <v>0.992537313432836</v>
      </c>
      <c r="N120" s="4" t="s">
        <v>22</v>
      </c>
      <c r="O120" s="7" t="s">
        <v>41</v>
      </c>
      <c r="P120" s="4" t="s">
        <v>391</v>
      </c>
    </row>
    <row r="121" customFormat="false" ht="23.85" hidden="false" customHeight="false" outlineLevel="0" collapsed="false">
      <c r="A121" s="2" t="n">
        <v>120</v>
      </c>
      <c r="B121" s="3" t="s">
        <v>392</v>
      </c>
      <c r="C121" s="3" t="s">
        <v>17</v>
      </c>
      <c r="D121" s="4" t="s">
        <v>393</v>
      </c>
      <c r="E121" s="4" t="s">
        <v>394</v>
      </c>
      <c r="F121" s="3" t="s">
        <v>40</v>
      </c>
      <c r="G121" s="4" t="s">
        <v>21</v>
      </c>
      <c r="H121" s="2" t="n">
        <v>257</v>
      </c>
      <c r="I121" s="2" t="n">
        <v>134</v>
      </c>
      <c r="J121" s="2" t="n">
        <v>256</v>
      </c>
      <c r="K121" s="2" t="n">
        <v>133</v>
      </c>
      <c r="L121" s="5" t="n">
        <f aca="false">IF(AND(ISNUMBER(J121),ISNUMBER(H121)),IF(H121&gt;0,J121/H121,""),"")</f>
        <v>0.996108949416342</v>
      </c>
      <c r="M121" s="5" t="n">
        <f aca="false">IF(AND(ISNUMBER(K121),ISNUMBER(I121)),IF(I121&gt;0,K121/I121,""),"")</f>
        <v>0.992537313432836</v>
      </c>
      <c r="N121" s="4" t="s">
        <v>22</v>
      </c>
      <c r="O121" s="7" t="s">
        <v>41</v>
      </c>
      <c r="P121" s="4" t="s">
        <v>395</v>
      </c>
    </row>
    <row r="122" customFormat="false" ht="23.85" hidden="false" customHeight="false" outlineLevel="0" collapsed="false">
      <c r="A122" s="2" t="n">
        <v>121</v>
      </c>
      <c r="B122" s="3" t="s">
        <v>396</v>
      </c>
      <c r="C122" s="3" t="s">
        <v>17</v>
      </c>
      <c r="D122" s="4" t="s">
        <v>393</v>
      </c>
      <c r="E122" s="4" t="s">
        <v>397</v>
      </c>
      <c r="F122" s="3" t="s">
        <v>40</v>
      </c>
      <c r="G122" s="4" t="s">
        <v>21</v>
      </c>
      <c r="H122" s="2" t="n">
        <v>257</v>
      </c>
      <c r="I122" s="2" t="n">
        <v>134</v>
      </c>
      <c r="J122" s="2" t="n">
        <v>256</v>
      </c>
      <c r="K122" s="2" t="n">
        <v>116</v>
      </c>
      <c r="L122" s="5" t="n">
        <f aca="false">IF(AND(ISNUMBER(J122),ISNUMBER(H122)),IF(H122&gt;0,J122/H122,""),"")</f>
        <v>0.996108949416342</v>
      </c>
      <c r="M122" s="5" t="n">
        <f aca="false">IF(AND(ISNUMBER(K122),ISNUMBER(I122)),IF(I122&gt;0,K122/I122,""),"")</f>
        <v>0.865671641791045</v>
      </c>
      <c r="N122" s="4" t="s">
        <v>91</v>
      </c>
      <c r="O122" s="7" t="s">
        <v>41</v>
      </c>
      <c r="P122" s="4" t="s">
        <v>398</v>
      </c>
    </row>
    <row r="123" customFormat="false" ht="15" hidden="false" customHeight="false" outlineLevel="0" collapsed="false">
      <c r="A123" s="2" t="n">
        <v>122</v>
      </c>
      <c r="B123" s="3" t="s">
        <v>399</v>
      </c>
      <c r="C123" s="3" t="s">
        <v>17</v>
      </c>
      <c r="D123" s="4" t="s">
        <v>393</v>
      </c>
      <c r="E123" s="4" t="s">
        <v>400</v>
      </c>
      <c r="F123" s="3" t="s">
        <v>40</v>
      </c>
      <c r="G123" s="4" t="s">
        <v>252</v>
      </c>
      <c r="H123" s="2"/>
      <c r="I123" s="2"/>
      <c r="J123" s="2" t="n">
        <v>215</v>
      </c>
      <c r="K123" s="2" t="n">
        <v>54</v>
      </c>
      <c r="L123" s="5" t="str">
        <f aca="false">IF(AND(ISNUMBER(J123),ISNUMBER(H123)),IF(H123&gt;0,J123/H123,""),"")</f>
        <v/>
      </c>
      <c r="M123" s="5" t="str">
        <f aca="false">IF(AND(ISNUMBER(K123),ISNUMBER(I123)),IF(I123&gt;0,K123/I123,""),"")</f>
        <v/>
      </c>
      <c r="N123" s="4" t="s">
        <v>28</v>
      </c>
      <c r="O123" s="7" t="s">
        <v>41</v>
      </c>
      <c r="P123" s="4" t="s">
        <v>401</v>
      </c>
    </row>
    <row r="124" customFormat="false" ht="15" hidden="false" customHeight="false" outlineLevel="0" collapsed="false">
      <c r="A124" s="2" t="n">
        <v>123</v>
      </c>
      <c r="B124" s="3" t="s">
        <v>402</v>
      </c>
      <c r="C124" s="3" t="s">
        <v>17</v>
      </c>
      <c r="D124" s="4" t="s">
        <v>393</v>
      </c>
      <c r="E124" s="4" t="s">
        <v>403</v>
      </c>
      <c r="F124" s="3" t="s">
        <v>40</v>
      </c>
      <c r="G124" s="4" t="s">
        <v>252</v>
      </c>
      <c r="H124" s="2"/>
      <c r="I124" s="2"/>
      <c r="J124" s="2" t="n">
        <v>164</v>
      </c>
      <c r="K124" s="2" t="s">
        <v>144</v>
      </c>
      <c r="L124" s="5" t="str">
        <f aca="false">IF(AND(ISNUMBER(J124),ISNUMBER(H124)),IF(H124&gt;0,J124/H124,""),"")</f>
        <v/>
      </c>
      <c r="M124" s="5" t="str">
        <f aca="false">IF(AND(ISNUMBER(K124),ISNUMBER(I124)),IF(I124&gt;0,K124/I124,""),"")</f>
        <v/>
      </c>
      <c r="N124" s="4" t="s">
        <v>28</v>
      </c>
      <c r="O124" s="7" t="s">
        <v>41</v>
      </c>
      <c r="P124" s="4" t="s">
        <v>404</v>
      </c>
    </row>
    <row r="125" customFormat="false" ht="23.85" hidden="false" customHeight="false" outlineLevel="0" collapsed="false">
      <c r="A125" s="2" t="n">
        <v>124</v>
      </c>
      <c r="B125" s="3" t="s">
        <v>405</v>
      </c>
      <c r="C125" s="3" t="s">
        <v>17</v>
      </c>
      <c r="D125" s="4" t="s">
        <v>393</v>
      </c>
      <c r="E125" s="4" t="s">
        <v>406</v>
      </c>
      <c r="F125" s="3" t="s">
        <v>40</v>
      </c>
      <c r="G125" s="4" t="s">
        <v>21</v>
      </c>
      <c r="H125" s="2" t="n">
        <v>257</v>
      </c>
      <c r="I125" s="2" t="n">
        <v>134</v>
      </c>
      <c r="J125" s="2" t="n">
        <v>251</v>
      </c>
      <c r="K125" s="2" t="n">
        <v>130</v>
      </c>
      <c r="L125" s="5" t="n">
        <f aca="false">IF(AND(ISNUMBER(J125),ISNUMBER(H125)),IF(H125&gt;0,J125/H125,""),"")</f>
        <v>0.976653696498054</v>
      </c>
      <c r="M125" s="5" t="n">
        <f aca="false">IF(AND(ISNUMBER(K125),ISNUMBER(I125)),IF(I125&gt;0,K125/I125,""),"")</f>
        <v>0.970149253731343</v>
      </c>
      <c r="N125" s="4" t="s">
        <v>22</v>
      </c>
      <c r="O125" s="7" t="s">
        <v>41</v>
      </c>
      <c r="P125" s="4" t="s">
        <v>407</v>
      </c>
    </row>
    <row r="126" customFormat="false" ht="23.85" hidden="false" customHeight="false" outlineLevel="0" collapsed="false">
      <c r="A126" s="2" t="n">
        <v>125</v>
      </c>
      <c r="B126" s="3" t="s">
        <v>408</v>
      </c>
      <c r="C126" s="3" t="s">
        <v>17</v>
      </c>
      <c r="D126" s="4" t="s">
        <v>393</v>
      </c>
      <c r="E126" s="4" t="s">
        <v>409</v>
      </c>
      <c r="F126" s="3" t="s">
        <v>40</v>
      </c>
      <c r="G126" s="4" t="s">
        <v>21</v>
      </c>
      <c r="H126" s="2" t="n">
        <v>257</v>
      </c>
      <c r="I126" s="2" t="n">
        <v>134</v>
      </c>
      <c r="J126" s="2" t="n">
        <v>256</v>
      </c>
      <c r="K126" s="2" t="n">
        <v>111</v>
      </c>
      <c r="L126" s="5" t="n">
        <f aca="false">IF(AND(ISNUMBER(J126),ISNUMBER(H126)),IF(H126&gt;0,J126/H126,""),"")</f>
        <v>0.996108949416342</v>
      </c>
      <c r="M126" s="5" t="n">
        <f aca="false">IF(AND(ISNUMBER(K126),ISNUMBER(I126)),IF(I126&gt;0,K126/I126,""),"")</f>
        <v>0.828358208955224</v>
      </c>
      <c r="N126" s="4" t="s">
        <v>91</v>
      </c>
      <c r="O126" s="7" t="s">
        <v>41</v>
      </c>
      <c r="P126" s="4" t="s">
        <v>410</v>
      </c>
    </row>
    <row r="127" customFormat="false" ht="15" hidden="false" customHeight="false" outlineLevel="0" collapsed="false">
      <c r="A127" s="2" t="n">
        <v>126</v>
      </c>
      <c r="B127" s="3" t="s">
        <v>411</v>
      </c>
      <c r="C127" s="3" t="s">
        <v>17</v>
      </c>
      <c r="D127" s="4" t="s">
        <v>393</v>
      </c>
      <c r="E127" s="4" t="s">
        <v>412</v>
      </c>
      <c r="F127" s="3" t="s">
        <v>40</v>
      </c>
      <c r="G127" s="4" t="s">
        <v>252</v>
      </c>
      <c r="H127" s="2"/>
      <c r="I127" s="2"/>
      <c r="J127" s="2" t="n">
        <v>214</v>
      </c>
      <c r="K127" s="2" t="n">
        <v>58</v>
      </c>
      <c r="L127" s="5" t="str">
        <f aca="false">IF(AND(ISNUMBER(J127),ISNUMBER(H127)),IF(H127&gt;0,J127/H127,""),"")</f>
        <v/>
      </c>
      <c r="M127" s="5" t="str">
        <f aca="false">IF(AND(ISNUMBER(K127),ISNUMBER(I127)),IF(I127&gt;0,K127/I127,""),"")</f>
        <v/>
      </c>
      <c r="N127" s="4" t="s">
        <v>28</v>
      </c>
      <c r="O127" s="7" t="s">
        <v>41</v>
      </c>
      <c r="P127" s="4" t="s">
        <v>413</v>
      </c>
    </row>
    <row r="128" customFormat="false" ht="15" hidden="false" customHeight="false" outlineLevel="0" collapsed="false">
      <c r="A128" s="2" t="n">
        <v>127</v>
      </c>
      <c r="B128" s="3" t="s">
        <v>414</v>
      </c>
      <c r="C128" s="3" t="s">
        <v>17</v>
      </c>
      <c r="D128" s="4" t="s">
        <v>393</v>
      </c>
      <c r="E128" s="4" t="s">
        <v>415</v>
      </c>
      <c r="F128" s="3" t="s">
        <v>40</v>
      </c>
      <c r="G128" s="4" t="s">
        <v>252</v>
      </c>
      <c r="H128" s="2"/>
      <c r="I128" s="2"/>
      <c r="J128" s="2" t="n">
        <v>165</v>
      </c>
      <c r="K128" s="2" t="s">
        <v>144</v>
      </c>
      <c r="L128" s="5" t="str">
        <f aca="false">IF(AND(ISNUMBER(J128),ISNUMBER(H128)),IF(H128&gt;0,J128/H128,""),"")</f>
        <v/>
      </c>
      <c r="M128" s="5" t="str">
        <f aca="false">IF(AND(ISNUMBER(K128),ISNUMBER(I128)),IF(I128&gt;0,K128/I128,""),"")</f>
        <v/>
      </c>
      <c r="N128" s="4" t="s">
        <v>28</v>
      </c>
      <c r="O128" s="7" t="s">
        <v>41</v>
      </c>
      <c r="P128" s="4" t="s">
        <v>416</v>
      </c>
    </row>
    <row r="129" customFormat="false" ht="23.85" hidden="false" customHeight="false" outlineLevel="0" collapsed="false">
      <c r="A129" s="2" t="n">
        <v>128</v>
      </c>
      <c r="B129" s="3" t="s">
        <v>417</v>
      </c>
      <c r="C129" s="3" t="s">
        <v>17</v>
      </c>
      <c r="D129" s="4" t="s">
        <v>418</v>
      </c>
      <c r="E129" s="4" t="s">
        <v>419</v>
      </c>
      <c r="F129" s="3" t="s">
        <v>40</v>
      </c>
      <c r="G129" s="4" t="s">
        <v>21</v>
      </c>
      <c r="H129" s="2" t="n">
        <v>257</v>
      </c>
      <c r="I129" s="2" t="n">
        <v>134</v>
      </c>
      <c r="J129" s="2" t="n">
        <v>257</v>
      </c>
      <c r="K129" s="2" t="n">
        <v>126</v>
      </c>
      <c r="L129" s="5" t="n">
        <f aca="false">IF(AND(ISNUMBER(J129),ISNUMBER(H129)),IF(H129&gt;0,J129/H129,""),"")</f>
        <v>1</v>
      </c>
      <c r="M129" s="5" t="n">
        <f aca="false">IF(AND(ISNUMBER(K129),ISNUMBER(I129)),IF(I129&gt;0,K129/I129,""),"")</f>
        <v>0.940298507462687</v>
      </c>
      <c r="N129" s="4" t="s">
        <v>22</v>
      </c>
      <c r="O129" s="7" t="s">
        <v>41</v>
      </c>
      <c r="P129" s="4" t="s">
        <v>420</v>
      </c>
    </row>
    <row r="130" customFormat="false" ht="23.85" hidden="false" customHeight="false" outlineLevel="0" collapsed="false">
      <c r="A130" s="2" t="n">
        <v>129</v>
      </c>
      <c r="B130" s="3" t="s">
        <v>421</v>
      </c>
      <c r="C130" s="3" t="s">
        <v>17</v>
      </c>
      <c r="D130" s="4" t="s">
        <v>418</v>
      </c>
      <c r="E130" s="4" t="s">
        <v>422</v>
      </c>
      <c r="F130" s="3" t="s">
        <v>40</v>
      </c>
      <c r="G130" s="4" t="s">
        <v>21</v>
      </c>
      <c r="H130" s="2" t="n">
        <v>257</v>
      </c>
      <c r="I130" s="2" t="n">
        <v>134</v>
      </c>
      <c r="J130" s="2" t="n">
        <v>257</v>
      </c>
      <c r="K130" s="2" t="n">
        <v>129</v>
      </c>
      <c r="L130" s="5" t="n">
        <f aca="false">IF(AND(ISNUMBER(J130),ISNUMBER(H130)),IF(H130&gt;0,J130/H130,""),"")</f>
        <v>1</v>
      </c>
      <c r="M130" s="5" t="n">
        <f aca="false">IF(AND(ISNUMBER(K130),ISNUMBER(I130)),IF(I130&gt;0,K130/I130,""),"")</f>
        <v>0.962686567164179</v>
      </c>
      <c r="N130" s="4" t="s">
        <v>22</v>
      </c>
      <c r="O130" s="7" t="s">
        <v>41</v>
      </c>
      <c r="P130" s="4" t="s">
        <v>423</v>
      </c>
    </row>
    <row r="131" customFormat="false" ht="15" hidden="false" customHeight="false" outlineLevel="0" collapsed="false">
      <c r="A131" s="2" t="n">
        <v>130</v>
      </c>
      <c r="B131" s="3" t="s">
        <v>424</v>
      </c>
      <c r="C131" s="3" t="s">
        <v>17</v>
      </c>
      <c r="D131" s="4" t="s">
        <v>425</v>
      </c>
      <c r="E131" s="4" t="s">
        <v>426</v>
      </c>
      <c r="F131" s="3" t="s">
        <v>54</v>
      </c>
      <c r="G131" s="4" t="s">
        <v>21</v>
      </c>
      <c r="H131" s="2" t="n">
        <v>257</v>
      </c>
      <c r="I131" s="2" t="n">
        <v>134</v>
      </c>
      <c r="J131" s="2" t="n">
        <v>257</v>
      </c>
      <c r="K131" s="2" t="n">
        <v>133</v>
      </c>
      <c r="L131" s="5" t="n">
        <f aca="false">IF(AND(ISNUMBER(J131),ISNUMBER(H131)),IF(H131&gt;0,J131/H131,""),"")</f>
        <v>1</v>
      </c>
      <c r="M131" s="5" t="n">
        <f aca="false">IF(AND(ISNUMBER(K131),ISNUMBER(I131)),IF(I131&gt;0,K131/I131,""),"")</f>
        <v>0.992537313432836</v>
      </c>
      <c r="N131" s="4" t="s">
        <v>22</v>
      </c>
      <c r="O131" s="7" t="s">
        <v>41</v>
      </c>
      <c r="P131" s="4" t="s">
        <v>427</v>
      </c>
    </row>
    <row r="132" customFormat="false" ht="15" hidden="false" customHeight="false" outlineLevel="0" collapsed="false">
      <c r="A132" s="2" t="n">
        <v>131</v>
      </c>
      <c r="B132" s="3" t="s">
        <v>428</v>
      </c>
      <c r="C132" s="3" t="s">
        <v>17</v>
      </c>
      <c r="D132" s="4" t="s">
        <v>425</v>
      </c>
      <c r="E132" s="4" t="s">
        <v>429</v>
      </c>
      <c r="F132" s="3" t="s">
        <v>54</v>
      </c>
      <c r="G132" s="4" t="s">
        <v>430</v>
      </c>
      <c r="H132" s="2" t="n">
        <v>237</v>
      </c>
      <c r="I132" s="2" t="n">
        <v>104</v>
      </c>
      <c r="J132" s="2" t="n">
        <v>233</v>
      </c>
      <c r="K132" s="2" t="n">
        <v>103</v>
      </c>
      <c r="L132" s="5" t="n">
        <f aca="false">IF(AND(ISNUMBER(J132),ISNUMBER(H132)),IF(H132&gt;0,J132/H132,""),"")</f>
        <v>0.983122362869198</v>
      </c>
      <c r="M132" s="5" t="n">
        <f aca="false">IF(AND(ISNUMBER(K132),ISNUMBER(I132)),IF(I132&gt;0,K132/I132,""),"")</f>
        <v>0.990384615384615</v>
      </c>
      <c r="N132" s="4" t="s">
        <v>28</v>
      </c>
      <c r="O132" s="7" t="s">
        <v>41</v>
      </c>
      <c r="P132" s="4" t="s">
        <v>431</v>
      </c>
    </row>
    <row r="133" customFormat="false" ht="15" hidden="false" customHeight="false" outlineLevel="0" collapsed="false">
      <c r="A133" s="2" t="n">
        <v>132</v>
      </c>
      <c r="B133" s="3" t="s">
        <v>432</v>
      </c>
      <c r="C133" s="3" t="s">
        <v>17</v>
      </c>
      <c r="D133" s="4" t="s">
        <v>425</v>
      </c>
      <c r="E133" s="4" t="s">
        <v>433</v>
      </c>
      <c r="F133" s="3" t="s">
        <v>54</v>
      </c>
      <c r="G133" s="4" t="s">
        <v>21</v>
      </c>
      <c r="H133" s="2" t="n">
        <v>257</v>
      </c>
      <c r="I133" s="2" t="n">
        <v>134</v>
      </c>
      <c r="J133" s="2" t="n">
        <v>257</v>
      </c>
      <c r="K133" s="2" t="n">
        <v>132</v>
      </c>
      <c r="L133" s="5" t="n">
        <f aca="false">IF(AND(ISNUMBER(J133),ISNUMBER(H133)),IF(H133&gt;0,J133/H133,""),"")</f>
        <v>1</v>
      </c>
      <c r="M133" s="5" t="n">
        <f aca="false">IF(AND(ISNUMBER(K133),ISNUMBER(I133)),IF(I133&gt;0,K133/I133,""),"")</f>
        <v>0.985074626865672</v>
      </c>
      <c r="N133" s="4" t="s">
        <v>22</v>
      </c>
      <c r="O133" s="7" t="s">
        <v>41</v>
      </c>
      <c r="P133" s="4" t="s">
        <v>427</v>
      </c>
    </row>
    <row r="134" customFormat="false" ht="15" hidden="false" customHeight="false" outlineLevel="0" collapsed="false">
      <c r="A134" s="2" t="n">
        <v>133</v>
      </c>
      <c r="B134" s="3" t="s">
        <v>434</v>
      </c>
      <c r="C134" s="3" t="s">
        <v>17</v>
      </c>
      <c r="D134" s="4" t="s">
        <v>425</v>
      </c>
      <c r="E134" s="4" t="s">
        <v>435</v>
      </c>
      <c r="F134" s="3" t="s">
        <v>54</v>
      </c>
      <c r="G134" s="4" t="s">
        <v>21</v>
      </c>
      <c r="H134" s="2" t="n">
        <v>257</v>
      </c>
      <c r="I134" s="2" t="n">
        <v>134</v>
      </c>
      <c r="J134" s="2" t="n">
        <v>257</v>
      </c>
      <c r="K134" s="2" t="n">
        <v>132</v>
      </c>
      <c r="L134" s="5" t="n">
        <f aca="false">IF(AND(ISNUMBER(J134),ISNUMBER(H134)),IF(H134&gt;0,J134/H134,""),"")</f>
        <v>1</v>
      </c>
      <c r="M134" s="5" t="n">
        <f aca="false">IF(AND(ISNUMBER(K134),ISNUMBER(I134)),IF(I134&gt;0,K134/I134,""),"")</f>
        <v>0.985074626865672</v>
      </c>
      <c r="N134" s="4" t="s">
        <v>22</v>
      </c>
      <c r="O134" s="7" t="s">
        <v>41</v>
      </c>
      <c r="P134" s="4" t="s">
        <v>427</v>
      </c>
    </row>
    <row r="135" customFormat="false" ht="15" hidden="false" customHeight="false" outlineLevel="0" collapsed="false">
      <c r="A135" s="2" t="n">
        <v>134</v>
      </c>
      <c r="B135" s="3" t="s">
        <v>436</v>
      </c>
      <c r="C135" s="3" t="s">
        <v>17</v>
      </c>
      <c r="D135" s="4" t="s">
        <v>425</v>
      </c>
      <c r="E135" s="4" t="s">
        <v>437</v>
      </c>
      <c r="F135" s="3" t="s">
        <v>54</v>
      </c>
      <c r="G135" s="4" t="s">
        <v>21</v>
      </c>
      <c r="H135" s="2" t="n">
        <v>257</v>
      </c>
      <c r="I135" s="2" t="n">
        <v>134</v>
      </c>
      <c r="J135" s="2" t="n">
        <v>257</v>
      </c>
      <c r="K135" s="2" t="n">
        <v>133</v>
      </c>
      <c r="L135" s="5" t="n">
        <f aca="false">IF(AND(ISNUMBER(J135),ISNUMBER(H135)),IF(H135&gt;0,J135/H135,""),"")</f>
        <v>1</v>
      </c>
      <c r="M135" s="5" t="n">
        <f aca="false">IF(AND(ISNUMBER(K135),ISNUMBER(I135)),IF(I135&gt;0,K135/I135,""),"")</f>
        <v>0.992537313432836</v>
      </c>
      <c r="N135" s="4" t="s">
        <v>22</v>
      </c>
      <c r="O135" s="7" t="s">
        <v>41</v>
      </c>
      <c r="P135" s="4" t="s">
        <v>438</v>
      </c>
    </row>
    <row r="136" customFormat="false" ht="23.85" hidden="false" customHeight="false" outlineLevel="0" collapsed="false">
      <c r="A136" s="2" t="n">
        <v>135</v>
      </c>
      <c r="B136" s="3" t="s">
        <v>439</v>
      </c>
      <c r="C136" s="3" t="s">
        <v>17</v>
      </c>
      <c r="D136" s="4" t="s">
        <v>440</v>
      </c>
      <c r="E136" s="4" t="s">
        <v>441</v>
      </c>
      <c r="F136" s="3" t="s">
        <v>54</v>
      </c>
      <c r="G136" s="4" t="s">
        <v>21</v>
      </c>
      <c r="H136" s="2" t="n">
        <v>257</v>
      </c>
      <c r="I136" s="2" t="n">
        <v>134</v>
      </c>
      <c r="J136" s="2" t="n">
        <v>254</v>
      </c>
      <c r="K136" s="2" t="n">
        <v>129</v>
      </c>
      <c r="L136" s="5" t="n">
        <f aca="false">IF(AND(ISNUMBER(J136),ISNUMBER(H136)),IF(H136&gt;0,J136/H136,""),"")</f>
        <v>0.988326848249027</v>
      </c>
      <c r="M136" s="5" t="n">
        <f aca="false">IF(AND(ISNUMBER(K136),ISNUMBER(I136)),IF(I136&gt;0,K136/I136,""),"")</f>
        <v>0.962686567164179</v>
      </c>
      <c r="N136" s="4" t="s">
        <v>22</v>
      </c>
      <c r="O136" s="7" t="s">
        <v>41</v>
      </c>
      <c r="P136" s="4" t="s">
        <v>442</v>
      </c>
    </row>
    <row r="137" customFormat="false" ht="23.85" hidden="false" customHeight="false" outlineLevel="0" collapsed="false">
      <c r="A137" s="2" t="n">
        <v>136</v>
      </c>
      <c r="B137" s="3" t="s">
        <v>443</v>
      </c>
      <c r="C137" s="3" t="s">
        <v>17</v>
      </c>
      <c r="D137" s="4" t="s">
        <v>440</v>
      </c>
      <c r="E137" s="4" t="s">
        <v>444</v>
      </c>
      <c r="F137" s="3" t="s">
        <v>54</v>
      </c>
      <c r="G137" s="4" t="s">
        <v>21</v>
      </c>
      <c r="H137" s="2" t="n">
        <v>257</v>
      </c>
      <c r="I137" s="2" t="n">
        <v>134</v>
      </c>
      <c r="J137" s="2" t="n">
        <v>254</v>
      </c>
      <c r="K137" s="2" t="n">
        <v>128</v>
      </c>
      <c r="L137" s="5" t="n">
        <f aca="false">IF(AND(ISNUMBER(J137),ISNUMBER(H137)),IF(H137&gt;0,J137/H137,""),"")</f>
        <v>0.988326848249027</v>
      </c>
      <c r="M137" s="5" t="n">
        <f aca="false">IF(AND(ISNUMBER(K137),ISNUMBER(I137)),IF(I137&gt;0,K137/I137,""),"")</f>
        <v>0.955223880597015</v>
      </c>
      <c r="N137" s="4" t="s">
        <v>22</v>
      </c>
      <c r="O137" s="7" t="s">
        <v>41</v>
      </c>
      <c r="P137" s="4" t="s">
        <v>442</v>
      </c>
    </row>
    <row r="138" customFormat="false" ht="35.05" hidden="false" customHeight="false" outlineLevel="0" collapsed="false">
      <c r="A138" s="2" t="n">
        <v>137</v>
      </c>
      <c r="B138" s="3" t="s">
        <v>445</v>
      </c>
      <c r="C138" s="3" t="s">
        <v>17</v>
      </c>
      <c r="D138" s="4" t="s">
        <v>440</v>
      </c>
      <c r="E138" s="4" t="s">
        <v>446</v>
      </c>
      <c r="F138" s="3" t="s">
        <v>54</v>
      </c>
      <c r="G138" s="4" t="s">
        <v>21</v>
      </c>
      <c r="H138" s="2" t="n">
        <v>257</v>
      </c>
      <c r="I138" s="2" t="n">
        <v>134</v>
      </c>
      <c r="J138" s="2" t="n">
        <v>254</v>
      </c>
      <c r="K138" s="2" t="n">
        <v>129</v>
      </c>
      <c r="L138" s="5" t="n">
        <f aca="false">IF(AND(ISNUMBER(J138),ISNUMBER(H138)),IF(H138&gt;0,J138/H138,""),"")</f>
        <v>0.988326848249027</v>
      </c>
      <c r="M138" s="5" t="n">
        <f aca="false">IF(AND(ISNUMBER(K138),ISNUMBER(I138)),IF(I138&gt;0,K138/I138,""),"")</f>
        <v>0.962686567164179</v>
      </c>
      <c r="N138" s="4" t="s">
        <v>22</v>
      </c>
      <c r="O138" s="7" t="s">
        <v>41</v>
      </c>
      <c r="P138" s="4" t="s">
        <v>447</v>
      </c>
    </row>
    <row r="139" customFormat="false" ht="23.85" hidden="false" customHeight="false" outlineLevel="0" collapsed="false">
      <c r="A139" s="2" t="n">
        <v>138</v>
      </c>
      <c r="B139" s="3" t="s">
        <v>448</v>
      </c>
      <c r="C139" s="3" t="s">
        <v>17</v>
      </c>
      <c r="D139" s="4" t="s">
        <v>440</v>
      </c>
      <c r="E139" s="4" t="s">
        <v>449</v>
      </c>
      <c r="F139" s="3" t="s">
        <v>54</v>
      </c>
      <c r="G139" s="4" t="s">
        <v>21</v>
      </c>
      <c r="H139" s="2" t="n">
        <v>257</v>
      </c>
      <c r="I139" s="2" t="n">
        <v>134</v>
      </c>
      <c r="J139" s="2" t="n">
        <v>254</v>
      </c>
      <c r="K139" s="2" t="n">
        <v>131</v>
      </c>
      <c r="L139" s="5" t="n">
        <f aca="false">IF(AND(ISNUMBER(J139),ISNUMBER(H139)),IF(H139&gt;0,J139/H139,""),"")</f>
        <v>0.988326848249027</v>
      </c>
      <c r="M139" s="5" t="n">
        <f aca="false">IF(AND(ISNUMBER(K139),ISNUMBER(I139)),IF(I139&gt;0,K139/I139,""),"")</f>
        <v>0.977611940298508</v>
      </c>
      <c r="N139" s="4" t="s">
        <v>22</v>
      </c>
      <c r="O139" s="7" t="s">
        <v>41</v>
      </c>
      <c r="P139" s="4" t="s">
        <v>442</v>
      </c>
    </row>
    <row r="140" customFormat="false" ht="23.85" hidden="false" customHeight="false" outlineLevel="0" collapsed="false">
      <c r="A140" s="2" t="n">
        <v>139</v>
      </c>
      <c r="B140" s="3" t="s">
        <v>450</v>
      </c>
      <c r="C140" s="3" t="s">
        <v>17</v>
      </c>
      <c r="D140" s="4" t="s">
        <v>440</v>
      </c>
      <c r="E140" s="4" t="s">
        <v>451</v>
      </c>
      <c r="F140" s="3" t="s">
        <v>54</v>
      </c>
      <c r="G140" s="4" t="s">
        <v>21</v>
      </c>
      <c r="H140" s="2" t="n">
        <v>257</v>
      </c>
      <c r="I140" s="2" t="n">
        <v>134</v>
      </c>
      <c r="J140" s="2" t="n">
        <v>254</v>
      </c>
      <c r="K140" s="2" t="n">
        <v>131</v>
      </c>
      <c r="L140" s="5" t="n">
        <f aca="false">IF(AND(ISNUMBER(J140),ISNUMBER(H140)),IF(H140&gt;0,J140/H140,""),"")</f>
        <v>0.988326848249027</v>
      </c>
      <c r="M140" s="5" t="n">
        <f aca="false">IF(AND(ISNUMBER(K140),ISNUMBER(I140)),IF(I140&gt;0,K140/I140,""),"")</f>
        <v>0.977611940298508</v>
      </c>
      <c r="N140" s="4" t="s">
        <v>22</v>
      </c>
      <c r="O140" s="7" t="s">
        <v>41</v>
      </c>
      <c r="P140" s="4" t="s">
        <v>442</v>
      </c>
    </row>
    <row r="141" customFormat="false" ht="23.85" hidden="false" customHeight="false" outlineLevel="0" collapsed="false">
      <c r="A141" s="2" t="n">
        <v>140</v>
      </c>
      <c r="B141" s="3" t="s">
        <v>452</v>
      </c>
      <c r="C141" s="3" t="s">
        <v>17</v>
      </c>
      <c r="D141" s="4" t="s">
        <v>440</v>
      </c>
      <c r="E141" s="4" t="s">
        <v>453</v>
      </c>
      <c r="F141" s="3" t="s">
        <v>54</v>
      </c>
      <c r="G141" s="4" t="s">
        <v>21</v>
      </c>
      <c r="H141" s="2" t="n">
        <v>257</v>
      </c>
      <c r="I141" s="2" t="n">
        <v>134</v>
      </c>
      <c r="J141" s="2" t="n">
        <v>255</v>
      </c>
      <c r="K141" s="2" t="n">
        <v>130</v>
      </c>
      <c r="L141" s="5" t="n">
        <f aca="false">IF(AND(ISNUMBER(J141),ISNUMBER(H141)),IF(H141&gt;0,J141/H141,""),"")</f>
        <v>0.992217898832685</v>
      </c>
      <c r="M141" s="5" t="n">
        <f aca="false">IF(AND(ISNUMBER(K141),ISNUMBER(I141)),IF(I141&gt;0,K141/I141,""),"")</f>
        <v>0.970149253731343</v>
      </c>
      <c r="N141" s="4" t="s">
        <v>22</v>
      </c>
      <c r="O141" s="7" t="s">
        <v>41</v>
      </c>
      <c r="P141" s="4" t="s">
        <v>442</v>
      </c>
    </row>
    <row r="142" customFormat="false" ht="23.85" hidden="false" customHeight="false" outlineLevel="0" collapsed="false">
      <c r="A142" s="2" t="n">
        <v>141</v>
      </c>
      <c r="B142" s="3" t="s">
        <v>454</v>
      </c>
      <c r="C142" s="3" t="s">
        <v>17</v>
      </c>
      <c r="D142" s="4" t="s">
        <v>440</v>
      </c>
      <c r="E142" s="4" t="s">
        <v>455</v>
      </c>
      <c r="F142" s="3" t="s">
        <v>54</v>
      </c>
      <c r="G142" s="4" t="s">
        <v>21</v>
      </c>
      <c r="H142" s="2" t="n">
        <v>257</v>
      </c>
      <c r="I142" s="2" t="n">
        <v>134</v>
      </c>
      <c r="J142" s="2" t="n">
        <v>256</v>
      </c>
      <c r="K142" s="2" t="n">
        <v>128</v>
      </c>
      <c r="L142" s="5" t="n">
        <f aca="false">IF(AND(ISNUMBER(J142),ISNUMBER(H142)),IF(H142&gt;0,J142/H142,""),"")</f>
        <v>0.996108949416342</v>
      </c>
      <c r="M142" s="5" t="n">
        <f aca="false">IF(AND(ISNUMBER(K142),ISNUMBER(I142)),IF(I142&gt;0,K142/I142,""),"")</f>
        <v>0.955223880597015</v>
      </c>
      <c r="N142" s="4" t="s">
        <v>22</v>
      </c>
      <c r="O142" s="7" t="s">
        <v>41</v>
      </c>
      <c r="P142" s="4" t="s">
        <v>442</v>
      </c>
    </row>
    <row r="143" customFormat="false" ht="23.85" hidden="false" customHeight="false" outlineLevel="0" collapsed="false">
      <c r="A143" s="2" t="n">
        <v>142</v>
      </c>
      <c r="B143" s="3" t="s">
        <v>456</v>
      </c>
      <c r="C143" s="3" t="s">
        <v>17</v>
      </c>
      <c r="D143" s="4" t="s">
        <v>440</v>
      </c>
      <c r="E143" s="4" t="s">
        <v>457</v>
      </c>
      <c r="F143" s="3" t="s">
        <v>54</v>
      </c>
      <c r="G143" s="4" t="s">
        <v>21</v>
      </c>
      <c r="H143" s="2" t="n">
        <v>257</v>
      </c>
      <c r="I143" s="2" t="n">
        <v>134</v>
      </c>
      <c r="J143" s="2" t="n">
        <v>256</v>
      </c>
      <c r="K143" s="2" t="n">
        <v>129</v>
      </c>
      <c r="L143" s="5" t="n">
        <f aca="false">IF(AND(ISNUMBER(J143),ISNUMBER(H143)),IF(H143&gt;0,J143/H143,""),"")</f>
        <v>0.996108949416342</v>
      </c>
      <c r="M143" s="5" t="n">
        <f aca="false">IF(AND(ISNUMBER(K143),ISNUMBER(I143)),IF(I143&gt;0,K143/I143,""),"")</f>
        <v>0.962686567164179</v>
      </c>
      <c r="N143" s="4" t="s">
        <v>22</v>
      </c>
      <c r="O143" s="7" t="s">
        <v>41</v>
      </c>
      <c r="P143" s="4" t="s">
        <v>442</v>
      </c>
    </row>
    <row r="144" customFormat="false" ht="23.85" hidden="false" customHeight="false" outlineLevel="0" collapsed="false">
      <c r="A144" s="2" t="n">
        <v>143</v>
      </c>
      <c r="B144" s="3" t="s">
        <v>458</v>
      </c>
      <c r="C144" s="3" t="s">
        <v>17</v>
      </c>
      <c r="D144" s="4" t="s">
        <v>440</v>
      </c>
      <c r="E144" s="4" t="s">
        <v>459</v>
      </c>
      <c r="F144" s="3" t="s">
        <v>54</v>
      </c>
      <c r="G144" s="4" t="s">
        <v>21</v>
      </c>
      <c r="H144" s="2" t="n">
        <v>257</v>
      </c>
      <c r="I144" s="2" t="n">
        <v>134</v>
      </c>
      <c r="J144" s="2" t="n">
        <v>256</v>
      </c>
      <c r="K144" s="2" t="n">
        <v>129</v>
      </c>
      <c r="L144" s="5" t="n">
        <f aca="false">IF(AND(ISNUMBER(J144),ISNUMBER(H144)),IF(H144&gt;0,J144/H144,""),"")</f>
        <v>0.996108949416342</v>
      </c>
      <c r="M144" s="5" t="n">
        <f aca="false">IF(AND(ISNUMBER(K144),ISNUMBER(I144)),IF(I144&gt;0,K144/I144,""),"")</f>
        <v>0.962686567164179</v>
      </c>
      <c r="N144" s="4" t="s">
        <v>22</v>
      </c>
      <c r="O144" s="7" t="s">
        <v>41</v>
      </c>
      <c r="P144" s="4" t="s">
        <v>442</v>
      </c>
    </row>
    <row r="145" customFormat="false" ht="23.85" hidden="false" customHeight="false" outlineLevel="0" collapsed="false">
      <c r="A145" s="2" t="n">
        <v>144</v>
      </c>
      <c r="B145" s="3" t="s">
        <v>460</v>
      </c>
      <c r="C145" s="3" t="s">
        <v>17</v>
      </c>
      <c r="D145" s="4" t="s">
        <v>440</v>
      </c>
      <c r="E145" s="4" t="s">
        <v>461</v>
      </c>
      <c r="F145" s="3" t="s">
        <v>54</v>
      </c>
      <c r="G145" s="4" t="s">
        <v>21</v>
      </c>
      <c r="H145" s="2" t="n">
        <v>257</v>
      </c>
      <c r="I145" s="2" t="n">
        <v>134</v>
      </c>
      <c r="J145" s="2" t="n">
        <v>256</v>
      </c>
      <c r="K145" s="2" t="n">
        <v>130</v>
      </c>
      <c r="L145" s="5" t="n">
        <f aca="false">IF(AND(ISNUMBER(J145),ISNUMBER(H145)),IF(H145&gt;0,J145/H145,""),"")</f>
        <v>0.996108949416342</v>
      </c>
      <c r="M145" s="5" t="n">
        <f aca="false">IF(AND(ISNUMBER(K145),ISNUMBER(I145)),IF(I145&gt;0,K145/I145,""),"")</f>
        <v>0.970149253731343</v>
      </c>
      <c r="N145" s="4" t="s">
        <v>22</v>
      </c>
      <c r="O145" s="7" t="s">
        <v>41</v>
      </c>
      <c r="P145" s="4" t="s">
        <v>442</v>
      </c>
    </row>
    <row r="146" customFormat="false" ht="23.85" hidden="false" customHeight="false" outlineLevel="0" collapsed="false">
      <c r="A146" s="2" t="n">
        <v>145</v>
      </c>
      <c r="B146" s="3" t="s">
        <v>462</v>
      </c>
      <c r="C146" s="3" t="s">
        <v>17</v>
      </c>
      <c r="D146" s="4" t="s">
        <v>440</v>
      </c>
      <c r="E146" s="4" t="s">
        <v>463</v>
      </c>
      <c r="F146" s="3" t="s">
        <v>54</v>
      </c>
      <c r="G146" s="4" t="s">
        <v>21</v>
      </c>
      <c r="H146" s="2" t="n">
        <v>257</v>
      </c>
      <c r="I146" s="2" t="n">
        <v>134</v>
      </c>
      <c r="J146" s="2" t="n">
        <v>256</v>
      </c>
      <c r="K146" s="2" t="n">
        <v>128</v>
      </c>
      <c r="L146" s="5" t="n">
        <f aca="false">IF(AND(ISNUMBER(J146),ISNUMBER(H146)),IF(H146&gt;0,J146/H146,""),"")</f>
        <v>0.996108949416342</v>
      </c>
      <c r="M146" s="5" t="n">
        <f aca="false">IF(AND(ISNUMBER(K146),ISNUMBER(I146)),IF(I146&gt;0,K146/I146,""),"")</f>
        <v>0.955223880597015</v>
      </c>
      <c r="N146" s="4" t="s">
        <v>22</v>
      </c>
      <c r="O146" s="7" t="s">
        <v>41</v>
      </c>
      <c r="P146" s="4" t="s">
        <v>442</v>
      </c>
    </row>
    <row r="147" customFormat="false" ht="15" hidden="false" customHeight="false" outlineLevel="0" collapsed="false">
      <c r="A147" s="2" t="n">
        <v>146</v>
      </c>
      <c r="B147" s="3" t="s">
        <v>464</v>
      </c>
      <c r="C147" s="3" t="s">
        <v>17</v>
      </c>
      <c r="D147" s="4" t="s">
        <v>465</v>
      </c>
      <c r="E147" s="4" t="s">
        <v>466</v>
      </c>
      <c r="F147" s="3" t="s">
        <v>54</v>
      </c>
      <c r="G147" s="4" t="s">
        <v>252</v>
      </c>
      <c r="H147" s="2"/>
      <c r="I147" s="2"/>
      <c r="J147" s="2" t="n">
        <v>21</v>
      </c>
      <c r="K147" s="2" t="n">
        <v>55</v>
      </c>
      <c r="L147" s="5" t="str">
        <f aca="false">IF(AND(ISNUMBER(J147),ISNUMBER(H147)),IF(H147&gt;0,J147/H147,""),"")</f>
        <v/>
      </c>
      <c r="M147" s="5" t="str">
        <f aca="false">IF(AND(ISNUMBER(K147),ISNUMBER(I147)),IF(I147&gt;0,K147/I147,""),"")</f>
        <v/>
      </c>
      <c r="N147" s="4" t="s">
        <v>91</v>
      </c>
      <c r="O147" s="9" t="s">
        <v>67</v>
      </c>
      <c r="P147" s="4" t="s">
        <v>467</v>
      </c>
    </row>
    <row r="148" customFormat="false" ht="15" hidden="false" customHeight="false" outlineLevel="0" collapsed="false">
      <c r="A148" s="2" t="n">
        <v>147</v>
      </c>
      <c r="B148" s="3" t="s">
        <v>468</v>
      </c>
      <c r="C148" s="3" t="s">
        <v>17</v>
      </c>
      <c r="D148" s="4" t="s">
        <v>465</v>
      </c>
      <c r="E148" s="4" t="s">
        <v>469</v>
      </c>
      <c r="F148" s="3" t="s">
        <v>54</v>
      </c>
      <c r="G148" s="4" t="s">
        <v>252</v>
      </c>
      <c r="H148" s="2"/>
      <c r="I148" s="2"/>
      <c r="J148" s="2" t="s">
        <v>144</v>
      </c>
      <c r="K148" s="2" t="s">
        <v>144</v>
      </c>
      <c r="L148" s="5" t="str">
        <f aca="false">IF(AND(ISNUMBER(J148),ISNUMBER(H148)),IF(H148&gt;0,J148/H148,""),"")</f>
        <v/>
      </c>
      <c r="M148" s="5" t="str">
        <f aca="false">IF(AND(ISNUMBER(K148),ISNUMBER(I148)),IF(I148&gt;0,K148/I148,""),"")</f>
        <v/>
      </c>
      <c r="N148" s="4" t="s">
        <v>91</v>
      </c>
      <c r="O148" s="9" t="s">
        <v>67</v>
      </c>
      <c r="P148" s="4" t="s">
        <v>470</v>
      </c>
    </row>
    <row r="149" customFormat="false" ht="15" hidden="false" customHeight="false" outlineLevel="0" collapsed="false">
      <c r="A149" s="2" t="n">
        <v>148</v>
      </c>
      <c r="B149" s="3" t="s">
        <v>471</v>
      </c>
      <c r="C149" s="3" t="s">
        <v>17</v>
      </c>
      <c r="D149" s="4" t="s">
        <v>425</v>
      </c>
      <c r="E149" s="4" t="s">
        <v>472</v>
      </c>
      <c r="F149" s="3" t="s">
        <v>54</v>
      </c>
      <c r="G149" s="4" t="s">
        <v>252</v>
      </c>
      <c r="H149" s="2"/>
      <c r="I149" s="2"/>
      <c r="J149" s="2" t="n">
        <v>29</v>
      </c>
      <c r="K149" s="2" t="n">
        <v>20</v>
      </c>
      <c r="L149" s="5" t="str">
        <f aca="false">IF(AND(ISNUMBER(J149),ISNUMBER(H149)),IF(H149&gt;0,J149/H149,""),"")</f>
        <v/>
      </c>
      <c r="M149" s="5" t="str">
        <f aca="false">IF(AND(ISNUMBER(K149),ISNUMBER(I149)),IF(I149&gt;0,K149/I149,""),"")</f>
        <v/>
      </c>
      <c r="N149" s="4" t="s">
        <v>91</v>
      </c>
      <c r="O149" s="9" t="s">
        <v>67</v>
      </c>
      <c r="P149" s="4" t="s">
        <v>473</v>
      </c>
    </row>
    <row r="150" customFormat="false" ht="15" hidden="false" customHeight="false" outlineLevel="0" collapsed="false">
      <c r="A150" s="2" t="n">
        <v>149</v>
      </c>
      <c r="B150" s="3" t="s">
        <v>474</v>
      </c>
      <c r="C150" s="3" t="s">
        <v>17</v>
      </c>
      <c r="D150" s="4" t="s">
        <v>475</v>
      </c>
      <c r="E150" s="4" t="s">
        <v>476</v>
      </c>
      <c r="F150" s="3" t="s">
        <v>40</v>
      </c>
      <c r="G150" s="4" t="s">
        <v>21</v>
      </c>
      <c r="H150" s="2" t="n">
        <v>257</v>
      </c>
      <c r="I150" s="2" t="n">
        <v>134</v>
      </c>
      <c r="J150" s="2" t="n">
        <v>257</v>
      </c>
      <c r="K150" s="2" t="n">
        <v>130</v>
      </c>
      <c r="L150" s="5" t="n">
        <f aca="false">IF(AND(ISNUMBER(J150),ISNUMBER(H150)),IF(H150&gt;0,J150/H150,""),"")</f>
        <v>1</v>
      </c>
      <c r="M150" s="5" t="n">
        <f aca="false">IF(AND(ISNUMBER(K150),ISNUMBER(I150)),IF(I150&gt;0,K150/I150,""),"")</f>
        <v>0.970149253731343</v>
      </c>
      <c r="N150" s="4" t="s">
        <v>22</v>
      </c>
      <c r="O150" s="9" t="s">
        <v>67</v>
      </c>
      <c r="P150" s="4" t="s">
        <v>477</v>
      </c>
    </row>
    <row r="151" customFormat="false" ht="15" hidden="false" customHeight="false" outlineLevel="0" collapsed="false">
      <c r="A151" s="2" t="n">
        <v>150</v>
      </c>
      <c r="B151" s="3" t="s">
        <v>478</v>
      </c>
      <c r="C151" s="3" t="s">
        <v>17</v>
      </c>
      <c r="D151" s="4" t="s">
        <v>475</v>
      </c>
      <c r="E151" s="4" t="s">
        <v>479</v>
      </c>
      <c r="F151" s="3" t="s">
        <v>40</v>
      </c>
      <c r="G151" s="4" t="s">
        <v>21</v>
      </c>
      <c r="H151" s="2" t="n">
        <v>257</v>
      </c>
      <c r="I151" s="2" t="n">
        <v>134</v>
      </c>
      <c r="J151" s="2" t="n">
        <v>257</v>
      </c>
      <c r="K151" s="2" t="n">
        <v>133</v>
      </c>
      <c r="L151" s="5" t="n">
        <f aca="false">IF(AND(ISNUMBER(J151),ISNUMBER(H151)),IF(H151&gt;0,J151/H151,""),"")</f>
        <v>1</v>
      </c>
      <c r="M151" s="5" t="n">
        <f aca="false">IF(AND(ISNUMBER(K151),ISNUMBER(I151)),IF(I151&gt;0,K151/I151,""),"")</f>
        <v>0.992537313432836</v>
      </c>
      <c r="N151" s="4" t="s">
        <v>22</v>
      </c>
      <c r="O151" s="9" t="s">
        <v>67</v>
      </c>
      <c r="P151" s="4" t="s">
        <v>477</v>
      </c>
    </row>
    <row r="152" customFormat="false" ht="23.85" hidden="false" customHeight="false" outlineLevel="0" collapsed="false">
      <c r="A152" s="2" t="n">
        <v>151</v>
      </c>
      <c r="B152" s="3" t="s">
        <v>480</v>
      </c>
      <c r="C152" s="3" t="s">
        <v>17</v>
      </c>
      <c r="D152" s="4" t="s">
        <v>18</v>
      </c>
      <c r="E152" s="4" t="s">
        <v>481</v>
      </c>
      <c r="F152" s="3" t="s">
        <v>20</v>
      </c>
      <c r="G152" s="4" t="s">
        <v>21</v>
      </c>
      <c r="H152" s="2" t="n">
        <v>257</v>
      </c>
      <c r="I152" s="2" t="n">
        <v>134</v>
      </c>
      <c r="J152" s="2" t="n">
        <v>257</v>
      </c>
      <c r="K152" s="2" t="n">
        <v>134</v>
      </c>
      <c r="L152" s="5" t="n">
        <f aca="false">IF(AND(ISNUMBER(J152),ISNUMBER(H152)),IF(H152&gt;0,J152/H152,""),"")</f>
        <v>1</v>
      </c>
      <c r="M152" s="5" t="n">
        <f aca="false">IF(AND(ISNUMBER(K152),ISNUMBER(I152)),IF(I152&gt;0,K152/I152,""),"")</f>
        <v>1</v>
      </c>
      <c r="N152" s="4" t="s">
        <v>22</v>
      </c>
      <c r="O152" s="6" t="s">
        <v>23</v>
      </c>
      <c r="P152" s="4" t="s">
        <v>482</v>
      </c>
    </row>
    <row r="153" customFormat="false" ht="23.85" hidden="false" customHeight="false" outlineLevel="0" collapsed="false">
      <c r="A153" s="2" t="n">
        <v>152</v>
      </c>
      <c r="B153" s="3" t="s">
        <v>483</v>
      </c>
      <c r="C153" s="3" t="s">
        <v>484</v>
      </c>
      <c r="D153" s="4" t="s">
        <v>485</v>
      </c>
      <c r="E153" s="4" t="s">
        <v>486</v>
      </c>
      <c r="F153" s="3" t="s">
        <v>54</v>
      </c>
      <c r="G153" s="4" t="s">
        <v>21</v>
      </c>
      <c r="H153" s="2" t="n">
        <v>257</v>
      </c>
      <c r="I153" s="2" t="n">
        <v>134</v>
      </c>
      <c r="J153" s="2" t="n">
        <v>257</v>
      </c>
      <c r="K153" s="2" t="n">
        <v>134</v>
      </c>
      <c r="L153" s="5" t="n">
        <f aca="false">IF(AND(ISNUMBER(J153),ISNUMBER(H153)),IF(H153&gt;0,J153/H153,""),"")</f>
        <v>1</v>
      </c>
      <c r="M153" s="5" t="n">
        <f aca="false">IF(AND(ISNUMBER(K153),ISNUMBER(I153)),IF(I153&gt;0,K153/I153,""),"")</f>
        <v>1</v>
      </c>
      <c r="N153" s="4"/>
      <c r="O153" s="9" t="s">
        <v>67</v>
      </c>
      <c r="P153" s="4" t="s">
        <v>487</v>
      </c>
    </row>
    <row r="154" customFormat="false" ht="23.85" hidden="false" customHeight="false" outlineLevel="0" collapsed="false">
      <c r="A154" s="2" t="n">
        <v>153</v>
      </c>
      <c r="B154" s="3" t="s">
        <v>488</v>
      </c>
      <c r="C154" s="3" t="s">
        <v>484</v>
      </c>
      <c r="D154" s="4" t="s">
        <v>485</v>
      </c>
      <c r="E154" s="4" t="s">
        <v>489</v>
      </c>
      <c r="F154" s="3" t="s">
        <v>54</v>
      </c>
      <c r="G154" s="4" t="s">
        <v>21</v>
      </c>
      <c r="H154" s="2" t="n">
        <v>257</v>
      </c>
      <c r="I154" s="2" t="n">
        <v>134</v>
      </c>
      <c r="J154" s="2" t="n">
        <v>257</v>
      </c>
      <c r="K154" s="2" t="n">
        <v>134</v>
      </c>
      <c r="L154" s="5" t="n">
        <f aca="false">IF(AND(ISNUMBER(J154),ISNUMBER(H154)),IF(H154&gt;0,J154/H154,""),"")</f>
        <v>1</v>
      </c>
      <c r="M154" s="5" t="n">
        <f aca="false">IF(AND(ISNUMBER(K154),ISNUMBER(I154)),IF(I154&gt;0,K154/I154,""),"")</f>
        <v>1</v>
      </c>
      <c r="N154" s="4"/>
      <c r="O154" s="7" t="s">
        <v>41</v>
      </c>
      <c r="P154" s="4" t="s">
        <v>490</v>
      </c>
    </row>
    <row r="155" customFormat="false" ht="46.25" hidden="false" customHeight="false" outlineLevel="0" collapsed="false">
      <c r="A155" s="2" t="n">
        <v>154</v>
      </c>
      <c r="B155" s="3" t="s">
        <v>491</v>
      </c>
      <c r="C155" s="3" t="s">
        <v>484</v>
      </c>
      <c r="D155" s="4" t="s">
        <v>485</v>
      </c>
      <c r="E155" s="4" t="s">
        <v>492</v>
      </c>
      <c r="F155" s="3" t="s">
        <v>54</v>
      </c>
      <c r="G155" s="4" t="s">
        <v>21</v>
      </c>
      <c r="H155" s="2" t="n">
        <v>257</v>
      </c>
      <c r="I155" s="2" t="n">
        <v>134</v>
      </c>
      <c r="J155" s="2" t="s">
        <v>312</v>
      </c>
      <c r="K155" s="2" t="s">
        <v>312</v>
      </c>
      <c r="L155" s="5" t="str">
        <f aca="false">IF(AND(ISNUMBER(J155),ISNUMBER(H155)),IF(H155&gt;0,J155/H155,""),"")</f>
        <v/>
      </c>
      <c r="M155" s="5" t="str">
        <f aca="false">IF(AND(ISNUMBER(K155),ISNUMBER(I155)),IF(I155&gt;0,K155/I155,""),"")</f>
        <v/>
      </c>
      <c r="N155" s="4"/>
      <c r="O155" s="7" t="s">
        <v>41</v>
      </c>
      <c r="P155" s="4" t="s">
        <v>493</v>
      </c>
    </row>
    <row r="156" customFormat="false" ht="23.85" hidden="false" customHeight="false" outlineLevel="0" collapsed="false">
      <c r="A156" s="2" t="n">
        <v>155</v>
      </c>
      <c r="B156" s="3" t="s">
        <v>494</v>
      </c>
      <c r="C156" s="3" t="s">
        <v>484</v>
      </c>
      <c r="D156" s="4" t="s">
        <v>485</v>
      </c>
      <c r="E156" s="4" t="s">
        <v>495</v>
      </c>
      <c r="F156" s="3" t="s">
        <v>54</v>
      </c>
      <c r="G156" s="4" t="s">
        <v>21</v>
      </c>
      <c r="H156" s="2" t="n">
        <v>257</v>
      </c>
      <c r="I156" s="2" t="n">
        <v>134</v>
      </c>
      <c r="J156" s="2" t="s">
        <v>312</v>
      </c>
      <c r="K156" s="2" t="s">
        <v>312</v>
      </c>
      <c r="L156" s="5" t="str">
        <f aca="false">IF(AND(ISNUMBER(J156),ISNUMBER(H156)),IF(H156&gt;0,J156/H156,""),"")</f>
        <v/>
      </c>
      <c r="M156" s="5" t="str">
        <f aca="false">IF(AND(ISNUMBER(K156),ISNUMBER(I156)),IF(I156&gt;0,K156/I156,""),"")</f>
        <v/>
      </c>
      <c r="N156" s="4"/>
      <c r="O156" s="7" t="s">
        <v>41</v>
      </c>
      <c r="P156" s="4" t="s">
        <v>496</v>
      </c>
    </row>
    <row r="157" customFormat="false" ht="23.85" hidden="false" customHeight="false" outlineLevel="0" collapsed="false">
      <c r="A157" s="2" t="n">
        <v>156</v>
      </c>
      <c r="B157" s="3" t="s">
        <v>497</v>
      </c>
      <c r="C157" s="3" t="s">
        <v>484</v>
      </c>
      <c r="D157" s="4" t="s">
        <v>485</v>
      </c>
      <c r="E157" s="4" t="s">
        <v>498</v>
      </c>
      <c r="F157" s="3" t="s">
        <v>54</v>
      </c>
      <c r="G157" s="4" t="s">
        <v>21</v>
      </c>
      <c r="H157" s="2" t="n">
        <v>257</v>
      </c>
      <c r="I157" s="2" t="n">
        <v>134</v>
      </c>
      <c r="J157" s="2" t="s">
        <v>312</v>
      </c>
      <c r="K157" s="2" t="s">
        <v>312</v>
      </c>
      <c r="L157" s="5" t="str">
        <f aca="false">IF(AND(ISNUMBER(J157),ISNUMBER(H157)),IF(H157&gt;0,J157/H157,""),"")</f>
        <v/>
      </c>
      <c r="M157" s="5" t="str">
        <f aca="false">IF(AND(ISNUMBER(K157),ISNUMBER(I157)),IF(I157&gt;0,K157/I157,""),"")</f>
        <v/>
      </c>
      <c r="N157" s="4"/>
      <c r="O157" s="9" t="s">
        <v>67</v>
      </c>
      <c r="P157" s="4" t="s">
        <v>499</v>
      </c>
    </row>
    <row r="158" customFormat="false" ht="23.85" hidden="false" customHeight="false" outlineLevel="0" collapsed="false">
      <c r="A158" s="2" t="n">
        <v>157</v>
      </c>
      <c r="B158" s="3" t="s">
        <v>500</v>
      </c>
      <c r="C158" s="3" t="s">
        <v>484</v>
      </c>
      <c r="D158" s="4" t="s">
        <v>485</v>
      </c>
      <c r="E158" s="4" t="s">
        <v>501</v>
      </c>
      <c r="F158" s="3" t="s">
        <v>54</v>
      </c>
      <c r="G158" s="4" t="s">
        <v>21</v>
      </c>
      <c r="H158" s="2" t="n">
        <v>257</v>
      </c>
      <c r="I158" s="2" t="n">
        <v>134</v>
      </c>
      <c r="J158" s="2" t="s">
        <v>312</v>
      </c>
      <c r="K158" s="2" t="s">
        <v>312</v>
      </c>
      <c r="L158" s="5" t="str">
        <f aca="false">IF(AND(ISNUMBER(J158),ISNUMBER(H158)),IF(H158&gt;0,J158/H158,""),"")</f>
        <v/>
      </c>
      <c r="M158" s="5" t="str">
        <f aca="false">IF(AND(ISNUMBER(K158),ISNUMBER(I158)),IF(I158&gt;0,K158/I158,""),"")</f>
        <v/>
      </c>
      <c r="N158" s="4"/>
      <c r="O158" s="7" t="s">
        <v>41</v>
      </c>
      <c r="P158" s="4" t="s">
        <v>502</v>
      </c>
    </row>
    <row r="159" customFormat="false" ht="15" hidden="false" customHeight="false" outlineLevel="0" collapsed="false">
      <c r="A159" s="2" t="n">
        <v>158</v>
      </c>
      <c r="B159" s="3" t="s">
        <v>503</v>
      </c>
      <c r="C159" s="3" t="s">
        <v>484</v>
      </c>
      <c r="D159" s="4" t="s">
        <v>485</v>
      </c>
      <c r="E159" s="4" t="s">
        <v>504</v>
      </c>
      <c r="F159" s="3" t="s">
        <v>54</v>
      </c>
      <c r="G159" s="4" t="s">
        <v>21</v>
      </c>
      <c r="H159" s="2" t="n">
        <v>257</v>
      </c>
      <c r="I159" s="2" t="n">
        <v>134</v>
      </c>
      <c r="J159" s="2" t="n">
        <v>257</v>
      </c>
      <c r="K159" s="2" t="n">
        <v>134</v>
      </c>
      <c r="L159" s="5" t="n">
        <f aca="false">IF(AND(ISNUMBER(J159),ISNUMBER(H159)),IF(H159&gt;0,J159/H159,""),"")</f>
        <v>1</v>
      </c>
      <c r="M159" s="5" t="n">
        <f aca="false">IF(AND(ISNUMBER(K159),ISNUMBER(I159)),IF(I159&gt;0,K159/I159,""),"")</f>
        <v>1</v>
      </c>
      <c r="N159" s="4"/>
      <c r="O159" s="9" t="s">
        <v>67</v>
      </c>
      <c r="P159" s="4" t="s">
        <v>505</v>
      </c>
    </row>
    <row r="160" customFormat="false" ht="15" hidden="false" customHeight="false" outlineLevel="0" collapsed="false">
      <c r="A160" s="2" t="n">
        <v>159</v>
      </c>
      <c r="B160" s="3" t="s">
        <v>506</v>
      </c>
      <c r="C160" s="3" t="s">
        <v>484</v>
      </c>
      <c r="D160" s="4" t="s">
        <v>485</v>
      </c>
      <c r="E160" s="4" t="s">
        <v>507</v>
      </c>
      <c r="F160" s="3" t="s">
        <v>54</v>
      </c>
      <c r="G160" s="4" t="s">
        <v>21</v>
      </c>
      <c r="H160" s="2" t="n">
        <v>257</v>
      </c>
      <c r="I160" s="2" t="n">
        <v>134</v>
      </c>
      <c r="J160" s="2" t="n">
        <v>257</v>
      </c>
      <c r="K160" s="2" t="n">
        <v>134</v>
      </c>
      <c r="L160" s="5" t="n">
        <f aca="false">IF(AND(ISNUMBER(J160),ISNUMBER(H160)),IF(H160&gt;0,J160/H160,""),"")</f>
        <v>1</v>
      </c>
      <c r="M160" s="5" t="n">
        <f aca="false">IF(AND(ISNUMBER(K160),ISNUMBER(I160)),IF(I160&gt;0,K160/I160,""),"")</f>
        <v>1</v>
      </c>
      <c r="N160" s="4"/>
      <c r="O160" s="7" t="s">
        <v>41</v>
      </c>
      <c r="P160" s="4" t="s">
        <v>508</v>
      </c>
    </row>
    <row r="161" customFormat="false" ht="23.85" hidden="false" customHeight="false" outlineLevel="0" collapsed="false">
      <c r="A161" s="2" t="n">
        <v>160</v>
      </c>
      <c r="B161" s="3" t="s">
        <v>509</v>
      </c>
      <c r="C161" s="3" t="s">
        <v>484</v>
      </c>
      <c r="D161" s="4" t="s">
        <v>485</v>
      </c>
      <c r="E161" s="4" t="s">
        <v>510</v>
      </c>
      <c r="F161" s="3" t="s">
        <v>54</v>
      </c>
      <c r="G161" s="4" t="s">
        <v>21</v>
      </c>
      <c r="H161" s="2" t="n">
        <v>257</v>
      </c>
      <c r="I161" s="2" t="n">
        <v>134</v>
      </c>
      <c r="J161" s="2" t="s">
        <v>312</v>
      </c>
      <c r="K161" s="2" t="s">
        <v>312</v>
      </c>
      <c r="L161" s="5" t="str">
        <f aca="false">IF(AND(ISNUMBER(J161),ISNUMBER(H161)),IF(H161&gt;0,J161/H161,""),"")</f>
        <v/>
      </c>
      <c r="M161" s="5" t="str">
        <f aca="false">IF(AND(ISNUMBER(K161),ISNUMBER(I161)),IF(I161&gt;0,K161/I161,""),"")</f>
        <v/>
      </c>
      <c r="N161" s="4"/>
      <c r="O161" s="9" t="s">
        <v>67</v>
      </c>
      <c r="P161" s="4" t="s">
        <v>511</v>
      </c>
    </row>
    <row r="162" customFormat="false" ht="23.85" hidden="false" customHeight="false" outlineLevel="0" collapsed="false">
      <c r="A162" s="2" t="n">
        <v>161</v>
      </c>
      <c r="B162" s="3" t="s">
        <v>512</v>
      </c>
      <c r="C162" s="3" t="s">
        <v>484</v>
      </c>
      <c r="D162" s="4" t="s">
        <v>485</v>
      </c>
      <c r="E162" s="4" t="s">
        <v>513</v>
      </c>
      <c r="F162" s="3" t="s">
        <v>54</v>
      </c>
      <c r="G162" s="4" t="s">
        <v>21</v>
      </c>
      <c r="H162" s="2" t="n">
        <v>257</v>
      </c>
      <c r="I162" s="2" t="n">
        <v>134</v>
      </c>
      <c r="J162" s="2" t="s">
        <v>312</v>
      </c>
      <c r="K162" s="2" t="s">
        <v>312</v>
      </c>
      <c r="L162" s="5" t="str">
        <f aca="false">IF(AND(ISNUMBER(J162),ISNUMBER(H162)),IF(H162&gt;0,J162/H162,""),"")</f>
        <v/>
      </c>
      <c r="M162" s="5" t="str">
        <f aca="false">IF(AND(ISNUMBER(K162),ISNUMBER(I162)),IF(I162&gt;0,K162/I162,""),"")</f>
        <v/>
      </c>
      <c r="N162" s="4"/>
      <c r="O162" s="7" t="s">
        <v>41</v>
      </c>
      <c r="P162" s="4" t="s">
        <v>514</v>
      </c>
    </row>
    <row r="163" customFormat="false" ht="23.85" hidden="false" customHeight="false" outlineLevel="0" collapsed="false">
      <c r="A163" s="2" t="n">
        <v>162</v>
      </c>
      <c r="B163" s="3" t="s">
        <v>515</v>
      </c>
      <c r="C163" s="3" t="s">
        <v>484</v>
      </c>
      <c r="D163" s="4" t="s">
        <v>516</v>
      </c>
      <c r="E163" s="4" t="s">
        <v>517</v>
      </c>
      <c r="F163" s="3" t="s">
        <v>54</v>
      </c>
      <c r="G163" s="4" t="s">
        <v>21</v>
      </c>
      <c r="H163" s="2" t="n">
        <v>257</v>
      </c>
      <c r="I163" s="2" t="n">
        <v>134</v>
      </c>
      <c r="J163" s="2" t="n">
        <v>246</v>
      </c>
      <c r="K163" s="2" t="n">
        <v>134</v>
      </c>
      <c r="L163" s="5" t="n">
        <f aca="false">IF(AND(ISNUMBER(J163),ISNUMBER(H163)),IF(H163&gt;0,J163/H163,""),"")</f>
        <v>0.957198443579767</v>
      </c>
      <c r="M163" s="5" t="n">
        <f aca="false">IF(AND(ISNUMBER(K163),ISNUMBER(I163)),IF(I163&gt;0,K163/I163,""),"")</f>
        <v>1</v>
      </c>
      <c r="N163" s="4"/>
      <c r="O163" s="6" t="s">
        <v>23</v>
      </c>
      <c r="P163" s="4" t="s">
        <v>518</v>
      </c>
    </row>
    <row r="164" customFormat="false" ht="23.85" hidden="false" customHeight="false" outlineLevel="0" collapsed="false">
      <c r="A164" s="2" t="n">
        <v>163</v>
      </c>
      <c r="B164" s="3" t="s">
        <v>519</v>
      </c>
      <c r="C164" s="3" t="s">
        <v>484</v>
      </c>
      <c r="D164" s="4" t="s">
        <v>516</v>
      </c>
      <c r="E164" s="4" t="s">
        <v>520</v>
      </c>
      <c r="F164" s="3" t="s">
        <v>40</v>
      </c>
      <c r="G164" s="4" t="s">
        <v>21</v>
      </c>
      <c r="H164" s="2" t="n">
        <v>257</v>
      </c>
      <c r="I164" s="2" t="n">
        <v>134</v>
      </c>
      <c r="J164" s="2" t="n">
        <v>257</v>
      </c>
      <c r="K164" s="2" t="n">
        <v>134</v>
      </c>
      <c r="L164" s="5" t="n">
        <f aca="false">IF(AND(ISNUMBER(J164),ISNUMBER(H164)),IF(H164&gt;0,J164/H164,""),"")</f>
        <v>1</v>
      </c>
      <c r="M164" s="5" t="n">
        <f aca="false">IF(AND(ISNUMBER(K164),ISNUMBER(I164)),IF(I164&gt;0,K164/I164,""),"")</f>
        <v>1</v>
      </c>
      <c r="N164" s="4"/>
      <c r="O164" s="7" t="s">
        <v>41</v>
      </c>
      <c r="P164" s="4" t="s">
        <v>521</v>
      </c>
    </row>
    <row r="165" customFormat="false" ht="15" hidden="false" customHeight="false" outlineLevel="0" collapsed="false">
      <c r="A165" s="2" t="n">
        <v>164</v>
      </c>
      <c r="B165" s="3" t="s">
        <v>522</v>
      </c>
      <c r="C165" s="3" t="s">
        <v>484</v>
      </c>
      <c r="D165" s="4" t="s">
        <v>523</v>
      </c>
      <c r="E165" s="4" t="s">
        <v>524</v>
      </c>
      <c r="F165" s="3" t="s">
        <v>54</v>
      </c>
      <c r="G165" s="4" t="s">
        <v>21</v>
      </c>
      <c r="H165" s="2" t="n">
        <v>257</v>
      </c>
      <c r="I165" s="2" t="n">
        <v>134</v>
      </c>
      <c r="J165" s="2" t="n">
        <v>254</v>
      </c>
      <c r="K165" s="2" t="n">
        <v>129</v>
      </c>
      <c r="L165" s="5" t="n">
        <f aca="false">IF(AND(ISNUMBER(J165),ISNUMBER(H165)),IF(H165&gt;0,J165/H165,""),"")</f>
        <v>0.988326848249027</v>
      </c>
      <c r="M165" s="5" t="n">
        <f aca="false">IF(AND(ISNUMBER(K165),ISNUMBER(I165)),IF(I165&gt;0,K165/I165,""),"")</f>
        <v>0.962686567164179</v>
      </c>
      <c r="N165" s="4"/>
      <c r="O165" s="7" t="s">
        <v>41</v>
      </c>
      <c r="P165" s="4" t="s">
        <v>525</v>
      </c>
    </row>
    <row r="166" customFormat="false" ht="15" hidden="false" customHeight="false" outlineLevel="0" collapsed="false">
      <c r="A166" s="2" t="n">
        <v>165</v>
      </c>
      <c r="B166" s="3" t="s">
        <v>526</v>
      </c>
      <c r="C166" s="3" t="s">
        <v>484</v>
      </c>
      <c r="D166" s="4" t="s">
        <v>523</v>
      </c>
      <c r="E166" s="4" t="s">
        <v>527</v>
      </c>
      <c r="F166" s="3" t="s">
        <v>54</v>
      </c>
      <c r="G166" s="4" t="s">
        <v>21</v>
      </c>
      <c r="H166" s="2" t="n">
        <v>257</v>
      </c>
      <c r="I166" s="2" t="n">
        <v>134</v>
      </c>
      <c r="J166" s="2" t="n">
        <v>254</v>
      </c>
      <c r="K166" s="2" t="n">
        <v>128</v>
      </c>
      <c r="L166" s="5" t="n">
        <f aca="false">IF(AND(ISNUMBER(J166),ISNUMBER(H166)),IF(H166&gt;0,J166/H166,""),"")</f>
        <v>0.988326848249027</v>
      </c>
      <c r="M166" s="5" t="n">
        <f aca="false">IF(AND(ISNUMBER(K166),ISNUMBER(I166)),IF(I166&gt;0,K166/I166,""),"")</f>
        <v>0.955223880597015</v>
      </c>
      <c r="N166" s="4"/>
      <c r="O166" s="7" t="s">
        <v>41</v>
      </c>
      <c r="P166" s="4" t="s">
        <v>528</v>
      </c>
    </row>
    <row r="167" customFormat="false" ht="15" hidden="false" customHeight="false" outlineLevel="0" collapsed="false">
      <c r="A167" s="2" t="n">
        <v>166</v>
      </c>
      <c r="B167" s="3" t="s">
        <v>529</v>
      </c>
      <c r="C167" s="3" t="s">
        <v>484</v>
      </c>
      <c r="D167" s="4" t="s">
        <v>523</v>
      </c>
      <c r="E167" s="4" t="s">
        <v>530</v>
      </c>
      <c r="F167" s="3" t="s">
        <v>54</v>
      </c>
      <c r="G167" s="4" t="s">
        <v>21</v>
      </c>
      <c r="H167" s="2" t="n">
        <v>257</v>
      </c>
      <c r="I167" s="2" t="n">
        <v>134</v>
      </c>
      <c r="J167" s="2" t="n">
        <v>254</v>
      </c>
      <c r="K167" s="2" t="n">
        <v>129</v>
      </c>
      <c r="L167" s="5" t="n">
        <f aca="false">IF(AND(ISNUMBER(J167),ISNUMBER(H167)),IF(H167&gt;0,J167/H167,""),"")</f>
        <v>0.988326848249027</v>
      </c>
      <c r="M167" s="5" t="n">
        <f aca="false">IF(AND(ISNUMBER(K167),ISNUMBER(I167)),IF(I167&gt;0,K167/I167,""),"")</f>
        <v>0.962686567164179</v>
      </c>
      <c r="N167" s="4"/>
      <c r="O167" s="7" t="s">
        <v>41</v>
      </c>
      <c r="P167" s="4" t="s">
        <v>531</v>
      </c>
    </row>
    <row r="168" customFormat="false" ht="15" hidden="false" customHeight="false" outlineLevel="0" collapsed="false">
      <c r="A168" s="2" t="n">
        <v>167</v>
      </c>
      <c r="B168" s="3" t="s">
        <v>532</v>
      </c>
      <c r="C168" s="3" t="s">
        <v>484</v>
      </c>
      <c r="D168" s="4" t="s">
        <v>523</v>
      </c>
      <c r="E168" s="4" t="s">
        <v>533</v>
      </c>
      <c r="F168" s="3" t="s">
        <v>54</v>
      </c>
      <c r="G168" s="4" t="s">
        <v>21</v>
      </c>
      <c r="H168" s="2" t="n">
        <v>257</v>
      </c>
      <c r="I168" s="2" t="n">
        <v>134</v>
      </c>
      <c r="J168" s="2" t="n">
        <v>254</v>
      </c>
      <c r="K168" s="2" t="n">
        <v>131</v>
      </c>
      <c r="L168" s="5" t="n">
        <f aca="false">IF(AND(ISNUMBER(J168),ISNUMBER(H168)),IF(H168&gt;0,J168/H168,""),"")</f>
        <v>0.988326848249027</v>
      </c>
      <c r="M168" s="5" t="n">
        <f aca="false">IF(AND(ISNUMBER(K168),ISNUMBER(I168)),IF(I168&gt;0,K168/I168,""),"")</f>
        <v>0.977611940298508</v>
      </c>
      <c r="N168" s="4"/>
      <c r="O168" s="7" t="s">
        <v>41</v>
      </c>
      <c r="P168" s="4" t="s">
        <v>534</v>
      </c>
    </row>
    <row r="169" customFormat="false" ht="15" hidden="false" customHeight="false" outlineLevel="0" collapsed="false">
      <c r="A169" s="2" t="n">
        <v>168</v>
      </c>
      <c r="B169" s="3" t="s">
        <v>535</v>
      </c>
      <c r="C169" s="3" t="s">
        <v>484</v>
      </c>
      <c r="D169" s="4" t="s">
        <v>523</v>
      </c>
      <c r="E169" s="4" t="s">
        <v>536</v>
      </c>
      <c r="F169" s="3" t="s">
        <v>54</v>
      </c>
      <c r="G169" s="4" t="s">
        <v>21</v>
      </c>
      <c r="H169" s="2" t="n">
        <v>257</v>
      </c>
      <c r="I169" s="2" t="n">
        <v>134</v>
      </c>
      <c r="J169" s="2" t="n">
        <v>254</v>
      </c>
      <c r="K169" s="2" t="n">
        <v>131</v>
      </c>
      <c r="L169" s="5" t="n">
        <f aca="false">IF(AND(ISNUMBER(J169),ISNUMBER(H169)),IF(H169&gt;0,J169/H169,""),"")</f>
        <v>0.988326848249027</v>
      </c>
      <c r="M169" s="5" t="n">
        <f aca="false">IF(AND(ISNUMBER(K169),ISNUMBER(I169)),IF(I169&gt;0,K169/I169,""),"")</f>
        <v>0.977611940298508</v>
      </c>
      <c r="N169" s="4"/>
      <c r="O169" s="7" t="s">
        <v>41</v>
      </c>
      <c r="P169" s="4" t="s">
        <v>537</v>
      </c>
    </row>
    <row r="170" customFormat="false" ht="15" hidden="false" customHeight="false" outlineLevel="0" collapsed="false">
      <c r="A170" s="2" t="n">
        <v>169</v>
      </c>
      <c r="B170" s="3" t="s">
        <v>538</v>
      </c>
      <c r="C170" s="3" t="s">
        <v>484</v>
      </c>
      <c r="D170" s="4" t="s">
        <v>523</v>
      </c>
      <c r="E170" s="4" t="s">
        <v>539</v>
      </c>
      <c r="F170" s="3" t="s">
        <v>54</v>
      </c>
      <c r="G170" s="4" t="s">
        <v>21</v>
      </c>
      <c r="H170" s="2" t="n">
        <v>257</v>
      </c>
      <c r="I170" s="2" t="n">
        <v>134</v>
      </c>
      <c r="J170" s="2" t="n">
        <v>255</v>
      </c>
      <c r="K170" s="2" t="n">
        <v>130</v>
      </c>
      <c r="L170" s="5" t="n">
        <f aca="false">IF(AND(ISNUMBER(J170),ISNUMBER(H170)),IF(H170&gt;0,J170/H170,""),"")</f>
        <v>0.992217898832685</v>
      </c>
      <c r="M170" s="5" t="n">
        <f aca="false">IF(AND(ISNUMBER(K170),ISNUMBER(I170)),IF(I170&gt;0,K170/I170,""),"")</f>
        <v>0.970149253731343</v>
      </c>
      <c r="N170" s="4"/>
      <c r="O170" s="7" t="s">
        <v>41</v>
      </c>
      <c r="P170" s="4" t="s">
        <v>540</v>
      </c>
    </row>
    <row r="171" customFormat="false" ht="15" hidden="false" customHeight="false" outlineLevel="0" collapsed="false">
      <c r="A171" s="2" t="n">
        <v>170</v>
      </c>
      <c r="B171" s="3" t="s">
        <v>541</v>
      </c>
      <c r="C171" s="3" t="s">
        <v>484</v>
      </c>
      <c r="D171" s="4" t="s">
        <v>523</v>
      </c>
      <c r="E171" s="4" t="s">
        <v>542</v>
      </c>
      <c r="F171" s="3" t="s">
        <v>54</v>
      </c>
      <c r="G171" s="4" t="s">
        <v>21</v>
      </c>
      <c r="H171" s="2" t="n">
        <v>257</v>
      </c>
      <c r="I171" s="2" t="n">
        <v>134</v>
      </c>
      <c r="J171" s="2" t="n">
        <v>256</v>
      </c>
      <c r="K171" s="2" t="n">
        <v>128</v>
      </c>
      <c r="L171" s="5" t="n">
        <f aca="false">IF(AND(ISNUMBER(J171),ISNUMBER(H171)),IF(H171&gt;0,J171/H171,""),"")</f>
        <v>0.996108949416342</v>
      </c>
      <c r="M171" s="5" t="n">
        <f aca="false">IF(AND(ISNUMBER(K171),ISNUMBER(I171)),IF(I171&gt;0,K171/I171,""),"")</f>
        <v>0.955223880597015</v>
      </c>
      <c r="N171" s="4"/>
      <c r="O171" s="7" t="s">
        <v>41</v>
      </c>
      <c r="P171" s="4" t="s">
        <v>543</v>
      </c>
    </row>
    <row r="172" customFormat="false" ht="15" hidden="false" customHeight="false" outlineLevel="0" collapsed="false">
      <c r="A172" s="2" t="n">
        <v>171</v>
      </c>
      <c r="B172" s="3" t="s">
        <v>544</v>
      </c>
      <c r="C172" s="3" t="s">
        <v>484</v>
      </c>
      <c r="D172" s="4" t="s">
        <v>523</v>
      </c>
      <c r="E172" s="4" t="s">
        <v>545</v>
      </c>
      <c r="F172" s="3" t="s">
        <v>54</v>
      </c>
      <c r="G172" s="4" t="s">
        <v>21</v>
      </c>
      <c r="H172" s="2" t="n">
        <v>257</v>
      </c>
      <c r="I172" s="2" t="n">
        <v>134</v>
      </c>
      <c r="J172" s="2" t="n">
        <v>256</v>
      </c>
      <c r="K172" s="2" t="n">
        <v>129</v>
      </c>
      <c r="L172" s="5" t="n">
        <f aca="false">IF(AND(ISNUMBER(J172),ISNUMBER(H172)),IF(H172&gt;0,J172/H172,""),"")</f>
        <v>0.996108949416342</v>
      </c>
      <c r="M172" s="5" t="n">
        <f aca="false">IF(AND(ISNUMBER(K172),ISNUMBER(I172)),IF(I172&gt;0,K172/I172,""),"")</f>
        <v>0.962686567164179</v>
      </c>
      <c r="N172" s="4"/>
      <c r="O172" s="7" t="s">
        <v>41</v>
      </c>
      <c r="P172" s="4" t="s">
        <v>546</v>
      </c>
    </row>
    <row r="173" customFormat="false" ht="15" hidden="false" customHeight="false" outlineLevel="0" collapsed="false">
      <c r="A173" s="2" t="n">
        <v>172</v>
      </c>
      <c r="B173" s="3" t="s">
        <v>547</v>
      </c>
      <c r="C173" s="3" t="s">
        <v>484</v>
      </c>
      <c r="D173" s="4" t="s">
        <v>523</v>
      </c>
      <c r="E173" s="4" t="s">
        <v>548</v>
      </c>
      <c r="F173" s="3" t="s">
        <v>54</v>
      </c>
      <c r="G173" s="4" t="s">
        <v>21</v>
      </c>
      <c r="H173" s="2" t="n">
        <v>257</v>
      </c>
      <c r="I173" s="2" t="n">
        <v>134</v>
      </c>
      <c r="J173" s="2" t="n">
        <v>256</v>
      </c>
      <c r="K173" s="2" t="n">
        <v>129</v>
      </c>
      <c r="L173" s="5" t="n">
        <f aca="false">IF(AND(ISNUMBER(J173),ISNUMBER(H173)),IF(H173&gt;0,J173/H173,""),"")</f>
        <v>0.996108949416342</v>
      </c>
      <c r="M173" s="5" t="n">
        <f aca="false">IF(AND(ISNUMBER(K173),ISNUMBER(I173)),IF(I173&gt;0,K173/I173,""),"")</f>
        <v>0.962686567164179</v>
      </c>
      <c r="N173" s="4"/>
      <c r="O173" s="7" t="s">
        <v>41</v>
      </c>
      <c r="P173" s="4" t="s">
        <v>549</v>
      </c>
    </row>
    <row r="174" customFormat="false" ht="15" hidden="false" customHeight="false" outlineLevel="0" collapsed="false">
      <c r="A174" s="2" t="n">
        <v>173</v>
      </c>
      <c r="B174" s="3" t="s">
        <v>550</v>
      </c>
      <c r="C174" s="3" t="s">
        <v>484</v>
      </c>
      <c r="D174" s="4" t="s">
        <v>523</v>
      </c>
      <c r="E174" s="4" t="s">
        <v>551</v>
      </c>
      <c r="F174" s="3" t="s">
        <v>54</v>
      </c>
      <c r="G174" s="4" t="s">
        <v>21</v>
      </c>
      <c r="H174" s="2" t="n">
        <v>257</v>
      </c>
      <c r="I174" s="2" t="n">
        <v>134</v>
      </c>
      <c r="J174" s="2" t="n">
        <v>256</v>
      </c>
      <c r="K174" s="2" t="n">
        <v>130</v>
      </c>
      <c r="L174" s="5" t="n">
        <f aca="false">IF(AND(ISNUMBER(J174),ISNUMBER(H174)),IF(H174&gt;0,J174/H174,""),"")</f>
        <v>0.996108949416342</v>
      </c>
      <c r="M174" s="5" t="n">
        <f aca="false">IF(AND(ISNUMBER(K174),ISNUMBER(I174)),IF(I174&gt;0,K174/I174,""),"")</f>
        <v>0.970149253731343</v>
      </c>
      <c r="N174" s="4"/>
      <c r="O174" s="7" t="s">
        <v>41</v>
      </c>
      <c r="P174" s="4" t="s">
        <v>552</v>
      </c>
    </row>
    <row r="175" customFormat="false" ht="15" hidden="false" customHeight="false" outlineLevel="0" collapsed="false">
      <c r="A175" s="2" t="n">
        <v>174</v>
      </c>
      <c r="B175" s="3" t="s">
        <v>553</v>
      </c>
      <c r="C175" s="3" t="s">
        <v>484</v>
      </c>
      <c r="D175" s="4" t="s">
        <v>523</v>
      </c>
      <c r="E175" s="4" t="s">
        <v>554</v>
      </c>
      <c r="F175" s="3" t="s">
        <v>54</v>
      </c>
      <c r="G175" s="4" t="s">
        <v>21</v>
      </c>
      <c r="H175" s="2" t="n">
        <v>257</v>
      </c>
      <c r="I175" s="2" t="n">
        <v>134</v>
      </c>
      <c r="J175" s="2" t="n">
        <v>256</v>
      </c>
      <c r="K175" s="2" t="n">
        <v>128</v>
      </c>
      <c r="L175" s="5" t="n">
        <f aca="false">IF(AND(ISNUMBER(J175),ISNUMBER(H175)),IF(H175&gt;0,J175/H175,""),"")</f>
        <v>0.996108949416342</v>
      </c>
      <c r="M175" s="5" t="n">
        <f aca="false">IF(AND(ISNUMBER(K175),ISNUMBER(I175)),IF(I175&gt;0,K175/I175,""),"")</f>
        <v>0.955223880597015</v>
      </c>
      <c r="N175" s="4"/>
      <c r="O175" s="7" t="s">
        <v>41</v>
      </c>
      <c r="P175" s="4" t="s">
        <v>555</v>
      </c>
    </row>
    <row r="176" customFormat="false" ht="23.85" hidden="false" customHeight="false" outlineLevel="0" collapsed="false">
      <c r="A176" s="2" t="n">
        <v>175</v>
      </c>
      <c r="B176" s="3" t="s">
        <v>556</v>
      </c>
      <c r="C176" s="3" t="s">
        <v>484</v>
      </c>
      <c r="D176" s="4" t="s">
        <v>516</v>
      </c>
      <c r="E176" s="4" t="s">
        <v>557</v>
      </c>
      <c r="F176" s="3" t="s">
        <v>40</v>
      </c>
      <c r="G176" s="4" t="s">
        <v>21</v>
      </c>
      <c r="H176" s="2" t="n">
        <v>257</v>
      </c>
      <c r="I176" s="2" t="n">
        <v>134</v>
      </c>
      <c r="J176" s="2" t="n">
        <v>257</v>
      </c>
      <c r="K176" s="2" t="n">
        <v>134</v>
      </c>
      <c r="L176" s="5" t="n">
        <f aca="false">IF(AND(ISNUMBER(J176),ISNUMBER(H176)),IF(H176&gt;0,J176/H176,""),"")</f>
        <v>1</v>
      </c>
      <c r="M176" s="5" t="n">
        <f aca="false">IF(AND(ISNUMBER(K176),ISNUMBER(I176)),IF(I176&gt;0,K176/I176,""),"")</f>
        <v>1</v>
      </c>
      <c r="N176" s="4"/>
      <c r="O176" s="7" t="s">
        <v>41</v>
      </c>
      <c r="P176" s="4" t="s">
        <v>558</v>
      </c>
    </row>
    <row r="177" customFormat="false" ht="23.85" hidden="false" customHeight="false" outlineLevel="0" collapsed="false">
      <c r="A177" s="2" t="n">
        <v>176</v>
      </c>
      <c r="B177" s="3" t="s">
        <v>559</v>
      </c>
      <c r="C177" s="3" t="s">
        <v>484</v>
      </c>
      <c r="D177" s="4" t="s">
        <v>516</v>
      </c>
      <c r="E177" s="4" t="s">
        <v>560</v>
      </c>
      <c r="F177" s="3" t="s">
        <v>40</v>
      </c>
      <c r="G177" s="4" t="s">
        <v>21</v>
      </c>
      <c r="H177" s="2" t="n">
        <v>257</v>
      </c>
      <c r="I177" s="2" t="n">
        <v>134</v>
      </c>
      <c r="J177" s="2" t="n">
        <v>257</v>
      </c>
      <c r="K177" s="2" t="n">
        <v>134</v>
      </c>
      <c r="L177" s="5" t="n">
        <f aca="false">IF(AND(ISNUMBER(J177),ISNUMBER(H177)),IF(H177&gt;0,J177/H177,""),"")</f>
        <v>1</v>
      </c>
      <c r="M177" s="5" t="n">
        <f aca="false">IF(AND(ISNUMBER(K177),ISNUMBER(I177)),IF(I177&gt;0,K177/I177,""),"")</f>
        <v>1</v>
      </c>
      <c r="N177" s="4"/>
      <c r="O177" s="7" t="s">
        <v>41</v>
      </c>
      <c r="P177" s="4" t="s">
        <v>558</v>
      </c>
    </row>
    <row r="178" customFormat="false" ht="23.85" hidden="false" customHeight="false" outlineLevel="0" collapsed="false">
      <c r="A178" s="2" t="n">
        <v>177</v>
      </c>
      <c r="B178" s="3" t="s">
        <v>561</v>
      </c>
      <c r="C178" s="3" t="s">
        <v>484</v>
      </c>
      <c r="D178" s="4" t="s">
        <v>516</v>
      </c>
      <c r="E178" s="4" t="s">
        <v>562</v>
      </c>
      <c r="F178" s="3" t="s">
        <v>40</v>
      </c>
      <c r="G178" s="4" t="s">
        <v>21</v>
      </c>
      <c r="H178" s="2" t="n">
        <v>257</v>
      </c>
      <c r="I178" s="2" t="n">
        <v>134</v>
      </c>
      <c r="J178" s="2" t="n">
        <v>257</v>
      </c>
      <c r="K178" s="2" t="n">
        <v>134</v>
      </c>
      <c r="L178" s="5" t="n">
        <f aca="false">IF(AND(ISNUMBER(J178),ISNUMBER(H178)),IF(H178&gt;0,J178/H178,""),"")</f>
        <v>1</v>
      </c>
      <c r="M178" s="5" t="n">
        <f aca="false">IF(AND(ISNUMBER(K178),ISNUMBER(I178)),IF(I178&gt;0,K178/I178,""),"")</f>
        <v>1</v>
      </c>
      <c r="N178" s="4"/>
      <c r="O178" s="7" t="s">
        <v>41</v>
      </c>
      <c r="P178" s="4" t="s">
        <v>558</v>
      </c>
    </row>
    <row r="179" customFormat="false" ht="23.85" hidden="false" customHeight="false" outlineLevel="0" collapsed="false">
      <c r="A179" s="2" t="n">
        <v>178</v>
      </c>
      <c r="B179" s="3" t="s">
        <v>563</v>
      </c>
      <c r="C179" s="3" t="s">
        <v>484</v>
      </c>
      <c r="D179" s="4" t="s">
        <v>516</v>
      </c>
      <c r="E179" s="4" t="s">
        <v>564</v>
      </c>
      <c r="F179" s="3" t="s">
        <v>40</v>
      </c>
      <c r="G179" s="4" t="s">
        <v>21</v>
      </c>
      <c r="H179" s="2" t="n">
        <v>257</v>
      </c>
      <c r="I179" s="2" t="n">
        <v>134</v>
      </c>
      <c r="J179" s="2" t="n">
        <v>257</v>
      </c>
      <c r="K179" s="2" t="n">
        <v>134</v>
      </c>
      <c r="L179" s="5" t="n">
        <f aca="false">IF(AND(ISNUMBER(J179),ISNUMBER(H179)),IF(H179&gt;0,J179/H179,""),"")</f>
        <v>1</v>
      </c>
      <c r="M179" s="5" t="n">
        <f aca="false">IF(AND(ISNUMBER(K179),ISNUMBER(I179)),IF(I179&gt;0,K179/I179,""),"")</f>
        <v>1</v>
      </c>
      <c r="N179" s="4"/>
      <c r="O179" s="7" t="s">
        <v>41</v>
      </c>
      <c r="P179" s="4" t="s">
        <v>558</v>
      </c>
    </row>
    <row r="180" customFormat="false" ht="23.85" hidden="false" customHeight="false" outlineLevel="0" collapsed="false">
      <c r="A180" s="2" t="n">
        <v>179</v>
      </c>
      <c r="B180" s="3" t="s">
        <v>565</v>
      </c>
      <c r="C180" s="3" t="s">
        <v>484</v>
      </c>
      <c r="D180" s="4" t="s">
        <v>516</v>
      </c>
      <c r="E180" s="4" t="s">
        <v>566</v>
      </c>
      <c r="F180" s="3" t="s">
        <v>40</v>
      </c>
      <c r="G180" s="4" t="s">
        <v>21</v>
      </c>
      <c r="H180" s="2" t="n">
        <v>257</v>
      </c>
      <c r="I180" s="2" t="n">
        <v>134</v>
      </c>
      <c r="J180" s="2" t="n">
        <v>257</v>
      </c>
      <c r="K180" s="2" t="n">
        <v>134</v>
      </c>
      <c r="L180" s="5" t="n">
        <f aca="false">IF(AND(ISNUMBER(J180),ISNUMBER(H180)),IF(H180&gt;0,J180/H180,""),"")</f>
        <v>1</v>
      </c>
      <c r="M180" s="5" t="n">
        <f aca="false">IF(AND(ISNUMBER(K180),ISNUMBER(I180)),IF(I180&gt;0,K180/I180,""),"")</f>
        <v>1</v>
      </c>
      <c r="N180" s="4"/>
      <c r="O180" s="7" t="s">
        <v>41</v>
      </c>
      <c r="P180" s="4" t="s">
        <v>558</v>
      </c>
    </row>
    <row r="181" customFormat="false" ht="15" hidden="false" customHeight="false" outlineLevel="0" collapsed="false">
      <c r="A181" s="2" t="n">
        <v>180</v>
      </c>
      <c r="B181" s="3" t="s">
        <v>567</v>
      </c>
      <c r="C181" s="3" t="s">
        <v>484</v>
      </c>
      <c r="D181" s="4" t="s">
        <v>523</v>
      </c>
      <c r="E181" s="4" t="s">
        <v>568</v>
      </c>
      <c r="F181" s="3" t="s">
        <v>54</v>
      </c>
      <c r="G181" s="4" t="s">
        <v>21</v>
      </c>
      <c r="H181" s="2" t="n">
        <v>257</v>
      </c>
      <c r="I181" s="2" t="n">
        <v>134</v>
      </c>
      <c r="J181" s="2" t="n">
        <v>254</v>
      </c>
      <c r="K181" s="2" t="n">
        <v>129</v>
      </c>
      <c r="L181" s="5" t="n">
        <f aca="false">IF(AND(ISNUMBER(J181),ISNUMBER(H181)),IF(H181&gt;0,J181/H181,""),"")</f>
        <v>0.988326848249027</v>
      </c>
      <c r="M181" s="5" t="n">
        <f aca="false">IF(AND(ISNUMBER(K181),ISNUMBER(I181)),IF(I181&gt;0,K181/I181,""),"")</f>
        <v>0.962686567164179</v>
      </c>
      <c r="N181" s="4"/>
      <c r="O181" s="7" t="s">
        <v>41</v>
      </c>
      <c r="P181" s="4" t="s">
        <v>569</v>
      </c>
    </row>
    <row r="182" customFormat="false" ht="15" hidden="false" customHeight="false" outlineLevel="0" collapsed="false">
      <c r="A182" s="2" t="n">
        <v>181</v>
      </c>
      <c r="B182" s="3" t="s">
        <v>570</v>
      </c>
      <c r="C182" s="3" t="s">
        <v>484</v>
      </c>
      <c r="D182" s="4" t="s">
        <v>523</v>
      </c>
      <c r="E182" s="4" t="s">
        <v>571</v>
      </c>
      <c r="F182" s="3" t="s">
        <v>54</v>
      </c>
      <c r="G182" s="4" t="s">
        <v>21</v>
      </c>
      <c r="H182" s="2" t="n">
        <v>257</v>
      </c>
      <c r="I182" s="2" t="n">
        <v>134</v>
      </c>
      <c r="J182" s="2" t="n">
        <v>254</v>
      </c>
      <c r="K182" s="2" t="n">
        <v>131</v>
      </c>
      <c r="L182" s="5" t="n">
        <f aca="false">IF(AND(ISNUMBER(J182),ISNUMBER(H182)),IF(H182&gt;0,J182/H182,""),"")</f>
        <v>0.988326848249027</v>
      </c>
      <c r="M182" s="5" t="n">
        <f aca="false">IF(AND(ISNUMBER(K182),ISNUMBER(I182)),IF(I182&gt;0,K182/I182,""),"")</f>
        <v>0.977611940298508</v>
      </c>
      <c r="N182" s="4"/>
      <c r="O182" s="7" t="s">
        <v>41</v>
      </c>
      <c r="P182" s="4" t="s">
        <v>572</v>
      </c>
    </row>
    <row r="183" customFormat="false" ht="15" hidden="false" customHeight="false" outlineLevel="0" collapsed="false">
      <c r="A183" s="2" t="n">
        <v>182</v>
      </c>
      <c r="B183" s="3" t="s">
        <v>573</v>
      </c>
      <c r="C183" s="3" t="s">
        <v>484</v>
      </c>
      <c r="D183" s="4" t="s">
        <v>523</v>
      </c>
      <c r="E183" s="4" t="s">
        <v>574</v>
      </c>
      <c r="F183" s="3" t="s">
        <v>54</v>
      </c>
      <c r="G183" s="4" t="s">
        <v>21</v>
      </c>
      <c r="H183" s="2" t="n">
        <v>257</v>
      </c>
      <c r="I183" s="2" t="n">
        <v>134</v>
      </c>
      <c r="J183" s="2" t="n">
        <v>254</v>
      </c>
      <c r="K183" s="2" t="n">
        <v>131</v>
      </c>
      <c r="L183" s="5" t="n">
        <f aca="false">IF(AND(ISNUMBER(J183),ISNUMBER(H183)),IF(H183&gt;0,J183/H183,""),"")</f>
        <v>0.988326848249027</v>
      </c>
      <c r="M183" s="5" t="n">
        <f aca="false">IF(AND(ISNUMBER(K183),ISNUMBER(I183)),IF(I183&gt;0,K183/I183,""),"")</f>
        <v>0.977611940298508</v>
      </c>
      <c r="N183" s="4"/>
      <c r="O183" s="7" t="s">
        <v>41</v>
      </c>
      <c r="P183" s="4" t="s">
        <v>575</v>
      </c>
    </row>
    <row r="184" customFormat="false" ht="15" hidden="false" customHeight="false" outlineLevel="0" collapsed="false">
      <c r="A184" s="2" t="n">
        <v>183</v>
      </c>
      <c r="B184" s="3" t="s">
        <v>576</v>
      </c>
      <c r="C184" s="3" t="s">
        <v>484</v>
      </c>
      <c r="D184" s="4" t="s">
        <v>523</v>
      </c>
      <c r="E184" s="4" t="s">
        <v>577</v>
      </c>
      <c r="F184" s="3" t="s">
        <v>54</v>
      </c>
      <c r="G184" s="4" t="s">
        <v>21</v>
      </c>
      <c r="H184" s="2" t="n">
        <v>257</v>
      </c>
      <c r="I184" s="2" t="n">
        <v>134</v>
      </c>
      <c r="J184" s="2" t="n">
        <v>255</v>
      </c>
      <c r="K184" s="2" t="n">
        <v>130</v>
      </c>
      <c r="L184" s="5" t="n">
        <f aca="false">IF(AND(ISNUMBER(J184),ISNUMBER(H184)),IF(H184&gt;0,J184/H184,""),"")</f>
        <v>0.992217898832685</v>
      </c>
      <c r="M184" s="5" t="n">
        <f aca="false">IF(AND(ISNUMBER(K184),ISNUMBER(I184)),IF(I184&gt;0,K184/I184,""),"")</f>
        <v>0.970149253731343</v>
      </c>
      <c r="N184" s="4"/>
      <c r="O184" s="7" t="s">
        <v>41</v>
      </c>
      <c r="P184" s="4" t="s">
        <v>578</v>
      </c>
    </row>
    <row r="185" customFormat="false" ht="15" hidden="false" customHeight="false" outlineLevel="0" collapsed="false">
      <c r="A185" s="2" t="n">
        <v>184</v>
      </c>
      <c r="B185" s="3" t="s">
        <v>579</v>
      </c>
      <c r="C185" s="3" t="s">
        <v>484</v>
      </c>
      <c r="D185" s="4" t="s">
        <v>523</v>
      </c>
      <c r="E185" s="4" t="s">
        <v>580</v>
      </c>
      <c r="F185" s="3" t="s">
        <v>54</v>
      </c>
      <c r="G185" s="4" t="s">
        <v>21</v>
      </c>
      <c r="H185" s="2" t="n">
        <v>257</v>
      </c>
      <c r="I185" s="2" t="n">
        <v>134</v>
      </c>
      <c r="J185" s="2" t="n">
        <v>256</v>
      </c>
      <c r="K185" s="2" t="n">
        <v>128</v>
      </c>
      <c r="L185" s="5" t="n">
        <f aca="false">IF(AND(ISNUMBER(J185),ISNUMBER(H185)),IF(H185&gt;0,J185/H185,""),"")</f>
        <v>0.996108949416342</v>
      </c>
      <c r="M185" s="5" t="n">
        <f aca="false">IF(AND(ISNUMBER(K185),ISNUMBER(I185)),IF(I185&gt;0,K185/I185,""),"")</f>
        <v>0.955223880597015</v>
      </c>
      <c r="N185" s="4"/>
      <c r="O185" s="7" t="s">
        <v>41</v>
      </c>
      <c r="P185" s="4" t="s">
        <v>581</v>
      </c>
    </row>
    <row r="186" customFormat="false" ht="15" hidden="false" customHeight="false" outlineLevel="0" collapsed="false">
      <c r="A186" s="2" t="n">
        <v>185</v>
      </c>
      <c r="B186" s="3" t="s">
        <v>582</v>
      </c>
      <c r="C186" s="3" t="s">
        <v>484</v>
      </c>
      <c r="D186" s="4" t="s">
        <v>523</v>
      </c>
      <c r="E186" s="4" t="s">
        <v>583</v>
      </c>
      <c r="F186" s="3" t="s">
        <v>54</v>
      </c>
      <c r="G186" s="4" t="s">
        <v>21</v>
      </c>
      <c r="H186" s="2" t="n">
        <v>257</v>
      </c>
      <c r="I186" s="2" t="n">
        <v>134</v>
      </c>
      <c r="J186" s="2" t="n">
        <v>256</v>
      </c>
      <c r="K186" s="2" t="n">
        <v>129</v>
      </c>
      <c r="L186" s="5" t="n">
        <f aca="false">IF(AND(ISNUMBER(J186),ISNUMBER(H186)),IF(H186&gt;0,J186/H186,""),"")</f>
        <v>0.996108949416342</v>
      </c>
      <c r="M186" s="5" t="n">
        <f aca="false">IF(AND(ISNUMBER(K186),ISNUMBER(I186)),IF(I186&gt;0,K186/I186,""),"")</f>
        <v>0.962686567164179</v>
      </c>
      <c r="N186" s="4"/>
      <c r="O186" s="7" t="s">
        <v>41</v>
      </c>
      <c r="P186" s="4" t="s">
        <v>584</v>
      </c>
    </row>
    <row r="187" customFormat="false" ht="15" hidden="false" customHeight="false" outlineLevel="0" collapsed="false">
      <c r="A187" s="2" t="n">
        <v>186</v>
      </c>
      <c r="B187" s="3" t="s">
        <v>585</v>
      </c>
      <c r="C187" s="3" t="s">
        <v>484</v>
      </c>
      <c r="D187" s="4" t="s">
        <v>523</v>
      </c>
      <c r="E187" s="4" t="s">
        <v>586</v>
      </c>
      <c r="F187" s="3" t="s">
        <v>54</v>
      </c>
      <c r="G187" s="4" t="s">
        <v>21</v>
      </c>
      <c r="H187" s="2" t="n">
        <v>257</v>
      </c>
      <c r="I187" s="2" t="n">
        <v>134</v>
      </c>
      <c r="J187" s="2" t="n">
        <v>256</v>
      </c>
      <c r="K187" s="2" t="n">
        <v>129</v>
      </c>
      <c r="L187" s="5" t="n">
        <f aca="false">IF(AND(ISNUMBER(J187),ISNUMBER(H187)),IF(H187&gt;0,J187/H187,""),"")</f>
        <v>0.996108949416342</v>
      </c>
      <c r="M187" s="5" t="n">
        <f aca="false">IF(AND(ISNUMBER(K187),ISNUMBER(I187)),IF(I187&gt;0,K187/I187,""),"")</f>
        <v>0.962686567164179</v>
      </c>
      <c r="N187" s="4"/>
      <c r="O187" s="7" t="s">
        <v>41</v>
      </c>
      <c r="P187" s="4" t="s">
        <v>587</v>
      </c>
    </row>
    <row r="188" customFormat="false" ht="15" hidden="false" customHeight="false" outlineLevel="0" collapsed="false">
      <c r="A188" s="2" t="n">
        <v>187</v>
      </c>
      <c r="B188" s="3" t="s">
        <v>588</v>
      </c>
      <c r="C188" s="3" t="s">
        <v>484</v>
      </c>
      <c r="D188" s="4" t="s">
        <v>523</v>
      </c>
      <c r="E188" s="4" t="s">
        <v>589</v>
      </c>
      <c r="F188" s="3" t="s">
        <v>54</v>
      </c>
      <c r="G188" s="4" t="s">
        <v>21</v>
      </c>
      <c r="H188" s="2" t="n">
        <v>257</v>
      </c>
      <c r="I188" s="2" t="n">
        <v>134</v>
      </c>
      <c r="J188" s="2" t="n">
        <v>256</v>
      </c>
      <c r="K188" s="2" t="n">
        <v>130</v>
      </c>
      <c r="L188" s="5" t="n">
        <f aca="false">IF(AND(ISNUMBER(J188),ISNUMBER(H188)),IF(H188&gt;0,J188/H188,""),"")</f>
        <v>0.996108949416342</v>
      </c>
      <c r="M188" s="5" t="n">
        <f aca="false">IF(AND(ISNUMBER(K188),ISNUMBER(I188)),IF(I188&gt;0,K188/I188,""),"")</f>
        <v>0.970149253731343</v>
      </c>
      <c r="N188" s="4"/>
      <c r="O188" s="7" t="s">
        <v>41</v>
      </c>
      <c r="P188" s="4" t="s">
        <v>590</v>
      </c>
    </row>
    <row r="189" customFormat="false" ht="15" hidden="false" customHeight="false" outlineLevel="0" collapsed="false">
      <c r="A189" s="2" t="n">
        <v>188</v>
      </c>
      <c r="B189" s="3" t="s">
        <v>591</v>
      </c>
      <c r="C189" s="3" t="s">
        <v>484</v>
      </c>
      <c r="D189" s="4" t="s">
        <v>523</v>
      </c>
      <c r="E189" s="4" t="s">
        <v>592</v>
      </c>
      <c r="F189" s="3" t="s">
        <v>54</v>
      </c>
      <c r="G189" s="4" t="s">
        <v>21</v>
      </c>
      <c r="H189" s="2" t="n">
        <v>257</v>
      </c>
      <c r="I189" s="2" t="n">
        <v>134</v>
      </c>
      <c r="J189" s="2" t="n">
        <v>256</v>
      </c>
      <c r="K189" s="2" t="n">
        <v>128</v>
      </c>
      <c r="L189" s="5" t="n">
        <f aca="false">IF(AND(ISNUMBER(J189),ISNUMBER(H189)),IF(H189&gt;0,J189/H189,""),"")</f>
        <v>0.996108949416342</v>
      </c>
      <c r="M189" s="5" t="n">
        <f aca="false">IF(AND(ISNUMBER(K189),ISNUMBER(I189)),IF(I189&gt;0,K189/I189,""),"")</f>
        <v>0.955223880597015</v>
      </c>
      <c r="N189" s="4"/>
      <c r="O189" s="7" t="s">
        <v>41</v>
      </c>
      <c r="P189" s="4" t="s">
        <v>593</v>
      </c>
    </row>
    <row r="190" customFormat="false" ht="15" hidden="false" customHeight="false" outlineLevel="0" collapsed="false">
      <c r="A190" s="2" t="n">
        <v>189</v>
      </c>
      <c r="B190" s="3" t="s">
        <v>594</v>
      </c>
      <c r="C190" s="3" t="s">
        <v>484</v>
      </c>
      <c r="D190" s="4" t="s">
        <v>523</v>
      </c>
      <c r="E190" s="4" t="s">
        <v>595</v>
      </c>
      <c r="F190" s="3" t="s">
        <v>54</v>
      </c>
      <c r="G190" s="4" t="s">
        <v>21</v>
      </c>
      <c r="H190" s="2" t="n">
        <v>257</v>
      </c>
      <c r="I190" s="2" t="n">
        <v>134</v>
      </c>
      <c r="J190" s="2" t="n">
        <v>254</v>
      </c>
      <c r="K190" s="2" t="n">
        <v>129</v>
      </c>
      <c r="L190" s="5" t="n">
        <f aca="false">IF(AND(ISNUMBER(J190),ISNUMBER(H190)),IF(H190&gt;0,J190/H190,""),"")</f>
        <v>0.988326848249027</v>
      </c>
      <c r="M190" s="5" t="n">
        <f aca="false">IF(AND(ISNUMBER(K190),ISNUMBER(I190)),IF(I190&gt;0,K190/I190,""),"")</f>
        <v>0.962686567164179</v>
      </c>
      <c r="N190" s="4"/>
      <c r="O190" s="7" t="s">
        <v>41</v>
      </c>
      <c r="P190" s="4" t="s">
        <v>596</v>
      </c>
    </row>
    <row r="191" customFormat="false" ht="15" hidden="false" customHeight="false" outlineLevel="0" collapsed="false">
      <c r="A191" s="2" t="n">
        <v>190</v>
      </c>
      <c r="B191" s="3" t="s">
        <v>597</v>
      </c>
      <c r="C191" s="3" t="s">
        <v>484</v>
      </c>
      <c r="D191" s="4" t="s">
        <v>523</v>
      </c>
      <c r="E191" s="4" t="s">
        <v>598</v>
      </c>
      <c r="F191" s="3" t="s">
        <v>54</v>
      </c>
      <c r="G191" s="4" t="s">
        <v>21</v>
      </c>
      <c r="H191" s="2" t="n">
        <v>257</v>
      </c>
      <c r="I191" s="2" t="n">
        <v>134</v>
      </c>
      <c r="J191" s="2" t="n">
        <v>254</v>
      </c>
      <c r="K191" s="2" t="n">
        <v>128</v>
      </c>
      <c r="L191" s="5" t="n">
        <f aca="false">IF(AND(ISNUMBER(J191),ISNUMBER(H191)),IF(H191&gt;0,J191/H191,""),"")</f>
        <v>0.988326848249027</v>
      </c>
      <c r="M191" s="5" t="n">
        <f aca="false">IF(AND(ISNUMBER(K191),ISNUMBER(I191)),IF(I191&gt;0,K191/I191,""),"")</f>
        <v>0.955223880597015</v>
      </c>
      <c r="N191" s="4"/>
      <c r="O191" s="7" t="s">
        <v>41</v>
      </c>
      <c r="P191" s="4" t="s">
        <v>599</v>
      </c>
    </row>
    <row r="192" customFormat="false" ht="23.85" hidden="false" customHeight="false" outlineLevel="0" collapsed="false">
      <c r="A192" s="2" t="n">
        <v>191</v>
      </c>
      <c r="B192" s="3" t="s">
        <v>600</v>
      </c>
      <c r="C192" s="3" t="s">
        <v>484</v>
      </c>
      <c r="D192" s="4" t="s">
        <v>601</v>
      </c>
      <c r="E192" s="4" t="s">
        <v>602</v>
      </c>
      <c r="F192" s="3" t="s">
        <v>54</v>
      </c>
      <c r="G192" s="4" t="s">
        <v>21</v>
      </c>
      <c r="H192" s="2" t="n">
        <v>257</v>
      </c>
      <c r="I192" s="2" t="n">
        <v>134</v>
      </c>
      <c r="J192" s="2" t="n">
        <v>15</v>
      </c>
      <c r="K192" s="2" t="n">
        <v>0</v>
      </c>
      <c r="L192" s="5" t="n">
        <f aca="false">IF(AND(ISNUMBER(J192),ISNUMBER(H192)),IF(H192&gt;0,J192/H192,""),"")</f>
        <v>0.0583657587548638</v>
      </c>
      <c r="M192" s="5" t="n">
        <f aca="false">IF(AND(ISNUMBER(K192),ISNUMBER(I192)),IF(I192&gt;0,K192/I192,""),"")</f>
        <v>0</v>
      </c>
      <c r="N192" s="4"/>
      <c r="O192" s="9" t="s">
        <v>67</v>
      </c>
      <c r="P192" s="4" t="s">
        <v>603</v>
      </c>
    </row>
    <row r="193" customFormat="false" ht="15" hidden="false" customHeight="false" outlineLevel="0" collapsed="false">
      <c r="A193" s="2" t="n">
        <v>192</v>
      </c>
      <c r="B193" s="3" t="s">
        <v>604</v>
      </c>
      <c r="C193" s="3" t="s">
        <v>484</v>
      </c>
      <c r="D193" s="4" t="s">
        <v>601</v>
      </c>
      <c r="E193" s="4" t="s">
        <v>605</v>
      </c>
      <c r="F193" s="3" t="s">
        <v>54</v>
      </c>
      <c r="G193" s="4" t="s">
        <v>21</v>
      </c>
      <c r="H193" s="2" t="n">
        <v>257</v>
      </c>
      <c r="I193" s="2" t="n">
        <v>134</v>
      </c>
      <c r="J193" s="2" t="n">
        <v>257</v>
      </c>
      <c r="K193" s="2" t="n">
        <v>134</v>
      </c>
      <c r="L193" s="5" t="n">
        <f aca="false">IF(AND(ISNUMBER(J193),ISNUMBER(H193)),IF(H193&gt;0,J193/H193,""),"")</f>
        <v>1</v>
      </c>
      <c r="M193" s="5" t="n">
        <f aca="false">IF(AND(ISNUMBER(K193),ISNUMBER(I193)),IF(I193&gt;0,K193/I193,""),"")</f>
        <v>1</v>
      </c>
      <c r="N193" s="4"/>
      <c r="O193" s="9" t="s">
        <v>67</v>
      </c>
      <c r="P193" s="4" t="s">
        <v>603</v>
      </c>
    </row>
    <row r="194" customFormat="false" ht="15" hidden="false" customHeight="false" outlineLevel="0" collapsed="false">
      <c r="A194" s="2" t="n">
        <v>193</v>
      </c>
      <c r="B194" s="3" t="s">
        <v>606</v>
      </c>
      <c r="C194" s="3" t="s">
        <v>484</v>
      </c>
      <c r="D194" s="4" t="s">
        <v>601</v>
      </c>
      <c r="E194" s="4" t="s">
        <v>607</v>
      </c>
      <c r="F194" s="3" t="s">
        <v>54</v>
      </c>
      <c r="G194" s="4" t="s">
        <v>21</v>
      </c>
      <c r="H194" s="2" t="n">
        <v>257</v>
      </c>
      <c r="I194" s="2" t="n">
        <v>134</v>
      </c>
      <c r="J194" s="2" t="n">
        <v>257</v>
      </c>
      <c r="K194" s="2" t="n">
        <v>134</v>
      </c>
      <c r="L194" s="5" t="n">
        <f aca="false">IF(AND(ISNUMBER(J194),ISNUMBER(H194)),IF(H194&gt;0,J194/H194,""),"")</f>
        <v>1</v>
      </c>
      <c r="M194" s="5" t="n">
        <f aca="false">IF(AND(ISNUMBER(K194),ISNUMBER(I194)),IF(I194&gt;0,K194/I194,""),"")</f>
        <v>1</v>
      </c>
      <c r="N194" s="4"/>
      <c r="O194" s="9" t="s">
        <v>67</v>
      </c>
      <c r="P194" s="4" t="s">
        <v>603</v>
      </c>
    </row>
    <row r="195" customFormat="false" ht="15" hidden="false" customHeight="false" outlineLevel="0" collapsed="false">
      <c r="A195" s="2" t="n">
        <v>194</v>
      </c>
      <c r="B195" s="3" t="s">
        <v>608</v>
      </c>
      <c r="C195" s="3" t="s">
        <v>484</v>
      </c>
      <c r="D195" s="4" t="s">
        <v>601</v>
      </c>
      <c r="E195" s="4" t="s">
        <v>609</v>
      </c>
      <c r="F195" s="3" t="s">
        <v>54</v>
      </c>
      <c r="G195" s="4" t="s">
        <v>21</v>
      </c>
      <c r="H195" s="2" t="n">
        <v>257</v>
      </c>
      <c r="I195" s="2" t="n">
        <v>134</v>
      </c>
      <c r="J195" s="2" t="n">
        <v>257</v>
      </c>
      <c r="K195" s="2" t="n">
        <v>134</v>
      </c>
      <c r="L195" s="5" t="n">
        <f aca="false">IF(AND(ISNUMBER(J195),ISNUMBER(H195)),IF(H195&gt;0,J195/H195,""),"")</f>
        <v>1</v>
      </c>
      <c r="M195" s="5" t="n">
        <f aca="false">IF(AND(ISNUMBER(K195),ISNUMBER(I195)),IF(I195&gt;0,K195/I195,""),"")</f>
        <v>1</v>
      </c>
      <c r="N195" s="4"/>
      <c r="O195" s="9" t="s">
        <v>67</v>
      </c>
      <c r="P195" s="4" t="s">
        <v>603</v>
      </c>
    </row>
    <row r="196" customFormat="false" ht="15" hidden="false" customHeight="false" outlineLevel="0" collapsed="false">
      <c r="A196" s="2" t="n">
        <v>195</v>
      </c>
      <c r="B196" s="3" t="s">
        <v>610</v>
      </c>
      <c r="C196" s="3" t="s">
        <v>484</v>
      </c>
      <c r="D196" s="4" t="s">
        <v>601</v>
      </c>
      <c r="E196" s="4" t="s">
        <v>611</v>
      </c>
      <c r="F196" s="3" t="s">
        <v>54</v>
      </c>
      <c r="G196" s="4" t="s">
        <v>21</v>
      </c>
      <c r="H196" s="2" t="n">
        <v>257</v>
      </c>
      <c r="I196" s="2" t="n">
        <v>134</v>
      </c>
      <c r="J196" s="2" t="n">
        <v>257</v>
      </c>
      <c r="K196" s="2" t="n">
        <v>134</v>
      </c>
      <c r="L196" s="5" t="n">
        <f aca="false">IF(AND(ISNUMBER(J196),ISNUMBER(H196)),IF(H196&gt;0,J196/H196,""),"")</f>
        <v>1</v>
      </c>
      <c r="M196" s="5" t="n">
        <f aca="false">IF(AND(ISNUMBER(K196),ISNUMBER(I196)),IF(I196&gt;0,K196/I196,""),"")</f>
        <v>1</v>
      </c>
      <c r="N196" s="4"/>
      <c r="O196" s="9" t="s">
        <v>67</v>
      </c>
      <c r="P196" s="4" t="s">
        <v>603</v>
      </c>
    </row>
    <row r="197" customFormat="false" ht="15" hidden="false" customHeight="false" outlineLevel="0" collapsed="false">
      <c r="A197" s="2" t="n">
        <v>196</v>
      </c>
      <c r="B197" s="3" t="s">
        <v>612</v>
      </c>
      <c r="C197" s="3" t="s">
        <v>484</v>
      </c>
      <c r="D197" s="4" t="s">
        <v>601</v>
      </c>
      <c r="E197" s="4" t="s">
        <v>613</v>
      </c>
      <c r="F197" s="3" t="s">
        <v>54</v>
      </c>
      <c r="G197" s="4" t="s">
        <v>21</v>
      </c>
      <c r="H197" s="2" t="n">
        <v>257</v>
      </c>
      <c r="I197" s="2" t="n">
        <v>134</v>
      </c>
      <c r="J197" s="2" t="n">
        <v>257</v>
      </c>
      <c r="K197" s="2" t="n">
        <v>134</v>
      </c>
      <c r="L197" s="5" t="n">
        <f aca="false">IF(AND(ISNUMBER(J197),ISNUMBER(H197)),IF(H197&gt;0,J197/H197,""),"")</f>
        <v>1</v>
      </c>
      <c r="M197" s="5" t="n">
        <f aca="false">IF(AND(ISNUMBER(K197),ISNUMBER(I197)),IF(I197&gt;0,K197/I197,""),"")</f>
        <v>1</v>
      </c>
      <c r="N197" s="4"/>
      <c r="O197" s="9" t="s">
        <v>67</v>
      </c>
      <c r="P197" s="4" t="s">
        <v>603</v>
      </c>
    </row>
    <row r="198" customFormat="false" ht="15" hidden="false" customHeight="false" outlineLevel="0" collapsed="false">
      <c r="A198" s="2" t="n">
        <v>197</v>
      </c>
      <c r="B198" s="3" t="s">
        <v>614</v>
      </c>
      <c r="C198" s="3" t="s">
        <v>484</v>
      </c>
      <c r="D198" s="4" t="s">
        <v>601</v>
      </c>
      <c r="E198" s="4" t="s">
        <v>615</v>
      </c>
      <c r="F198" s="3" t="s">
        <v>54</v>
      </c>
      <c r="G198" s="4" t="s">
        <v>21</v>
      </c>
      <c r="H198" s="2" t="n">
        <v>257</v>
      </c>
      <c r="I198" s="2" t="n">
        <v>134</v>
      </c>
      <c r="J198" s="2" t="n">
        <v>257</v>
      </c>
      <c r="K198" s="2" t="n">
        <v>134</v>
      </c>
      <c r="L198" s="5" t="n">
        <f aca="false">IF(AND(ISNUMBER(J198),ISNUMBER(H198)),IF(H198&gt;0,J198/H198,""),"")</f>
        <v>1</v>
      </c>
      <c r="M198" s="5" t="n">
        <f aca="false">IF(AND(ISNUMBER(K198),ISNUMBER(I198)),IF(I198&gt;0,K198/I198,""),"")</f>
        <v>1</v>
      </c>
      <c r="N198" s="4"/>
      <c r="O198" s="9" t="s">
        <v>67</v>
      </c>
      <c r="P198" s="4" t="s">
        <v>603</v>
      </c>
    </row>
    <row r="199" customFormat="false" ht="23.85" hidden="false" customHeight="false" outlineLevel="0" collapsed="false">
      <c r="A199" s="2" t="n">
        <v>198</v>
      </c>
      <c r="B199" s="3" t="s">
        <v>616</v>
      </c>
      <c r="C199" s="3" t="s">
        <v>484</v>
      </c>
      <c r="D199" s="4" t="s">
        <v>601</v>
      </c>
      <c r="E199" s="4" t="s">
        <v>617</v>
      </c>
      <c r="F199" s="3" t="s">
        <v>54</v>
      </c>
      <c r="G199" s="4" t="s">
        <v>21</v>
      </c>
      <c r="H199" s="2" t="n">
        <v>257</v>
      </c>
      <c r="I199" s="2" t="n">
        <v>134</v>
      </c>
      <c r="J199" s="2" t="n">
        <v>257</v>
      </c>
      <c r="K199" s="2" t="n">
        <v>134</v>
      </c>
      <c r="L199" s="5" t="n">
        <f aca="false">IF(AND(ISNUMBER(J199),ISNUMBER(H199)),IF(H199&gt;0,J199/H199,""),"")</f>
        <v>1</v>
      </c>
      <c r="M199" s="5" t="n">
        <f aca="false">IF(AND(ISNUMBER(K199),ISNUMBER(I199)),IF(I199&gt;0,K199/I199,""),"")</f>
        <v>1</v>
      </c>
      <c r="N199" s="4"/>
      <c r="O199" s="9" t="s">
        <v>67</v>
      </c>
      <c r="P199" s="4" t="s">
        <v>603</v>
      </c>
    </row>
    <row r="200" customFormat="false" ht="15" hidden="false" customHeight="false" outlineLevel="0" collapsed="false">
      <c r="A200" s="2" t="n">
        <v>199</v>
      </c>
      <c r="B200" s="3" t="s">
        <v>618</v>
      </c>
      <c r="C200" s="3" t="s">
        <v>484</v>
      </c>
      <c r="D200" s="4" t="s">
        <v>601</v>
      </c>
      <c r="E200" s="4" t="s">
        <v>619</v>
      </c>
      <c r="F200" s="3" t="s">
        <v>54</v>
      </c>
      <c r="G200" s="4" t="s">
        <v>21</v>
      </c>
      <c r="H200" s="2" t="n">
        <v>257</v>
      </c>
      <c r="I200" s="2" t="n">
        <v>134</v>
      </c>
      <c r="J200" s="2" t="n">
        <v>257</v>
      </c>
      <c r="K200" s="2" t="n">
        <v>134</v>
      </c>
      <c r="L200" s="5" t="n">
        <f aca="false">IF(AND(ISNUMBER(J200),ISNUMBER(H200)),IF(H200&gt;0,J200/H200,""),"")</f>
        <v>1</v>
      </c>
      <c r="M200" s="5" t="n">
        <f aca="false">IF(AND(ISNUMBER(K200),ISNUMBER(I200)),IF(I200&gt;0,K200/I200,""),"")</f>
        <v>1</v>
      </c>
      <c r="N200" s="4"/>
      <c r="O200" s="9" t="s">
        <v>67</v>
      </c>
      <c r="P200" s="4" t="s">
        <v>603</v>
      </c>
    </row>
    <row r="201" customFormat="false" ht="15" hidden="false" customHeight="false" outlineLevel="0" collapsed="false">
      <c r="A201" s="2" t="n">
        <v>200</v>
      </c>
      <c r="B201" s="3" t="s">
        <v>620</v>
      </c>
      <c r="C201" s="3" t="s">
        <v>484</v>
      </c>
      <c r="D201" s="4" t="s">
        <v>601</v>
      </c>
      <c r="E201" s="4" t="s">
        <v>621</v>
      </c>
      <c r="F201" s="3" t="s">
        <v>54</v>
      </c>
      <c r="G201" s="4" t="s">
        <v>21</v>
      </c>
      <c r="H201" s="2" t="n">
        <v>257</v>
      </c>
      <c r="I201" s="2" t="n">
        <v>134</v>
      </c>
      <c r="J201" s="2" t="n">
        <v>257</v>
      </c>
      <c r="K201" s="2" t="n">
        <v>134</v>
      </c>
      <c r="L201" s="5" t="n">
        <f aca="false">IF(AND(ISNUMBER(J201),ISNUMBER(H201)),IF(H201&gt;0,J201/H201,""),"")</f>
        <v>1</v>
      </c>
      <c r="M201" s="5" t="n">
        <f aca="false">IF(AND(ISNUMBER(K201),ISNUMBER(I201)),IF(I201&gt;0,K201/I201,""),"")</f>
        <v>1</v>
      </c>
      <c r="N201" s="4"/>
      <c r="O201" s="7" t="s">
        <v>41</v>
      </c>
      <c r="P201" s="4" t="s">
        <v>622</v>
      </c>
    </row>
    <row r="202" customFormat="false" ht="23.85" hidden="false" customHeight="false" outlineLevel="0" collapsed="false">
      <c r="A202" s="2" t="n">
        <v>201</v>
      </c>
      <c r="B202" s="3" t="s">
        <v>623</v>
      </c>
      <c r="C202" s="3" t="s">
        <v>484</v>
      </c>
      <c r="D202" s="4" t="s">
        <v>601</v>
      </c>
      <c r="E202" s="4" t="s">
        <v>624</v>
      </c>
      <c r="F202" s="3" t="s">
        <v>54</v>
      </c>
      <c r="G202" s="4" t="s">
        <v>21</v>
      </c>
      <c r="H202" s="2" t="n">
        <v>257</v>
      </c>
      <c r="I202" s="2" t="n">
        <v>134</v>
      </c>
      <c r="J202" s="2" t="n">
        <v>257</v>
      </c>
      <c r="K202" s="2" t="n">
        <v>134</v>
      </c>
      <c r="L202" s="5" t="n">
        <f aca="false">IF(AND(ISNUMBER(J202),ISNUMBER(H202)),IF(H202&gt;0,J202/H202,""),"")</f>
        <v>1</v>
      </c>
      <c r="M202" s="5" t="n">
        <f aca="false">IF(AND(ISNUMBER(K202),ISNUMBER(I202)),IF(I202&gt;0,K202/I202,""),"")</f>
        <v>1</v>
      </c>
      <c r="N202" s="4"/>
      <c r="O202" s="9" t="s">
        <v>67</v>
      </c>
      <c r="P202" s="4" t="s">
        <v>603</v>
      </c>
    </row>
    <row r="203" customFormat="false" ht="23.85" hidden="false" customHeight="false" outlineLevel="0" collapsed="false">
      <c r="A203" s="2" t="n">
        <v>202</v>
      </c>
      <c r="B203" s="3" t="s">
        <v>625</v>
      </c>
      <c r="C203" s="3" t="s">
        <v>484</v>
      </c>
      <c r="D203" s="4" t="s">
        <v>601</v>
      </c>
      <c r="E203" s="4" t="s">
        <v>626</v>
      </c>
      <c r="F203" s="3" t="s">
        <v>54</v>
      </c>
      <c r="G203" s="4" t="s">
        <v>21</v>
      </c>
      <c r="H203" s="2" t="n">
        <v>257</v>
      </c>
      <c r="I203" s="2" t="n">
        <v>134</v>
      </c>
      <c r="J203" s="2" t="n">
        <v>257</v>
      </c>
      <c r="K203" s="2" t="n">
        <v>134</v>
      </c>
      <c r="L203" s="5" t="n">
        <f aca="false">IF(AND(ISNUMBER(J203),ISNUMBER(H203)),IF(H203&gt;0,J203/H203,""),"")</f>
        <v>1</v>
      </c>
      <c r="M203" s="5" t="n">
        <f aca="false">IF(AND(ISNUMBER(K203),ISNUMBER(I203)),IF(I203&gt;0,K203/I203,""),"")</f>
        <v>1</v>
      </c>
      <c r="N203" s="4"/>
      <c r="O203" s="9" t="s">
        <v>67</v>
      </c>
      <c r="P203" s="4" t="s">
        <v>603</v>
      </c>
    </row>
    <row r="204" customFormat="false" ht="23.85" hidden="false" customHeight="false" outlineLevel="0" collapsed="false">
      <c r="A204" s="2" t="n">
        <v>203</v>
      </c>
      <c r="B204" s="3" t="s">
        <v>627</v>
      </c>
      <c r="C204" s="3" t="s">
        <v>484</v>
      </c>
      <c r="D204" s="4" t="s">
        <v>601</v>
      </c>
      <c r="E204" s="4" t="s">
        <v>628</v>
      </c>
      <c r="F204" s="3" t="s">
        <v>54</v>
      </c>
      <c r="G204" s="4" t="s">
        <v>21</v>
      </c>
      <c r="H204" s="2" t="n">
        <v>257</v>
      </c>
      <c r="I204" s="2" t="n">
        <v>134</v>
      </c>
      <c r="J204" s="2" t="n">
        <v>257</v>
      </c>
      <c r="K204" s="2" t="n">
        <v>134</v>
      </c>
      <c r="L204" s="5" t="n">
        <f aca="false">IF(AND(ISNUMBER(J204),ISNUMBER(H204)),IF(H204&gt;0,J204/H204,""),"")</f>
        <v>1</v>
      </c>
      <c r="M204" s="5" t="n">
        <f aca="false">IF(AND(ISNUMBER(K204),ISNUMBER(I204)),IF(I204&gt;0,K204/I204,""),"")</f>
        <v>1</v>
      </c>
      <c r="N204" s="4"/>
      <c r="O204" s="9" t="s">
        <v>67</v>
      </c>
      <c r="P204" s="4" t="s">
        <v>603</v>
      </c>
    </row>
    <row r="205" customFormat="false" ht="15" hidden="false" customHeight="false" outlineLevel="0" collapsed="false">
      <c r="A205" s="2" t="n">
        <v>204</v>
      </c>
      <c r="B205" s="3" t="s">
        <v>629</v>
      </c>
      <c r="C205" s="3" t="s">
        <v>484</v>
      </c>
      <c r="D205" s="4" t="s">
        <v>601</v>
      </c>
      <c r="E205" s="4" t="s">
        <v>630</v>
      </c>
      <c r="F205" s="3" t="s">
        <v>54</v>
      </c>
      <c r="G205" s="4" t="s">
        <v>21</v>
      </c>
      <c r="H205" s="2" t="n">
        <v>257</v>
      </c>
      <c r="I205" s="2" t="n">
        <v>134</v>
      </c>
      <c r="J205" s="2" t="n">
        <v>257</v>
      </c>
      <c r="K205" s="2" t="n">
        <v>134</v>
      </c>
      <c r="L205" s="5" t="n">
        <f aca="false">IF(AND(ISNUMBER(J205),ISNUMBER(H205)),IF(H205&gt;0,J205/H205,""),"")</f>
        <v>1</v>
      </c>
      <c r="M205" s="5" t="n">
        <f aca="false">IF(AND(ISNUMBER(K205),ISNUMBER(I205)),IF(I205&gt;0,K205/I205,""),"")</f>
        <v>1</v>
      </c>
      <c r="N205" s="4"/>
      <c r="O205" s="9" t="s">
        <v>67</v>
      </c>
      <c r="P205" s="4" t="s">
        <v>603</v>
      </c>
    </row>
    <row r="206" customFormat="false" ht="23.85" hidden="false" customHeight="false" outlineLevel="0" collapsed="false">
      <c r="A206" s="2" t="n">
        <v>205</v>
      </c>
      <c r="B206" s="3" t="s">
        <v>631</v>
      </c>
      <c r="C206" s="3" t="s">
        <v>484</v>
      </c>
      <c r="D206" s="4" t="s">
        <v>601</v>
      </c>
      <c r="E206" s="4" t="s">
        <v>632</v>
      </c>
      <c r="F206" s="3" t="s">
        <v>54</v>
      </c>
      <c r="G206" s="4" t="s">
        <v>27</v>
      </c>
      <c r="H206" s="2" t="n">
        <v>0</v>
      </c>
      <c r="I206" s="2" t="n">
        <v>134</v>
      </c>
      <c r="J206" s="2" t="n">
        <v>0</v>
      </c>
      <c r="K206" s="2" t="s">
        <v>144</v>
      </c>
      <c r="L206" s="5" t="str">
        <f aca="false">IF(AND(ISNUMBER(J206),ISNUMBER(H206)),IF(H206&gt;0,J206/H206,""),"")</f>
        <v/>
      </c>
      <c r="M206" s="5" t="str">
        <f aca="false">IF(AND(ISNUMBER(K206),ISNUMBER(I206)),IF(I206&gt;0,K206/I206,""),"")</f>
        <v/>
      </c>
      <c r="N206" s="4"/>
      <c r="O206" s="9" t="s">
        <v>67</v>
      </c>
      <c r="P206" s="4" t="s">
        <v>633</v>
      </c>
    </row>
    <row r="207" customFormat="false" ht="15" hidden="false" customHeight="false" outlineLevel="0" collapsed="false">
      <c r="A207" s="2" t="n">
        <v>206</v>
      </c>
      <c r="B207" s="3" t="s">
        <v>634</v>
      </c>
      <c r="C207" s="3" t="s">
        <v>484</v>
      </c>
      <c r="D207" s="4" t="s">
        <v>601</v>
      </c>
      <c r="E207" s="4" t="s">
        <v>635</v>
      </c>
      <c r="F207" s="3" t="s">
        <v>54</v>
      </c>
      <c r="G207" s="4" t="s">
        <v>27</v>
      </c>
      <c r="H207" s="2" t="n">
        <v>0</v>
      </c>
      <c r="I207" s="2" t="n">
        <v>134</v>
      </c>
      <c r="J207" s="2" t="n">
        <v>0</v>
      </c>
      <c r="K207" s="2" t="n">
        <v>78</v>
      </c>
      <c r="L207" s="5" t="str">
        <f aca="false">IF(AND(ISNUMBER(J207),ISNUMBER(H207)),IF(H207&gt;0,J207/H207,""),"")</f>
        <v/>
      </c>
      <c r="M207" s="5" t="n">
        <f aca="false">IF(AND(ISNUMBER(K207),ISNUMBER(I207)),IF(I207&gt;0,K207/I207,""),"")</f>
        <v>0.582089552238806</v>
      </c>
      <c r="N207" s="4"/>
      <c r="O207" s="7" t="s">
        <v>41</v>
      </c>
      <c r="P207" s="4" t="s">
        <v>636</v>
      </c>
    </row>
    <row r="208" customFormat="false" ht="15" hidden="false" customHeight="false" outlineLevel="0" collapsed="false">
      <c r="A208" s="2" t="n">
        <v>207</v>
      </c>
      <c r="B208" s="3" t="s">
        <v>637</v>
      </c>
      <c r="C208" s="3" t="s">
        <v>484</v>
      </c>
      <c r="D208" s="4" t="s">
        <v>601</v>
      </c>
      <c r="E208" s="4" t="s">
        <v>638</v>
      </c>
      <c r="F208" s="3" t="s">
        <v>54</v>
      </c>
      <c r="G208" s="4" t="s">
        <v>21</v>
      </c>
      <c r="H208" s="2" t="n">
        <v>257</v>
      </c>
      <c r="I208" s="2" t="n">
        <v>134</v>
      </c>
      <c r="J208" s="2" t="n">
        <v>257</v>
      </c>
      <c r="K208" s="2" t="n">
        <v>134</v>
      </c>
      <c r="L208" s="5" t="n">
        <f aca="false">IF(AND(ISNUMBER(J208),ISNUMBER(H208)),IF(H208&gt;0,J208/H208,""),"")</f>
        <v>1</v>
      </c>
      <c r="M208" s="5" t="n">
        <f aca="false">IF(AND(ISNUMBER(K208),ISNUMBER(I208)),IF(I208&gt;0,K208/I208,""),"")</f>
        <v>1</v>
      </c>
      <c r="N208" s="4"/>
      <c r="O208" s="9" t="s">
        <v>67</v>
      </c>
      <c r="P208" s="4" t="s">
        <v>603</v>
      </c>
    </row>
    <row r="209" customFormat="false" ht="15" hidden="false" customHeight="false" outlineLevel="0" collapsed="false">
      <c r="A209" s="2" t="n">
        <v>208</v>
      </c>
      <c r="B209" s="3" t="s">
        <v>639</v>
      </c>
      <c r="C209" s="3" t="s">
        <v>484</v>
      </c>
      <c r="D209" s="4" t="s">
        <v>601</v>
      </c>
      <c r="E209" s="4" t="s">
        <v>640</v>
      </c>
      <c r="F209" s="3" t="s">
        <v>54</v>
      </c>
      <c r="G209" s="4" t="s">
        <v>21</v>
      </c>
      <c r="H209" s="2" t="n">
        <v>257</v>
      </c>
      <c r="I209" s="2" t="n">
        <v>134</v>
      </c>
      <c r="J209" s="2" t="n">
        <v>257</v>
      </c>
      <c r="K209" s="2" t="n">
        <v>134</v>
      </c>
      <c r="L209" s="5" t="n">
        <f aca="false">IF(AND(ISNUMBER(J209),ISNUMBER(H209)),IF(H209&gt;0,J209/H209,""),"")</f>
        <v>1</v>
      </c>
      <c r="M209" s="5" t="n">
        <f aca="false">IF(AND(ISNUMBER(K209),ISNUMBER(I209)),IF(I209&gt;0,K209/I209,""),"")</f>
        <v>1</v>
      </c>
      <c r="N209" s="4"/>
      <c r="O209" s="9" t="s">
        <v>67</v>
      </c>
      <c r="P209" s="4" t="s">
        <v>603</v>
      </c>
    </row>
    <row r="210" customFormat="false" ht="15" hidden="false" customHeight="false" outlineLevel="0" collapsed="false">
      <c r="A210" s="2" t="n">
        <v>209</v>
      </c>
      <c r="B210" s="3" t="s">
        <v>641</v>
      </c>
      <c r="C210" s="3" t="s">
        <v>484</v>
      </c>
      <c r="D210" s="4" t="s">
        <v>601</v>
      </c>
      <c r="E210" s="4" t="s">
        <v>642</v>
      </c>
      <c r="F210" s="3" t="s">
        <v>54</v>
      </c>
      <c r="G210" s="4" t="s">
        <v>21</v>
      </c>
      <c r="H210" s="2" t="n">
        <v>257</v>
      </c>
      <c r="I210" s="2" t="n">
        <v>134</v>
      </c>
      <c r="J210" s="2" t="n">
        <v>257</v>
      </c>
      <c r="K210" s="2" t="n">
        <v>134</v>
      </c>
      <c r="L210" s="5" t="n">
        <f aca="false">IF(AND(ISNUMBER(J210),ISNUMBER(H210)),IF(H210&gt;0,J210/H210,""),"")</f>
        <v>1</v>
      </c>
      <c r="M210" s="5" t="n">
        <f aca="false">IF(AND(ISNUMBER(K210),ISNUMBER(I210)),IF(I210&gt;0,K210/I210,""),"")</f>
        <v>1</v>
      </c>
      <c r="N210" s="4"/>
      <c r="O210" s="9" t="s">
        <v>67</v>
      </c>
      <c r="P210" s="4" t="s">
        <v>603</v>
      </c>
    </row>
    <row r="211" customFormat="false" ht="15" hidden="false" customHeight="false" outlineLevel="0" collapsed="false">
      <c r="A211" s="2" t="n">
        <v>210</v>
      </c>
      <c r="B211" s="3" t="s">
        <v>643</v>
      </c>
      <c r="C211" s="3" t="s">
        <v>484</v>
      </c>
      <c r="D211" s="4" t="s">
        <v>601</v>
      </c>
      <c r="E211" s="4" t="s">
        <v>644</v>
      </c>
      <c r="F211" s="3" t="s">
        <v>54</v>
      </c>
      <c r="G211" s="4" t="s">
        <v>21</v>
      </c>
      <c r="H211" s="2" t="n">
        <v>257</v>
      </c>
      <c r="I211" s="2" t="n">
        <v>134</v>
      </c>
      <c r="J211" s="2" t="n">
        <v>257</v>
      </c>
      <c r="K211" s="2" t="n">
        <v>134</v>
      </c>
      <c r="L211" s="5" t="n">
        <f aca="false">IF(AND(ISNUMBER(J211),ISNUMBER(H211)),IF(H211&gt;0,J211/H211,""),"")</f>
        <v>1</v>
      </c>
      <c r="M211" s="5" t="n">
        <f aca="false">IF(AND(ISNUMBER(K211),ISNUMBER(I211)),IF(I211&gt;0,K211/I211,""),"")</f>
        <v>1</v>
      </c>
      <c r="N211" s="4"/>
      <c r="O211" s="9" t="s">
        <v>67</v>
      </c>
      <c r="P211" s="4" t="s">
        <v>603</v>
      </c>
    </row>
    <row r="212" customFormat="false" ht="15" hidden="false" customHeight="false" outlineLevel="0" collapsed="false">
      <c r="A212" s="2" t="n">
        <v>211</v>
      </c>
      <c r="B212" s="3" t="s">
        <v>645</v>
      </c>
      <c r="C212" s="3" t="s">
        <v>484</v>
      </c>
      <c r="D212" s="4" t="s">
        <v>601</v>
      </c>
      <c r="E212" s="4" t="s">
        <v>646</v>
      </c>
      <c r="F212" s="3" t="s">
        <v>54</v>
      </c>
      <c r="G212" s="4" t="s">
        <v>21</v>
      </c>
      <c r="H212" s="2" t="n">
        <v>257</v>
      </c>
      <c r="I212" s="2" t="n">
        <v>134</v>
      </c>
      <c r="J212" s="2" t="n">
        <v>257</v>
      </c>
      <c r="K212" s="2" t="n">
        <v>134</v>
      </c>
      <c r="L212" s="5" t="n">
        <f aca="false">IF(AND(ISNUMBER(J212),ISNUMBER(H212)),IF(H212&gt;0,J212/H212,""),"")</f>
        <v>1</v>
      </c>
      <c r="M212" s="5" t="n">
        <f aca="false">IF(AND(ISNUMBER(K212),ISNUMBER(I212)),IF(I212&gt;0,K212/I212,""),"")</f>
        <v>1</v>
      </c>
      <c r="N212" s="4"/>
      <c r="O212" s="9" t="s">
        <v>67</v>
      </c>
      <c r="P212" s="4" t="s">
        <v>603</v>
      </c>
    </row>
    <row r="213" customFormat="false" ht="15" hidden="false" customHeight="false" outlineLevel="0" collapsed="false">
      <c r="A213" s="2" t="n">
        <v>212</v>
      </c>
      <c r="B213" s="3" t="s">
        <v>647</v>
      </c>
      <c r="C213" s="3" t="s">
        <v>484</v>
      </c>
      <c r="D213" s="4" t="s">
        <v>601</v>
      </c>
      <c r="E213" s="4" t="s">
        <v>648</v>
      </c>
      <c r="F213" s="3" t="s">
        <v>54</v>
      </c>
      <c r="G213" s="4" t="s">
        <v>21</v>
      </c>
      <c r="H213" s="2" t="n">
        <v>257</v>
      </c>
      <c r="I213" s="2" t="n">
        <v>134</v>
      </c>
      <c r="J213" s="2" t="n">
        <v>257</v>
      </c>
      <c r="K213" s="2" t="n">
        <v>134</v>
      </c>
      <c r="L213" s="5" t="n">
        <f aca="false">IF(AND(ISNUMBER(J213),ISNUMBER(H213)),IF(H213&gt;0,J213/H213,""),"")</f>
        <v>1</v>
      </c>
      <c r="M213" s="5" t="n">
        <f aca="false">IF(AND(ISNUMBER(K213),ISNUMBER(I213)),IF(I213&gt;0,K213/I213,""),"")</f>
        <v>1</v>
      </c>
      <c r="N213" s="4"/>
      <c r="O213" s="9" t="s">
        <v>67</v>
      </c>
      <c r="P213" s="4" t="s">
        <v>603</v>
      </c>
    </row>
    <row r="214" customFormat="false" ht="15" hidden="false" customHeight="false" outlineLevel="0" collapsed="false">
      <c r="A214" s="2" t="n">
        <v>213</v>
      </c>
      <c r="B214" s="3" t="s">
        <v>649</v>
      </c>
      <c r="C214" s="3" t="s">
        <v>484</v>
      </c>
      <c r="D214" s="4" t="s">
        <v>601</v>
      </c>
      <c r="E214" s="4" t="s">
        <v>650</v>
      </c>
      <c r="F214" s="3" t="s">
        <v>54</v>
      </c>
      <c r="G214" s="4" t="s">
        <v>21</v>
      </c>
      <c r="H214" s="2" t="n">
        <v>257</v>
      </c>
      <c r="I214" s="2" t="n">
        <v>134</v>
      </c>
      <c r="J214" s="2" t="n">
        <v>257</v>
      </c>
      <c r="K214" s="2" t="n">
        <v>134</v>
      </c>
      <c r="L214" s="5" t="n">
        <f aca="false">IF(AND(ISNUMBER(J214),ISNUMBER(H214)),IF(H214&gt;0,J214/H214,""),"")</f>
        <v>1</v>
      </c>
      <c r="M214" s="5" t="n">
        <f aca="false">IF(AND(ISNUMBER(K214),ISNUMBER(I214)),IF(I214&gt;0,K214/I214,""),"")</f>
        <v>1</v>
      </c>
      <c r="N214" s="4"/>
      <c r="O214" s="9" t="s">
        <v>67</v>
      </c>
      <c r="P214" s="4" t="s">
        <v>603</v>
      </c>
    </row>
    <row r="215" customFormat="false" ht="23.85" hidden="false" customHeight="false" outlineLevel="0" collapsed="false">
      <c r="A215" s="2" t="n">
        <v>214</v>
      </c>
      <c r="B215" s="3" t="s">
        <v>651</v>
      </c>
      <c r="C215" s="3" t="s">
        <v>484</v>
      </c>
      <c r="D215" s="4" t="s">
        <v>601</v>
      </c>
      <c r="E215" s="4" t="s">
        <v>652</v>
      </c>
      <c r="F215" s="3" t="s">
        <v>54</v>
      </c>
      <c r="G215" s="4" t="s">
        <v>21</v>
      </c>
      <c r="H215" s="2" t="n">
        <v>257</v>
      </c>
      <c r="I215" s="2" t="n">
        <v>134</v>
      </c>
      <c r="J215" s="2" t="n">
        <v>257</v>
      </c>
      <c r="K215" s="2" t="n">
        <v>134</v>
      </c>
      <c r="L215" s="5" t="n">
        <f aca="false">IF(AND(ISNUMBER(J215),ISNUMBER(H215)),IF(H215&gt;0,J215/H215,""),"")</f>
        <v>1</v>
      </c>
      <c r="M215" s="5" t="n">
        <f aca="false">IF(AND(ISNUMBER(K215),ISNUMBER(I215)),IF(I215&gt;0,K215/I215,""),"")</f>
        <v>1</v>
      </c>
      <c r="N215" s="4"/>
      <c r="O215" s="7" t="s">
        <v>41</v>
      </c>
      <c r="P215" s="4" t="s">
        <v>653</v>
      </c>
    </row>
    <row r="216" customFormat="false" ht="15" hidden="false" customHeight="false" outlineLevel="0" collapsed="false">
      <c r="A216" s="2" t="n">
        <v>215</v>
      </c>
      <c r="B216" s="3" t="s">
        <v>654</v>
      </c>
      <c r="C216" s="3" t="s">
        <v>484</v>
      </c>
      <c r="D216" s="4" t="s">
        <v>601</v>
      </c>
      <c r="E216" s="4" t="s">
        <v>655</v>
      </c>
      <c r="F216" s="3" t="s">
        <v>54</v>
      </c>
      <c r="G216" s="4" t="s">
        <v>21</v>
      </c>
      <c r="H216" s="2" t="n">
        <v>257</v>
      </c>
      <c r="I216" s="2" t="n">
        <v>134</v>
      </c>
      <c r="J216" s="2" t="n">
        <v>257</v>
      </c>
      <c r="K216" s="2" t="n">
        <v>134</v>
      </c>
      <c r="L216" s="5" t="n">
        <f aca="false">IF(AND(ISNUMBER(J216),ISNUMBER(H216)),IF(H216&gt;0,J216/H216,""),"")</f>
        <v>1</v>
      </c>
      <c r="M216" s="5" t="n">
        <f aca="false">IF(AND(ISNUMBER(K216),ISNUMBER(I216)),IF(I216&gt;0,K216/I216,""),"")</f>
        <v>1</v>
      </c>
      <c r="N216" s="4"/>
      <c r="O216" s="7" t="s">
        <v>41</v>
      </c>
      <c r="P216" s="4" t="s">
        <v>656</v>
      </c>
    </row>
    <row r="217" customFormat="false" ht="23.85" hidden="false" customHeight="false" outlineLevel="0" collapsed="false">
      <c r="A217" s="2" t="n">
        <v>216</v>
      </c>
      <c r="B217" s="3" t="s">
        <v>657</v>
      </c>
      <c r="C217" s="3" t="s">
        <v>484</v>
      </c>
      <c r="D217" s="4" t="s">
        <v>601</v>
      </c>
      <c r="E217" s="4" t="s">
        <v>658</v>
      </c>
      <c r="F217" s="3" t="s">
        <v>54</v>
      </c>
      <c r="G217" s="4" t="s">
        <v>21</v>
      </c>
      <c r="H217" s="2" t="n">
        <v>257</v>
      </c>
      <c r="I217" s="2" t="n">
        <v>134</v>
      </c>
      <c r="J217" s="2" t="n">
        <v>244</v>
      </c>
      <c r="K217" s="2" t="n">
        <v>85</v>
      </c>
      <c r="L217" s="5" t="n">
        <f aca="false">IF(AND(ISNUMBER(J217),ISNUMBER(H217)),IF(H217&gt;0,J217/H217,""),"")</f>
        <v>0.949416342412451</v>
      </c>
      <c r="M217" s="5" t="n">
        <f aca="false">IF(AND(ISNUMBER(K217),ISNUMBER(I217)),IF(I217&gt;0,K217/I217,""),"")</f>
        <v>0.634328358208955</v>
      </c>
      <c r="N217" s="4"/>
      <c r="O217" s="7" t="s">
        <v>41</v>
      </c>
      <c r="P217" s="4" t="s">
        <v>659</v>
      </c>
    </row>
    <row r="218" customFormat="false" ht="23.85" hidden="false" customHeight="false" outlineLevel="0" collapsed="false">
      <c r="A218" s="2" t="n">
        <v>217</v>
      </c>
      <c r="B218" s="3" t="s">
        <v>660</v>
      </c>
      <c r="C218" s="3" t="s">
        <v>484</v>
      </c>
      <c r="D218" s="4" t="s">
        <v>601</v>
      </c>
      <c r="E218" s="4" t="s">
        <v>661</v>
      </c>
      <c r="F218" s="3" t="s">
        <v>54</v>
      </c>
      <c r="G218" s="4" t="s">
        <v>21</v>
      </c>
      <c r="H218" s="2" t="n">
        <v>257</v>
      </c>
      <c r="I218" s="2" t="n">
        <v>134</v>
      </c>
      <c r="J218" s="2" t="n">
        <v>244</v>
      </c>
      <c r="K218" s="2" t="n">
        <v>134</v>
      </c>
      <c r="L218" s="5" t="n">
        <f aca="false">IF(AND(ISNUMBER(J218),ISNUMBER(H218)),IF(H218&gt;0,J218/H218,""),"")</f>
        <v>0.949416342412451</v>
      </c>
      <c r="M218" s="5" t="n">
        <f aca="false">IF(AND(ISNUMBER(K218),ISNUMBER(I218)),IF(I218&gt;0,K218/I218,""),"")</f>
        <v>1</v>
      </c>
      <c r="N218" s="4"/>
      <c r="O218" s="7" t="s">
        <v>41</v>
      </c>
      <c r="P218" s="4" t="s">
        <v>662</v>
      </c>
    </row>
    <row r="219" customFormat="false" ht="23.85" hidden="false" customHeight="false" outlineLevel="0" collapsed="false">
      <c r="A219" s="2" t="n">
        <v>218</v>
      </c>
      <c r="B219" s="3" t="s">
        <v>663</v>
      </c>
      <c r="C219" s="3" t="s">
        <v>484</v>
      </c>
      <c r="D219" s="4" t="s">
        <v>516</v>
      </c>
      <c r="E219" s="4" t="s">
        <v>664</v>
      </c>
      <c r="F219" s="3" t="s">
        <v>54</v>
      </c>
      <c r="G219" s="4" t="s">
        <v>21</v>
      </c>
      <c r="H219" s="2" t="n">
        <v>257</v>
      </c>
      <c r="I219" s="2" t="n">
        <v>134</v>
      </c>
      <c r="J219" s="2" t="n">
        <v>257</v>
      </c>
      <c r="K219" s="2" t="n">
        <v>134</v>
      </c>
      <c r="L219" s="5" t="n">
        <f aca="false">IF(AND(ISNUMBER(J219),ISNUMBER(H219)),IF(H219&gt;0,J219/H219,""),"")</f>
        <v>1</v>
      </c>
      <c r="M219" s="5" t="n">
        <f aca="false">IF(AND(ISNUMBER(K219),ISNUMBER(I219)),IF(I219&gt;0,K219/I219,""),"")</f>
        <v>1</v>
      </c>
      <c r="N219" s="4"/>
      <c r="O219" s="7" t="s">
        <v>41</v>
      </c>
      <c r="P219" s="4" t="s">
        <v>665</v>
      </c>
    </row>
    <row r="220" customFormat="false" ht="23.85" hidden="false" customHeight="false" outlineLevel="0" collapsed="false">
      <c r="A220" s="2" t="n">
        <v>219</v>
      </c>
      <c r="B220" s="3" t="s">
        <v>666</v>
      </c>
      <c r="C220" s="3" t="s">
        <v>484</v>
      </c>
      <c r="D220" s="4" t="s">
        <v>667</v>
      </c>
      <c r="E220" s="4" t="s">
        <v>668</v>
      </c>
      <c r="F220" s="3" t="s">
        <v>54</v>
      </c>
      <c r="G220" s="4" t="s">
        <v>21</v>
      </c>
      <c r="H220" s="2" t="n">
        <v>257</v>
      </c>
      <c r="I220" s="2" t="n">
        <v>134</v>
      </c>
      <c r="J220" s="2" t="n">
        <v>257</v>
      </c>
      <c r="K220" s="2" t="n">
        <v>134</v>
      </c>
      <c r="L220" s="5" t="n">
        <f aca="false">IF(AND(ISNUMBER(J220),ISNUMBER(H220)),IF(H220&gt;0,J220/H220,""),"")</f>
        <v>1</v>
      </c>
      <c r="M220" s="5" t="n">
        <f aca="false">IF(AND(ISNUMBER(K220),ISNUMBER(I220)),IF(I220&gt;0,K220/I220,""),"")</f>
        <v>1</v>
      </c>
      <c r="N220" s="4"/>
      <c r="O220" s="9" t="s">
        <v>67</v>
      </c>
      <c r="P220" s="4" t="s">
        <v>669</v>
      </c>
    </row>
    <row r="221" customFormat="false" ht="23.85" hidden="false" customHeight="false" outlineLevel="0" collapsed="false">
      <c r="A221" s="2" t="n">
        <v>220</v>
      </c>
      <c r="B221" s="3" t="s">
        <v>670</v>
      </c>
      <c r="C221" s="3" t="s">
        <v>484</v>
      </c>
      <c r="D221" s="4" t="s">
        <v>667</v>
      </c>
      <c r="E221" s="4" t="s">
        <v>671</v>
      </c>
      <c r="F221" s="3" t="s">
        <v>54</v>
      </c>
      <c r="G221" s="4" t="s">
        <v>21</v>
      </c>
      <c r="H221" s="2" t="n">
        <v>257</v>
      </c>
      <c r="I221" s="2" t="n">
        <v>134</v>
      </c>
      <c r="J221" s="2" t="n">
        <v>257</v>
      </c>
      <c r="K221" s="2" t="n">
        <v>134</v>
      </c>
      <c r="L221" s="5" t="n">
        <f aca="false">IF(AND(ISNUMBER(J221),ISNUMBER(H221)),IF(H221&gt;0,J221/H221,""),"")</f>
        <v>1</v>
      </c>
      <c r="M221" s="5" t="n">
        <f aca="false">IF(AND(ISNUMBER(K221),ISNUMBER(I221)),IF(I221&gt;0,K221/I221,""),"")</f>
        <v>1</v>
      </c>
      <c r="N221" s="4"/>
      <c r="O221" s="9" t="s">
        <v>67</v>
      </c>
      <c r="P221" s="4" t="s">
        <v>669</v>
      </c>
    </row>
    <row r="222" customFormat="false" ht="23.85" hidden="false" customHeight="false" outlineLevel="0" collapsed="false">
      <c r="A222" s="2" t="n">
        <v>221</v>
      </c>
      <c r="B222" s="3" t="s">
        <v>672</v>
      </c>
      <c r="C222" s="3" t="s">
        <v>484</v>
      </c>
      <c r="D222" s="4" t="s">
        <v>667</v>
      </c>
      <c r="E222" s="4" t="s">
        <v>673</v>
      </c>
      <c r="F222" s="3" t="s">
        <v>54</v>
      </c>
      <c r="G222" s="4" t="s">
        <v>21</v>
      </c>
      <c r="H222" s="2" t="n">
        <v>257</v>
      </c>
      <c r="I222" s="2" t="n">
        <v>134</v>
      </c>
      <c r="J222" s="2" t="n">
        <v>257</v>
      </c>
      <c r="K222" s="2" t="n">
        <v>134</v>
      </c>
      <c r="L222" s="5" t="n">
        <f aca="false">IF(AND(ISNUMBER(J222),ISNUMBER(H222)),IF(H222&gt;0,J222/H222,""),"")</f>
        <v>1</v>
      </c>
      <c r="M222" s="5" t="n">
        <f aca="false">IF(AND(ISNUMBER(K222),ISNUMBER(I222)),IF(I222&gt;0,K222/I222,""),"")</f>
        <v>1</v>
      </c>
      <c r="N222" s="4"/>
      <c r="O222" s="9" t="s">
        <v>67</v>
      </c>
      <c r="P222" s="4" t="s">
        <v>669</v>
      </c>
    </row>
    <row r="223" customFormat="false" ht="23.85" hidden="false" customHeight="false" outlineLevel="0" collapsed="false">
      <c r="A223" s="2" t="n">
        <v>222</v>
      </c>
      <c r="B223" s="3" t="s">
        <v>674</v>
      </c>
      <c r="C223" s="3" t="s">
        <v>484</v>
      </c>
      <c r="D223" s="4" t="s">
        <v>667</v>
      </c>
      <c r="E223" s="4" t="s">
        <v>675</v>
      </c>
      <c r="F223" s="3" t="s">
        <v>54</v>
      </c>
      <c r="G223" s="4" t="s">
        <v>21</v>
      </c>
      <c r="H223" s="2" t="n">
        <v>257</v>
      </c>
      <c r="I223" s="2" t="n">
        <v>134</v>
      </c>
      <c r="J223" s="2" t="n">
        <v>257</v>
      </c>
      <c r="K223" s="2" t="n">
        <v>134</v>
      </c>
      <c r="L223" s="5" t="n">
        <f aca="false">IF(AND(ISNUMBER(J223),ISNUMBER(H223)),IF(H223&gt;0,J223/H223,""),"")</f>
        <v>1</v>
      </c>
      <c r="M223" s="5" t="n">
        <f aca="false">IF(AND(ISNUMBER(K223),ISNUMBER(I223)),IF(I223&gt;0,K223/I223,""),"")</f>
        <v>1</v>
      </c>
      <c r="N223" s="4"/>
      <c r="O223" s="9" t="s">
        <v>67</v>
      </c>
      <c r="P223" s="4" t="s">
        <v>669</v>
      </c>
    </row>
    <row r="224" customFormat="false" ht="23.85" hidden="false" customHeight="false" outlineLevel="0" collapsed="false">
      <c r="A224" s="2" t="n">
        <v>223</v>
      </c>
      <c r="B224" s="3" t="s">
        <v>676</v>
      </c>
      <c r="C224" s="3" t="s">
        <v>484</v>
      </c>
      <c r="D224" s="4" t="s">
        <v>667</v>
      </c>
      <c r="E224" s="4" t="s">
        <v>677</v>
      </c>
      <c r="F224" s="3" t="s">
        <v>54</v>
      </c>
      <c r="G224" s="4" t="s">
        <v>21</v>
      </c>
      <c r="H224" s="2" t="n">
        <v>257</v>
      </c>
      <c r="I224" s="2" t="n">
        <v>134</v>
      </c>
      <c r="J224" s="2" t="n">
        <v>257</v>
      </c>
      <c r="K224" s="2" t="n">
        <v>134</v>
      </c>
      <c r="L224" s="5" t="n">
        <f aca="false">IF(AND(ISNUMBER(J224),ISNUMBER(H224)),IF(H224&gt;0,J224/H224,""),"")</f>
        <v>1</v>
      </c>
      <c r="M224" s="5" t="n">
        <f aca="false">IF(AND(ISNUMBER(K224),ISNUMBER(I224)),IF(I224&gt;0,K224/I224,""),"")</f>
        <v>1</v>
      </c>
      <c r="N224" s="4"/>
      <c r="O224" s="9" t="s">
        <v>67</v>
      </c>
      <c r="P224" s="4" t="s">
        <v>669</v>
      </c>
    </row>
    <row r="225" customFormat="false" ht="23.85" hidden="false" customHeight="false" outlineLevel="0" collapsed="false">
      <c r="A225" s="2" t="n">
        <v>224</v>
      </c>
      <c r="B225" s="3" t="s">
        <v>678</v>
      </c>
      <c r="C225" s="3" t="s">
        <v>484</v>
      </c>
      <c r="D225" s="4" t="s">
        <v>667</v>
      </c>
      <c r="E225" s="4" t="s">
        <v>679</v>
      </c>
      <c r="F225" s="3" t="s">
        <v>54</v>
      </c>
      <c r="G225" s="4" t="s">
        <v>21</v>
      </c>
      <c r="H225" s="2" t="n">
        <v>257</v>
      </c>
      <c r="I225" s="2" t="n">
        <v>134</v>
      </c>
      <c r="J225" s="2" t="n">
        <v>257</v>
      </c>
      <c r="K225" s="2" t="n">
        <v>134</v>
      </c>
      <c r="L225" s="5" t="n">
        <f aca="false">IF(AND(ISNUMBER(J225),ISNUMBER(H225)),IF(H225&gt;0,J225/H225,""),"")</f>
        <v>1</v>
      </c>
      <c r="M225" s="5" t="n">
        <f aca="false">IF(AND(ISNUMBER(K225),ISNUMBER(I225)),IF(I225&gt;0,K225/I225,""),"")</f>
        <v>1</v>
      </c>
      <c r="N225" s="4"/>
      <c r="O225" s="9" t="s">
        <v>67</v>
      </c>
      <c r="P225" s="4" t="s">
        <v>669</v>
      </c>
    </row>
    <row r="226" customFormat="false" ht="23.85" hidden="false" customHeight="false" outlineLevel="0" collapsed="false">
      <c r="A226" s="2" t="n">
        <v>225</v>
      </c>
      <c r="B226" s="3" t="s">
        <v>680</v>
      </c>
      <c r="C226" s="3" t="s">
        <v>484</v>
      </c>
      <c r="D226" s="4" t="s">
        <v>667</v>
      </c>
      <c r="E226" s="4" t="s">
        <v>681</v>
      </c>
      <c r="F226" s="3" t="s">
        <v>54</v>
      </c>
      <c r="G226" s="4" t="s">
        <v>21</v>
      </c>
      <c r="H226" s="2" t="n">
        <v>257</v>
      </c>
      <c r="I226" s="2" t="n">
        <v>134</v>
      </c>
      <c r="J226" s="2" t="n">
        <v>257</v>
      </c>
      <c r="K226" s="2" t="n">
        <v>134</v>
      </c>
      <c r="L226" s="5" t="n">
        <f aca="false">IF(AND(ISNUMBER(J226),ISNUMBER(H226)),IF(H226&gt;0,J226/H226,""),"")</f>
        <v>1</v>
      </c>
      <c r="M226" s="5" t="n">
        <f aca="false">IF(AND(ISNUMBER(K226),ISNUMBER(I226)),IF(I226&gt;0,K226/I226,""),"")</f>
        <v>1</v>
      </c>
      <c r="N226" s="4"/>
      <c r="O226" s="9" t="s">
        <v>67</v>
      </c>
      <c r="P226" s="4" t="s">
        <v>669</v>
      </c>
    </row>
    <row r="227" customFormat="false" ht="15" hidden="false" customHeight="false" outlineLevel="0" collapsed="false">
      <c r="A227" s="2" t="n">
        <v>226</v>
      </c>
      <c r="B227" s="3" t="s">
        <v>682</v>
      </c>
      <c r="C227" s="3" t="s">
        <v>17</v>
      </c>
      <c r="D227" s="4" t="s">
        <v>234</v>
      </c>
      <c r="E227" s="4" t="s">
        <v>683</v>
      </c>
      <c r="F227" s="3" t="s">
        <v>251</v>
      </c>
      <c r="G227" s="4" t="s">
        <v>21</v>
      </c>
      <c r="H227" s="2" t="n">
        <v>257</v>
      </c>
      <c r="I227" s="2" t="n">
        <v>134</v>
      </c>
      <c r="J227" s="2" t="n">
        <v>255</v>
      </c>
      <c r="K227" s="2" t="n">
        <v>110</v>
      </c>
      <c r="L227" s="5" t="n">
        <f aca="false">IF(AND(ISNUMBER(J227),ISNUMBER(H227)),IF(H227&gt;0,J227/H227,""),"")</f>
        <v>0.992217898832685</v>
      </c>
      <c r="M227" s="5" t="n">
        <f aca="false">IF(AND(ISNUMBER(K227),ISNUMBER(I227)),IF(I227&gt;0,K227/I227,""),"")</f>
        <v>0.82089552238806</v>
      </c>
      <c r="N227" s="4" t="s">
        <v>22</v>
      </c>
      <c r="O227" s="7" t="s">
        <v>41</v>
      </c>
      <c r="P227" s="4" t="s">
        <v>684</v>
      </c>
    </row>
    <row r="228" customFormat="false" ht="15" hidden="false" customHeight="false" outlineLevel="0" collapsed="false">
      <c r="A228" s="2" t="n">
        <v>227</v>
      </c>
      <c r="B228" s="3" t="s">
        <v>685</v>
      </c>
      <c r="C228" s="3" t="s">
        <v>17</v>
      </c>
      <c r="D228" s="4" t="s">
        <v>234</v>
      </c>
      <c r="E228" s="4" t="s">
        <v>686</v>
      </c>
      <c r="F228" s="3" t="s">
        <v>251</v>
      </c>
      <c r="G228" s="4" t="s">
        <v>252</v>
      </c>
      <c r="H228" s="2"/>
      <c r="I228" s="2"/>
      <c r="J228" s="2" t="n">
        <v>53</v>
      </c>
      <c r="K228" s="2" t="n">
        <v>79</v>
      </c>
      <c r="L228" s="5" t="str">
        <f aca="false">IF(AND(ISNUMBER(J228),ISNUMBER(H228)),IF(H228&gt;0,J228/H228,""),"")</f>
        <v/>
      </c>
      <c r="M228" s="5" t="str">
        <f aca="false">IF(AND(ISNUMBER(K228),ISNUMBER(I228)),IF(I228&gt;0,K228/I228,""),"")</f>
        <v/>
      </c>
      <c r="N228" s="4" t="s">
        <v>91</v>
      </c>
      <c r="O228" s="9" t="s">
        <v>67</v>
      </c>
      <c r="P228" s="4" t="s">
        <v>687</v>
      </c>
    </row>
    <row r="229" customFormat="false" ht="23.85" hidden="false" customHeight="false" outlineLevel="0" collapsed="false">
      <c r="A229" s="2" t="n">
        <v>228</v>
      </c>
      <c r="B229" s="3" t="s">
        <v>688</v>
      </c>
      <c r="C229" s="3" t="s">
        <v>484</v>
      </c>
      <c r="D229" s="4" t="s">
        <v>689</v>
      </c>
      <c r="E229" s="4" t="s">
        <v>690</v>
      </c>
      <c r="F229" s="3" t="s">
        <v>251</v>
      </c>
      <c r="G229" s="4" t="s">
        <v>21</v>
      </c>
      <c r="H229" s="2" t="n">
        <v>257</v>
      </c>
      <c r="I229" s="2" t="n">
        <v>134</v>
      </c>
      <c r="J229" s="2" t="n">
        <v>248</v>
      </c>
      <c r="K229" s="2" t="n">
        <v>109</v>
      </c>
      <c r="L229" s="5" t="n">
        <f aca="false">IF(AND(ISNUMBER(J229),ISNUMBER(H229)),IF(H229&gt;0,J229/H229,""),"")</f>
        <v>0.964980544747082</v>
      </c>
      <c r="M229" s="5" t="n">
        <f aca="false">IF(AND(ISNUMBER(K229),ISNUMBER(I229)),IF(I229&gt;0,K229/I229,""),"")</f>
        <v>0.813432835820896</v>
      </c>
      <c r="N229" s="4"/>
      <c r="O229" s="7" t="s">
        <v>41</v>
      </c>
      <c r="P229" s="4" t="s">
        <v>691</v>
      </c>
    </row>
    <row r="230" customFormat="false" ht="23.85" hidden="false" customHeight="false" outlineLevel="0" collapsed="false">
      <c r="A230" s="2" t="n">
        <v>229</v>
      </c>
      <c r="B230" s="3" t="s">
        <v>692</v>
      </c>
      <c r="C230" s="3" t="s">
        <v>484</v>
      </c>
      <c r="D230" s="4" t="s">
        <v>516</v>
      </c>
      <c r="E230" s="4" t="s">
        <v>693</v>
      </c>
      <c r="F230" s="3" t="s">
        <v>54</v>
      </c>
      <c r="G230" s="4" t="s">
        <v>21</v>
      </c>
      <c r="H230" s="2" t="n">
        <v>257</v>
      </c>
      <c r="I230" s="2" t="n">
        <v>134</v>
      </c>
      <c r="J230" s="2" t="n">
        <v>257</v>
      </c>
      <c r="K230" s="2" t="n">
        <v>134</v>
      </c>
      <c r="L230" s="5" t="n">
        <f aca="false">IF(AND(ISNUMBER(J230),ISNUMBER(H230)),IF(H230&gt;0,J230/H230,""),"")</f>
        <v>1</v>
      </c>
      <c r="M230" s="5" t="n">
        <f aca="false">IF(AND(ISNUMBER(K230),ISNUMBER(I230)),IF(I230&gt;0,K230/I230,""),"")</f>
        <v>1</v>
      </c>
      <c r="N230" s="4"/>
      <c r="O230" s="7" t="s">
        <v>41</v>
      </c>
      <c r="P230" s="4" t="s">
        <v>694</v>
      </c>
    </row>
    <row r="231" customFormat="false" ht="23.85" hidden="false" customHeight="false" outlineLevel="0" collapsed="false">
      <c r="A231" s="2" t="n">
        <v>230</v>
      </c>
      <c r="B231" s="3" t="s">
        <v>695</v>
      </c>
      <c r="C231" s="3" t="s">
        <v>484</v>
      </c>
      <c r="D231" s="4" t="s">
        <v>516</v>
      </c>
      <c r="E231" s="4" t="s">
        <v>696</v>
      </c>
      <c r="F231" s="3" t="s">
        <v>54</v>
      </c>
      <c r="G231" s="4" t="s">
        <v>21</v>
      </c>
      <c r="H231" s="2" t="n">
        <v>257</v>
      </c>
      <c r="I231" s="2" t="n">
        <v>134</v>
      </c>
      <c r="J231" s="2" t="n">
        <v>257</v>
      </c>
      <c r="K231" s="2" t="n">
        <v>134</v>
      </c>
      <c r="L231" s="5" t="n">
        <f aca="false">IF(AND(ISNUMBER(J231),ISNUMBER(H231)),IF(H231&gt;0,J231/H231,""),"")</f>
        <v>1</v>
      </c>
      <c r="M231" s="5" t="n">
        <f aca="false">IF(AND(ISNUMBER(K231),ISNUMBER(I231)),IF(I231&gt;0,K231/I231,""),"")</f>
        <v>1</v>
      </c>
      <c r="N231" s="4"/>
      <c r="O231" s="7" t="s">
        <v>41</v>
      </c>
      <c r="P231" s="4" t="s">
        <v>694</v>
      </c>
    </row>
    <row r="232" customFormat="false" ht="23.85" hidden="false" customHeight="false" outlineLevel="0" collapsed="false">
      <c r="A232" s="2" t="n">
        <v>231</v>
      </c>
      <c r="B232" s="3" t="s">
        <v>697</v>
      </c>
      <c r="C232" s="3" t="s">
        <v>484</v>
      </c>
      <c r="D232" s="4" t="s">
        <v>516</v>
      </c>
      <c r="E232" s="4" t="s">
        <v>698</v>
      </c>
      <c r="F232" s="3" t="s">
        <v>54</v>
      </c>
      <c r="G232" s="4" t="s">
        <v>21</v>
      </c>
      <c r="H232" s="2" t="n">
        <v>257</v>
      </c>
      <c r="I232" s="2" t="n">
        <v>134</v>
      </c>
      <c r="J232" s="2" t="n">
        <v>257</v>
      </c>
      <c r="K232" s="2" t="n">
        <v>134</v>
      </c>
      <c r="L232" s="5" t="n">
        <f aca="false">IF(AND(ISNUMBER(J232),ISNUMBER(H232)),IF(H232&gt;0,J232/H232,""),"")</f>
        <v>1</v>
      </c>
      <c r="M232" s="5" t="n">
        <f aca="false">IF(AND(ISNUMBER(K232),ISNUMBER(I232)),IF(I232&gt;0,K232/I232,""),"")</f>
        <v>1</v>
      </c>
      <c r="N232" s="4"/>
      <c r="O232" s="7" t="s">
        <v>41</v>
      </c>
      <c r="P232" s="4" t="s">
        <v>694</v>
      </c>
    </row>
    <row r="233" customFormat="false" ht="23.85" hidden="false" customHeight="false" outlineLevel="0" collapsed="false">
      <c r="A233" s="2" t="n">
        <v>232</v>
      </c>
      <c r="B233" s="3" t="s">
        <v>699</v>
      </c>
      <c r="C233" s="3" t="s">
        <v>484</v>
      </c>
      <c r="D233" s="4" t="s">
        <v>516</v>
      </c>
      <c r="E233" s="4" t="s">
        <v>700</v>
      </c>
      <c r="F233" s="3" t="s">
        <v>54</v>
      </c>
      <c r="G233" s="4" t="s">
        <v>21</v>
      </c>
      <c r="H233" s="2" t="n">
        <v>257</v>
      </c>
      <c r="I233" s="2" t="n">
        <v>134</v>
      </c>
      <c r="J233" s="2" t="n">
        <v>257</v>
      </c>
      <c r="K233" s="2" t="n">
        <v>134</v>
      </c>
      <c r="L233" s="5" t="n">
        <f aca="false">IF(AND(ISNUMBER(J233),ISNUMBER(H233)),IF(H233&gt;0,J233/H233,""),"")</f>
        <v>1</v>
      </c>
      <c r="M233" s="5" t="n">
        <f aca="false">IF(AND(ISNUMBER(K233),ISNUMBER(I233)),IF(I233&gt;0,K233/I233,""),"")</f>
        <v>1</v>
      </c>
      <c r="N233" s="4"/>
      <c r="O233" s="7" t="s">
        <v>41</v>
      </c>
      <c r="P233" s="4" t="s">
        <v>701</v>
      </c>
    </row>
    <row r="234" customFormat="false" ht="23.85" hidden="false" customHeight="false" outlineLevel="0" collapsed="false">
      <c r="A234" s="2" t="n">
        <v>233</v>
      </c>
      <c r="B234" s="3" t="s">
        <v>702</v>
      </c>
      <c r="C234" s="3" t="s">
        <v>484</v>
      </c>
      <c r="D234" s="4" t="s">
        <v>667</v>
      </c>
      <c r="E234" s="4" t="s">
        <v>703</v>
      </c>
      <c r="F234" s="3" t="s">
        <v>54</v>
      </c>
      <c r="G234" s="4" t="s">
        <v>21</v>
      </c>
      <c r="H234" s="2" t="n">
        <v>257</v>
      </c>
      <c r="I234" s="2" t="n">
        <v>134</v>
      </c>
      <c r="J234" s="2" t="n">
        <v>257</v>
      </c>
      <c r="K234" s="2" t="n">
        <v>134</v>
      </c>
      <c r="L234" s="5" t="n">
        <f aca="false">IF(AND(ISNUMBER(J234),ISNUMBER(H234)),IF(H234&gt;0,J234/H234,""),"")</f>
        <v>1</v>
      </c>
      <c r="M234" s="5" t="n">
        <f aca="false">IF(AND(ISNUMBER(K234),ISNUMBER(I234)),IF(I234&gt;0,K234/I234,""),"")</f>
        <v>1</v>
      </c>
      <c r="N234" s="4"/>
      <c r="O234" s="9" t="s">
        <v>67</v>
      </c>
      <c r="P234" s="4" t="s">
        <v>669</v>
      </c>
    </row>
    <row r="235" customFormat="false" ht="23.85" hidden="false" customHeight="false" outlineLevel="0" collapsed="false">
      <c r="A235" s="2" t="n">
        <v>234</v>
      </c>
      <c r="B235" s="3" t="s">
        <v>704</v>
      </c>
      <c r="C235" s="3" t="s">
        <v>484</v>
      </c>
      <c r="D235" s="4" t="s">
        <v>705</v>
      </c>
      <c r="E235" s="4" t="s">
        <v>706</v>
      </c>
      <c r="F235" s="3" t="s">
        <v>40</v>
      </c>
      <c r="G235" s="4" t="s">
        <v>21</v>
      </c>
      <c r="H235" s="2" t="n">
        <v>257</v>
      </c>
      <c r="I235" s="2" t="n">
        <v>134</v>
      </c>
      <c r="J235" s="2" t="n">
        <v>255</v>
      </c>
      <c r="K235" s="2" t="n">
        <v>132</v>
      </c>
      <c r="L235" s="5" t="n">
        <f aca="false">IF(AND(ISNUMBER(J235),ISNUMBER(H235)),IF(H235&gt;0,J235/H235,""),"")</f>
        <v>0.992217898832685</v>
      </c>
      <c r="M235" s="5" t="n">
        <f aca="false">IF(AND(ISNUMBER(K235),ISNUMBER(I235)),IF(I235&gt;0,K235/I235,""),"")</f>
        <v>0.985074626865672</v>
      </c>
      <c r="N235" s="4"/>
      <c r="O235" s="7" t="s">
        <v>41</v>
      </c>
      <c r="P235" s="4" t="s">
        <v>707</v>
      </c>
    </row>
    <row r="236" customFormat="false" ht="23.85" hidden="false" customHeight="false" outlineLevel="0" collapsed="false">
      <c r="A236" s="2" t="n">
        <v>235</v>
      </c>
      <c r="B236" s="3" t="s">
        <v>708</v>
      </c>
      <c r="C236" s="3" t="s">
        <v>484</v>
      </c>
      <c r="D236" s="4" t="s">
        <v>705</v>
      </c>
      <c r="E236" s="4" t="s">
        <v>709</v>
      </c>
      <c r="F236" s="3" t="s">
        <v>40</v>
      </c>
      <c r="G236" s="4" t="s">
        <v>21</v>
      </c>
      <c r="H236" s="2" t="n">
        <v>257</v>
      </c>
      <c r="I236" s="2" t="n">
        <v>134</v>
      </c>
      <c r="J236" s="2" t="n">
        <v>251</v>
      </c>
      <c r="K236" s="2" t="n">
        <v>130</v>
      </c>
      <c r="L236" s="5" t="n">
        <f aca="false">IF(AND(ISNUMBER(J236),ISNUMBER(H236)),IF(H236&gt;0,J236/H236,""),"")</f>
        <v>0.976653696498054</v>
      </c>
      <c r="M236" s="5" t="n">
        <f aca="false">IF(AND(ISNUMBER(K236),ISNUMBER(I236)),IF(I236&gt;0,K236/I236,""),"")</f>
        <v>0.970149253731343</v>
      </c>
      <c r="N236" s="4"/>
      <c r="O236" s="7" t="s">
        <v>41</v>
      </c>
      <c r="P236" s="4" t="s">
        <v>707</v>
      </c>
    </row>
    <row r="237" customFormat="false" ht="23.85" hidden="false" customHeight="false" outlineLevel="0" collapsed="false">
      <c r="A237" s="2" t="n">
        <v>236</v>
      </c>
      <c r="B237" s="3" t="s">
        <v>710</v>
      </c>
      <c r="C237" s="3" t="s">
        <v>484</v>
      </c>
      <c r="D237" s="4" t="s">
        <v>705</v>
      </c>
      <c r="E237" s="4" t="s">
        <v>711</v>
      </c>
      <c r="F237" s="3" t="s">
        <v>40</v>
      </c>
      <c r="G237" s="4" t="s">
        <v>21</v>
      </c>
      <c r="H237" s="2" t="n">
        <v>257</v>
      </c>
      <c r="I237" s="2" t="n">
        <v>134</v>
      </c>
      <c r="J237" s="2" t="n">
        <v>257</v>
      </c>
      <c r="K237" s="2" t="n">
        <v>132</v>
      </c>
      <c r="L237" s="5" t="n">
        <f aca="false">IF(AND(ISNUMBER(J237),ISNUMBER(H237)),IF(H237&gt;0,J237/H237,""),"")</f>
        <v>1</v>
      </c>
      <c r="M237" s="5" t="n">
        <f aca="false">IF(AND(ISNUMBER(K237),ISNUMBER(I237)),IF(I237&gt;0,K237/I237,""),"")</f>
        <v>0.985074626865672</v>
      </c>
      <c r="N237" s="4"/>
      <c r="O237" s="7" t="s">
        <v>41</v>
      </c>
      <c r="P237" s="4" t="s">
        <v>712</v>
      </c>
    </row>
    <row r="238" customFormat="false" ht="23.85" hidden="false" customHeight="false" outlineLevel="0" collapsed="false">
      <c r="A238" s="2" t="n">
        <v>237</v>
      </c>
      <c r="B238" s="3" t="s">
        <v>713</v>
      </c>
      <c r="C238" s="3" t="s">
        <v>484</v>
      </c>
      <c r="D238" s="4" t="s">
        <v>705</v>
      </c>
      <c r="E238" s="4" t="s">
        <v>714</v>
      </c>
      <c r="F238" s="3" t="s">
        <v>40</v>
      </c>
      <c r="G238" s="4" t="s">
        <v>21</v>
      </c>
      <c r="H238" s="2" t="n">
        <v>257</v>
      </c>
      <c r="I238" s="2" t="n">
        <v>134</v>
      </c>
      <c r="J238" s="2" t="n">
        <v>257</v>
      </c>
      <c r="K238" s="2" t="n">
        <v>132</v>
      </c>
      <c r="L238" s="5" t="n">
        <f aca="false">IF(AND(ISNUMBER(J238),ISNUMBER(H238)),IF(H238&gt;0,J238/H238,""),"")</f>
        <v>1</v>
      </c>
      <c r="M238" s="5" t="n">
        <f aca="false">IF(AND(ISNUMBER(K238),ISNUMBER(I238)),IF(I238&gt;0,K238/I238,""),"")</f>
        <v>0.985074626865672</v>
      </c>
      <c r="N238" s="4"/>
      <c r="O238" s="7" t="s">
        <v>41</v>
      </c>
      <c r="P238" s="4" t="s">
        <v>715</v>
      </c>
    </row>
    <row r="239" customFormat="false" ht="23.85" hidden="false" customHeight="false" outlineLevel="0" collapsed="false">
      <c r="A239" s="2" t="n">
        <v>238</v>
      </c>
      <c r="B239" s="3" t="s">
        <v>716</v>
      </c>
      <c r="C239" s="3" t="s">
        <v>484</v>
      </c>
      <c r="D239" s="4" t="s">
        <v>705</v>
      </c>
      <c r="E239" s="4" t="s">
        <v>717</v>
      </c>
      <c r="F239" s="3" t="s">
        <v>40</v>
      </c>
      <c r="G239" s="4" t="s">
        <v>21</v>
      </c>
      <c r="H239" s="2" t="n">
        <v>257</v>
      </c>
      <c r="I239" s="2" t="n">
        <v>134</v>
      </c>
      <c r="J239" s="2" t="n">
        <v>257</v>
      </c>
      <c r="K239" s="2" t="n">
        <v>132</v>
      </c>
      <c r="L239" s="5" t="n">
        <f aca="false">IF(AND(ISNUMBER(J239),ISNUMBER(H239)),IF(H239&gt;0,J239/H239,""),"")</f>
        <v>1</v>
      </c>
      <c r="M239" s="5" t="n">
        <f aca="false">IF(AND(ISNUMBER(K239),ISNUMBER(I239)),IF(I239&gt;0,K239/I239,""),"")</f>
        <v>0.985074626865672</v>
      </c>
      <c r="N239" s="4"/>
      <c r="O239" s="7" t="s">
        <v>41</v>
      </c>
      <c r="P239" s="4" t="s">
        <v>718</v>
      </c>
    </row>
    <row r="240" customFormat="false" ht="23.85" hidden="false" customHeight="false" outlineLevel="0" collapsed="false">
      <c r="A240" s="2" t="n">
        <v>239</v>
      </c>
      <c r="B240" s="3" t="s">
        <v>719</v>
      </c>
      <c r="C240" s="3" t="s">
        <v>484</v>
      </c>
      <c r="D240" s="4" t="s">
        <v>705</v>
      </c>
      <c r="E240" s="4" t="s">
        <v>720</v>
      </c>
      <c r="F240" s="3" t="s">
        <v>40</v>
      </c>
      <c r="G240" s="4" t="s">
        <v>21</v>
      </c>
      <c r="H240" s="2" t="n">
        <v>257</v>
      </c>
      <c r="I240" s="2" t="n">
        <v>134</v>
      </c>
      <c r="J240" s="2" t="n">
        <v>257</v>
      </c>
      <c r="K240" s="2" t="n">
        <v>132</v>
      </c>
      <c r="L240" s="5" t="n">
        <f aca="false">IF(AND(ISNUMBER(J240),ISNUMBER(H240)),IF(H240&gt;0,J240/H240,""),"")</f>
        <v>1</v>
      </c>
      <c r="M240" s="5" t="n">
        <f aca="false">IF(AND(ISNUMBER(K240),ISNUMBER(I240)),IF(I240&gt;0,K240/I240,""),"")</f>
        <v>0.985074626865672</v>
      </c>
      <c r="N240" s="4"/>
      <c r="O240" s="9" t="s">
        <v>67</v>
      </c>
      <c r="P240" s="4" t="s">
        <v>721</v>
      </c>
    </row>
    <row r="241" customFormat="false" ht="23.85" hidden="false" customHeight="false" outlineLevel="0" collapsed="false">
      <c r="A241" s="2" t="n">
        <v>240</v>
      </c>
      <c r="B241" s="3" t="s">
        <v>722</v>
      </c>
      <c r="C241" s="3" t="s">
        <v>484</v>
      </c>
      <c r="D241" s="4" t="s">
        <v>705</v>
      </c>
      <c r="E241" s="4" t="s">
        <v>723</v>
      </c>
      <c r="F241" s="3" t="s">
        <v>40</v>
      </c>
      <c r="G241" s="4" t="s">
        <v>21</v>
      </c>
      <c r="H241" s="2" t="n">
        <v>257</v>
      </c>
      <c r="I241" s="2" t="n">
        <v>134</v>
      </c>
      <c r="J241" s="2" t="n">
        <v>257</v>
      </c>
      <c r="K241" s="2" t="n">
        <v>132</v>
      </c>
      <c r="L241" s="5" t="n">
        <f aca="false">IF(AND(ISNUMBER(J241),ISNUMBER(H241)),IF(H241&gt;0,J241/H241,""),"")</f>
        <v>1</v>
      </c>
      <c r="M241" s="5" t="n">
        <f aca="false">IF(AND(ISNUMBER(K241),ISNUMBER(I241)),IF(I241&gt;0,K241/I241,""),"")</f>
        <v>0.985074626865672</v>
      </c>
      <c r="N241" s="4"/>
      <c r="O241" s="9" t="s">
        <v>67</v>
      </c>
      <c r="P241" s="4" t="s">
        <v>721</v>
      </c>
    </row>
    <row r="242" customFormat="false" ht="23.85" hidden="false" customHeight="false" outlineLevel="0" collapsed="false">
      <c r="A242" s="2" t="n">
        <v>241</v>
      </c>
      <c r="B242" s="3" t="s">
        <v>724</v>
      </c>
      <c r="C242" s="3" t="s">
        <v>484</v>
      </c>
      <c r="D242" s="4" t="s">
        <v>667</v>
      </c>
      <c r="E242" s="4" t="s">
        <v>725</v>
      </c>
      <c r="F242" s="3" t="s">
        <v>40</v>
      </c>
      <c r="G242" s="4" t="s">
        <v>21</v>
      </c>
      <c r="H242" s="2" t="n">
        <v>257</v>
      </c>
      <c r="I242" s="2" t="n">
        <v>134</v>
      </c>
      <c r="J242" s="2" t="n">
        <v>257</v>
      </c>
      <c r="K242" s="2" t="n">
        <v>134</v>
      </c>
      <c r="L242" s="5" t="n">
        <f aca="false">IF(AND(ISNUMBER(J242),ISNUMBER(H242)),IF(H242&gt;0,J242/H242,""),"")</f>
        <v>1</v>
      </c>
      <c r="M242" s="5" t="n">
        <f aca="false">IF(AND(ISNUMBER(K242),ISNUMBER(I242)),IF(I242&gt;0,K242/I242,""),"")</f>
        <v>1</v>
      </c>
      <c r="N242" s="4"/>
      <c r="O242" s="9" t="s">
        <v>67</v>
      </c>
      <c r="P242" s="4" t="s">
        <v>669</v>
      </c>
    </row>
    <row r="243" customFormat="false" ht="23.85" hidden="false" customHeight="false" outlineLevel="0" collapsed="false">
      <c r="A243" s="2" t="n">
        <v>242</v>
      </c>
      <c r="B243" s="3" t="s">
        <v>726</v>
      </c>
      <c r="C243" s="3" t="s">
        <v>484</v>
      </c>
      <c r="D243" s="4" t="s">
        <v>667</v>
      </c>
      <c r="E243" s="4" t="s">
        <v>727</v>
      </c>
      <c r="F243" s="3" t="s">
        <v>40</v>
      </c>
      <c r="G243" s="4" t="s">
        <v>21</v>
      </c>
      <c r="H243" s="2" t="n">
        <v>257</v>
      </c>
      <c r="I243" s="2" t="n">
        <v>134</v>
      </c>
      <c r="J243" s="2" t="n">
        <v>257</v>
      </c>
      <c r="K243" s="2" t="n">
        <v>134</v>
      </c>
      <c r="L243" s="5" t="n">
        <f aca="false">IF(AND(ISNUMBER(J243),ISNUMBER(H243)),IF(H243&gt;0,J243/H243,""),"")</f>
        <v>1</v>
      </c>
      <c r="M243" s="5" t="n">
        <f aca="false">IF(AND(ISNUMBER(K243),ISNUMBER(I243)),IF(I243&gt;0,K243/I243,""),"")</f>
        <v>1</v>
      </c>
      <c r="N243" s="4"/>
      <c r="O243" s="9" t="s">
        <v>67</v>
      </c>
      <c r="P243" s="4" t="s">
        <v>669</v>
      </c>
    </row>
    <row r="244" customFormat="false" ht="23.85" hidden="false" customHeight="false" outlineLevel="0" collapsed="false">
      <c r="A244" s="2" t="n">
        <v>243</v>
      </c>
      <c r="B244" s="3" t="s">
        <v>728</v>
      </c>
      <c r="C244" s="3" t="s">
        <v>484</v>
      </c>
      <c r="D244" s="4" t="s">
        <v>667</v>
      </c>
      <c r="E244" s="4" t="s">
        <v>729</v>
      </c>
      <c r="F244" s="3" t="s">
        <v>40</v>
      </c>
      <c r="G244" s="4" t="s">
        <v>21</v>
      </c>
      <c r="H244" s="2" t="n">
        <v>257</v>
      </c>
      <c r="I244" s="2" t="n">
        <v>134</v>
      </c>
      <c r="J244" s="2" t="n">
        <v>257</v>
      </c>
      <c r="K244" s="2" t="n">
        <v>134</v>
      </c>
      <c r="L244" s="5" t="n">
        <f aca="false">IF(AND(ISNUMBER(J244),ISNUMBER(H244)),IF(H244&gt;0,J244/H244,""),"")</f>
        <v>1</v>
      </c>
      <c r="M244" s="5" t="n">
        <f aca="false">IF(AND(ISNUMBER(K244),ISNUMBER(I244)),IF(I244&gt;0,K244/I244,""),"")</f>
        <v>1</v>
      </c>
      <c r="N244" s="4"/>
      <c r="O244" s="9" t="s">
        <v>67</v>
      </c>
      <c r="P244" s="4" t="s">
        <v>721</v>
      </c>
    </row>
    <row r="245" customFormat="false" ht="23.85" hidden="false" customHeight="false" outlineLevel="0" collapsed="false">
      <c r="A245" s="2" t="n">
        <v>244</v>
      </c>
      <c r="B245" s="3" t="s">
        <v>730</v>
      </c>
      <c r="C245" s="3" t="s">
        <v>484</v>
      </c>
      <c r="D245" s="4" t="s">
        <v>667</v>
      </c>
      <c r="E245" s="4" t="s">
        <v>731</v>
      </c>
      <c r="F245" s="3" t="s">
        <v>40</v>
      </c>
      <c r="G245" s="4" t="s">
        <v>21</v>
      </c>
      <c r="H245" s="2" t="n">
        <v>257</v>
      </c>
      <c r="I245" s="2" t="n">
        <v>134</v>
      </c>
      <c r="J245" s="2" t="n">
        <v>257</v>
      </c>
      <c r="K245" s="2" t="n">
        <v>134</v>
      </c>
      <c r="L245" s="5" t="n">
        <f aca="false">IF(AND(ISNUMBER(J245),ISNUMBER(H245)),IF(H245&gt;0,J245/H245,""),"")</f>
        <v>1</v>
      </c>
      <c r="M245" s="5" t="n">
        <f aca="false">IF(AND(ISNUMBER(K245),ISNUMBER(I245)),IF(I245&gt;0,K245/I245,""),"")</f>
        <v>1</v>
      </c>
      <c r="N245" s="4"/>
      <c r="O245" s="9" t="s">
        <v>67</v>
      </c>
      <c r="P245" s="4" t="s">
        <v>721</v>
      </c>
    </row>
    <row r="246" customFormat="false" ht="23.85" hidden="false" customHeight="false" outlineLevel="0" collapsed="false">
      <c r="A246" s="2" t="n">
        <v>245</v>
      </c>
      <c r="B246" s="3" t="s">
        <v>732</v>
      </c>
      <c r="C246" s="3" t="s">
        <v>484</v>
      </c>
      <c r="D246" s="4" t="s">
        <v>667</v>
      </c>
      <c r="E246" s="4" t="s">
        <v>733</v>
      </c>
      <c r="F246" s="3" t="s">
        <v>40</v>
      </c>
      <c r="G246" s="4" t="s">
        <v>21</v>
      </c>
      <c r="H246" s="2" t="n">
        <v>257</v>
      </c>
      <c r="I246" s="2" t="n">
        <v>134</v>
      </c>
      <c r="J246" s="2" t="n">
        <v>257</v>
      </c>
      <c r="K246" s="2" t="n">
        <v>134</v>
      </c>
      <c r="L246" s="5" t="n">
        <f aca="false">IF(AND(ISNUMBER(J246),ISNUMBER(H246)),IF(H246&gt;0,J246/H246,""),"")</f>
        <v>1</v>
      </c>
      <c r="M246" s="5" t="n">
        <f aca="false">IF(AND(ISNUMBER(K246),ISNUMBER(I246)),IF(I246&gt;0,K246/I246,""),"")</f>
        <v>1</v>
      </c>
      <c r="N246" s="4"/>
      <c r="O246" s="9" t="s">
        <v>67</v>
      </c>
      <c r="P246" s="4" t="s">
        <v>669</v>
      </c>
    </row>
    <row r="247" customFormat="false" ht="23.85" hidden="false" customHeight="false" outlineLevel="0" collapsed="false">
      <c r="A247" s="2" t="n">
        <v>246</v>
      </c>
      <c r="B247" s="3" t="s">
        <v>734</v>
      </c>
      <c r="C247" s="3" t="s">
        <v>484</v>
      </c>
      <c r="D247" s="4" t="s">
        <v>667</v>
      </c>
      <c r="E247" s="4" t="s">
        <v>735</v>
      </c>
      <c r="F247" s="3" t="s">
        <v>40</v>
      </c>
      <c r="G247" s="4" t="s">
        <v>21</v>
      </c>
      <c r="H247" s="2" t="n">
        <v>257</v>
      </c>
      <c r="I247" s="2" t="n">
        <v>134</v>
      </c>
      <c r="J247" s="2" t="n">
        <v>257</v>
      </c>
      <c r="K247" s="2" t="n">
        <v>134</v>
      </c>
      <c r="L247" s="5" t="n">
        <f aca="false">IF(AND(ISNUMBER(J247),ISNUMBER(H247)),IF(H247&gt;0,J247/H247,""),"")</f>
        <v>1</v>
      </c>
      <c r="M247" s="5" t="n">
        <f aca="false">IF(AND(ISNUMBER(K247),ISNUMBER(I247)),IF(I247&gt;0,K247/I247,""),"")</f>
        <v>1</v>
      </c>
      <c r="N247" s="4"/>
      <c r="O247" s="9" t="s">
        <v>67</v>
      </c>
      <c r="P247" s="4" t="s">
        <v>669</v>
      </c>
    </row>
    <row r="248" customFormat="false" ht="23.85" hidden="false" customHeight="false" outlineLevel="0" collapsed="false">
      <c r="A248" s="2" t="n">
        <v>247</v>
      </c>
      <c r="B248" s="3" t="s">
        <v>736</v>
      </c>
      <c r="C248" s="3" t="s">
        <v>484</v>
      </c>
      <c r="D248" s="4" t="s">
        <v>667</v>
      </c>
      <c r="E248" s="4" t="s">
        <v>737</v>
      </c>
      <c r="F248" s="3" t="s">
        <v>40</v>
      </c>
      <c r="G248" s="4" t="s">
        <v>21</v>
      </c>
      <c r="H248" s="2" t="n">
        <v>257</v>
      </c>
      <c r="I248" s="2" t="n">
        <v>134</v>
      </c>
      <c r="J248" s="2" t="n">
        <v>257</v>
      </c>
      <c r="K248" s="2" t="n">
        <v>134</v>
      </c>
      <c r="L248" s="5" t="n">
        <f aca="false">IF(AND(ISNUMBER(J248),ISNUMBER(H248)),IF(H248&gt;0,J248/H248,""),"")</f>
        <v>1</v>
      </c>
      <c r="M248" s="5" t="n">
        <f aca="false">IF(AND(ISNUMBER(K248),ISNUMBER(I248)),IF(I248&gt;0,K248/I248,""),"")</f>
        <v>1</v>
      </c>
      <c r="N248" s="4"/>
      <c r="O248" s="9" t="s">
        <v>67</v>
      </c>
      <c r="P248" s="4" t="s">
        <v>721</v>
      </c>
    </row>
    <row r="249" customFormat="false" ht="23.85" hidden="false" customHeight="false" outlineLevel="0" collapsed="false">
      <c r="A249" s="2" t="n">
        <v>248</v>
      </c>
      <c r="B249" s="3" t="s">
        <v>738</v>
      </c>
      <c r="C249" s="3" t="s">
        <v>484</v>
      </c>
      <c r="D249" s="4" t="s">
        <v>667</v>
      </c>
      <c r="E249" s="4" t="s">
        <v>739</v>
      </c>
      <c r="F249" s="3" t="s">
        <v>40</v>
      </c>
      <c r="G249" s="4" t="s">
        <v>21</v>
      </c>
      <c r="H249" s="2" t="n">
        <v>257</v>
      </c>
      <c r="I249" s="2" t="n">
        <v>134</v>
      </c>
      <c r="J249" s="2" t="n">
        <v>257</v>
      </c>
      <c r="K249" s="2" t="n">
        <v>134</v>
      </c>
      <c r="L249" s="5" t="n">
        <f aca="false">IF(AND(ISNUMBER(J249),ISNUMBER(H249)),IF(H249&gt;0,J249/H249,""),"")</f>
        <v>1</v>
      </c>
      <c r="M249" s="5" t="n">
        <f aca="false">IF(AND(ISNUMBER(K249),ISNUMBER(I249)),IF(I249&gt;0,K249/I249,""),"")</f>
        <v>1</v>
      </c>
      <c r="N249" s="4"/>
      <c r="O249" s="9" t="s">
        <v>67</v>
      </c>
      <c r="P249" s="4" t="s">
        <v>721</v>
      </c>
    </row>
    <row r="250" customFormat="false" ht="23.85" hidden="false" customHeight="false" outlineLevel="0" collapsed="false">
      <c r="A250" s="2" t="n">
        <v>249</v>
      </c>
      <c r="B250" s="3" t="s">
        <v>740</v>
      </c>
      <c r="C250" s="3" t="s">
        <v>484</v>
      </c>
      <c r="D250" s="4" t="s">
        <v>516</v>
      </c>
      <c r="E250" s="4" t="s">
        <v>741</v>
      </c>
      <c r="F250" s="3" t="s">
        <v>54</v>
      </c>
      <c r="G250" s="4" t="s">
        <v>21</v>
      </c>
      <c r="H250" s="2" t="n">
        <v>257</v>
      </c>
      <c r="I250" s="2" t="n">
        <v>134</v>
      </c>
      <c r="J250" s="2" t="n">
        <v>246</v>
      </c>
      <c r="K250" s="2" t="n">
        <v>134</v>
      </c>
      <c r="L250" s="5" t="n">
        <f aca="false">IF(AND(ISNUMBER(J250),ISNUMBER(H250)),IF(H250&gt;0,J250/H250,""),"")</f>
        <v>0.957198443579767</v>
      </c>
      <c r="M250" s="5" t="n">
        <f aca="false">IF(AND(ISNUMBER(K250),ISNUMBER(I250)),IF(I250&gt;0,K250/I250,""),"")</f>
        <v>1</v>
      </c>
      <c r="N250" s="4"/>
      <c r="O250" s="7" t="s">
        <v>41</v>
      </c>
      <c r="P250" s="4" t="s">
        <v>742</v>
      </c>
    </row>
    <row r="251" customFormat="false" ht="23.85" hidden="false" customHeight="false" outlineLevel="0" collapsed="false">
      <c r="A251" s="2" t="n">
        <v>250</v>
      </c>
      <c r="B251" s="3" t="s">
        <v>743</v>
      </c>
      <c r="C251" s="3" t="s">
        <v>484</v>
      </c>
      <c r="D251" s="4" t="s">
        <v>516</v>
      </c>
      <c r="E251" s="4" t="s">
        <v>744</v>
      </c>
      <c r="F251" s="3" t="s">
        <v>40</v>
      </c>
      <c r="G251" s="4" t="s">
        <v>21</v>
      </c>
      <c r="H251" s="2" t="n">
        <v>257</v>
      </c>
      <c r="I251" s="2" t="n">
        <v>134</v>
      </c>
      <c r="J251" s="2" t="n">
        <v>257</v>
      </c>
      <c r="K251" s="2" t="n">
        <v>134</v>
      </c>
      <c r="L251" s="5" t="n">
        <f aca="false">IF(AND(ISNUMBER(J251),ISNUMBER(H251)),IF(H251&gt;0,J251/H251,""),"")</f>
        <v>1</v>
      </c>
      <c r="M251" s="5" t="n">
        <f aca="false">IF(AND(ISNUMBER(K251),ISNUMBER(I251)),IF(I251&gt;0,K251/I251,""),"")</f>
        <v>1</v>
      </c>
      <c r="N251" s="4"/>
      <c r="O251" s="7" t="s">
        <v>41</v>
      </c>
      <c r="P251" s="4" t="s">
        <v>521</v>
      </c>
    </row>
    <row r="252" customFormat="false" ht="23.85" hidden="false" customHeight="false" outlineLevel="0" collapsed="false">
      <c r="A252" s="2" t="n">
        <v>251</v>
      </c>
      <c r="B252" s="3" t="s">
        <v>745</v>
      </c>
      <c r="C252" s="3" t="s">
        <v>484</v>
      </c>
      <c r="D252" s="4" t="s">
        <v>516</v>
      </c>
      <c r="E252" s="4" t="s">
        <v>746</v>
      </c>
      <c r="F252" s="3" t="s">
        <v>40</v>
      </c>
      <c r="G252" s="4" t="s">
        <v>21</v>
      </c>
      <c r="H252" s="2" t="n">
        <v>257</v>
      </c>
      <c r="I252" s="2" t="n">
        <v>134</v>
      </c>
      <c r="J252" s="2" t="n">
        <v>257</v>
      </c>
      <c r="K252" s="2" t="n">
        <v>134</v>
      </c>
      <c r="L252" s="5" t="n">
        <f aca="false">IF(AND(ISNUMBER(J252),ISNUMBER(H252)),IF(H252&gt;0,J252/H252,""),"")</f>
        <v>1</v>
      </c>
      <c r="M252" s="5" t="n">
        <f aca="false">IF(AND(ISNUMBER(K252),ISNUMBER(I252)),IF(I252&gt;0,K252/I252,""),"")</f>
        <v>1</v>
      </c>
      <c r="N252" s="4"/>
      <c r="O252" s="6" t="s">
        <v>23</v>
      </c>
      <c r="P252" s="4" t="s">
        <v>747</v>
      </c>
    </row>
    <row r="253" customFormat="false" ht="23.85" hidden="false" customHeight="false" outlineLevel="0" collapsed="false">
      <c r="A253" s="2" t="n">
        <v>252</v>
      </c>
      <c r="B253" s="3" t="s">
        <v>748</v>
      </c>
      <c r="C253" s="3" t="s">
        <v>484</v>
      </c>
      <c r="D253" s="4" t="s">
        <v>516</v>
      </c>
      <c r="E253" s="4" t="s">
        <v>749</v>
      </c>
      <c r="F253" s="3" t="s">
        <v>40</v>
      </c>
      <c r="G253" s="4" t="s">
        <v>21</v>
      </c>
      <c r="H253" s="2" t="n">
        <v>257</v>
      </c>
      <c r="I253" s="2" t="n">
        <v>134</v>
      </c>
      <c r="J253" s="2" t="n">
        <v>257</v>
      </c>
      <c r="K253" s="2" t="n">
        <v>134</v>
      </c>
      <c r="L253" s="5" t="n">
        <f aca="false">IF(AND(ISNUMBER(J253),ISNUMBER(H253)),IF(H253&gt;0,J253/H253,""),"")</f>
        <v>1</v>
      </c>
      <c r="M253" s="5" t="n">
        <f aca="false">IF(AND(ISNUMBER(K253),ISNUMBER(I253)),IF(I253&gt;0,K253/I253,""),"")</f>
        <v>1</v>
      </c>
      <c r="N253" s="4"/>
      <c r="O253" s="6" t="s">
        <v>23</v>
      </c>
      <c r="P253" s="4" t="s">
        <v>747</v>
      </c>
    </row>
    <row r="254" customFormat="false" ht="23.85" hidden="false" customHeight="false" outlineLevel="0" collapsed="false">
      <c r="A254" s="2" t="n">
        <v>253</v>
      </c>
      <c r="B254" s="3" t="s">
        <v>750</v>
      </c>
      <c r="C254" s="3" t="s">
        <v>484</v>
      </c>
      <c r="D254" s="4" t="s">
        <v>485</v>
      </c>
      <c r="E254" s="4" t="s">
        <v>751</v>
      </c>
      <c r="F254" s="3" t="s">
        <v>54</v>
      </c>
      <c r="G254" s="4" t="s">
        <v>21</v>
      </c>
      <c r="H254" s="2" t="n">
        <v>257</v>
      </c>
      <c r="I254" s="2" t="n">
        <v>134</v>
      </c>
      <c r="J254" s="2" t="n">
        <v>257</v>
      </c>
      <c r="K254" s="2" t="n">
        <v>134</v>
      </c>
      <c r="L254" s="5" t="n">
        <f aca="false">IF(AND(ISNUMBER(J254),ISNUMBER(H254)),IF(H254&gt;0,J254/H254,""),"")</f>
        <v>1</v>
      </c>
      <c r="M254" s="5" t="n">
        <f aca="false">IF(AND(ISNUMBER(K254),ISNUMBER(I254)),IF(I254&gt;0,K254/I254,""),"")</f>
        <v>1</v>
      </c>
      <c r="N254" s="4"/>
      <c r="O254" s="9" t="s">
        <v>67</v>
      </c>
      <c r="P254" s="4" t="s">
        <v>752</v>
      </c>
    </row>
    <row r="255" customFormat="false" ht="23.85" hidden="false" customHeight="false" outlineLevel="0" collapsed="false">
      <c r="A255" s="2" t="n">
        <v>254</v>
      </c>
      <c r="B255" s="3" t="s">
        <v>753</v>
      </c>
      <c r="C255" s="3" t="s">
        <v>484</v>
      </c>
      <c r="D255" s="4" t="s">
        <v>516</v>
      </c>
      <c r="E255" s="4" t="s">
        <v>754</v>
      </c>
      <c r="F255" s="3" t="s">
        <v>40</v>
      </c>
      <c r="G255" s="4" t="s">
        <v>21</v>
      </c>
      <c r="H255" s="2" t="n">
        <v>257</v>
      </c>
      <c r="I255" s="2" t="n">
        <v>134</v>
      </c>
      <c r="J255" s="2" t="n">
        <v>257</v>
      </c>
      <c r="K255" s="2" t="n">
        <v>134</v>
      </c>
      <c r="L255" s="5" t="n">
        <f aca="false">IF(AND(ISNUMBER(J255),ISNUMBER(H255)),IF(H255&gt;0,J255/H255,""),"")</f>
        <v>1</v>
      </c>
      <c r="M255" s="5" t="n">
        <f aca="false">IF(AND(ISNUMBER(K255),ISNUMBER(I255)),IF(I255&gt;0,K255/I255,""),"")</f>
        <v>1</v>
      </c>
      <c r="N255" s="4"/>
      <c r="O255" s="7" t="s">
        <v>41</v>
      </c>
      <c r="P255" s="4" t="s">
        <v>558</v>
      </c>
    </row>
    <row r="256" customFormat="false" ht="23.85" hidden="false" customHeight="false" outlineLevel="0" collapsed="false">
      <c r="A256" s="2" t="n">
        <v>255</v>
      </c>
      <c r="B256" s="3" t="s">
        <v>755</v>
      </c>
      <c r="C256" s="3" t="s">
        <v>484</v>
      </c>
      <c r="D256" s="4" t="s">
        <v>516</v>
      </c>
      <c r="E256" s="4" t="s">
        <v>756</v>
      </c>
      <c r="F256" s="3" t="s">
        <v>54</v>
      </c>
      <c r="G256" s="4" t="s">
        <v>21</v>
      </c>
      <c r="H256" s="2" t="n">
        <v>257</v>
      </c>
      <c r="I256" s="2" t="n">
        <v>134</v>
      </c>
      <c r="J256" s="2" t="n">
        <v>246</v>
      </c>
      <c r="K256" s="2" t="n">
        <v>134</v>
      </c>
      <c r="L256" s="5" t="n">
        <f aca="false">IF(AND(ISNUMBER(J256),ISNUMBER(H256)),IF(H256&gt;0,J256/H256,""),"")</f>
        <v>0.957198443579767</v>
      </c>
      <c r="M256" s="5" t="n">
        <f aca="false">IF(AND(ISNUMBER(K256),ISNUMBER(I256)),IF(I256&gt;0,K256/I256,""),"")</f>
        <v>1</v>
      </c>
      <c r="N256" s="4"/>
      <c r="O256" s="7" t="s">
        <v>41</v>
      </c>
      <c r="P256" s="4" t="s">
        <v>757</v>
      </c>
    </row>
    <row r="257" customFormat="false" ht="15" hidden="false" customHeight="false" outlineLevel="0" collapsed="false">
      <c r="A257" s="2" t="n">
        <v>256</v>
      </c>
      <c r="B257" s="3" t="s">
        <v>758</v>
      </c>
      <c r="C257" s="3" t="s">
        <v>484</v>
      </c>
      <c r="D257" s="4" t="s">
        <v>689</v>
      </c>
      <c r="E257" s="4" t="s">
        <v>759</v>
      </c>
      <c r="F257" s="3" t="s">
        <v>251</v>
      </c>
      <c r="G257" s="4" t="s">
        <v>21</v>
      </c>
      <c r="H257" s="2" t="n">
        <v>257</v>
      </c>
      <c r="I257" s="2" t="n">
        <v>134</v>
      </c>
      <c r="J257" s="2" t="n">
        <v>248</v>
      </c>
      <c r="K257" s="2" t="n">
        <v>109</v>
      </c>
      <c r="L257" s="5" t="n">
        <f aca="false">IF(AND(ISNUMBER(J257),ISNUMBER(H257)),IF(H257&gt;0,J257/H257,""),"")</f>
        <v>0.964980544747082</v>
      </c>
      <c r="M257" s="5" t="n">
        <f aca="false">IF(AND(ISNUMBER(K257),ISNUMBER(I257)),IF(I257&gt;0,K257/I257,""),"")</f>
        <v>0.813432835820896</v>
      </c>
      <c r="N257" s="4"/>
      <c r="O257" s="7" t="s">
        <v>41</v>
      </c>
      <c r="P257" s="4" t="s">
        <v>760</v>
      </c>
    </row>
    <row r="258" customFormat="false" ht="15" hidden="false" customHeight="false" outlineLevel="0" collapsed="false">
      <c r="A258" s="2" t="n">
        <v>257</v>
      </c>
      <c r="B258" s="3" t="s">
        <v>761</v>
      </c>
      <c r="C258" s="3" t="s">
        <v>484</v>
      </c>
      <c r="D258" s="4" t="s">
        <v>689</v>
      </c>
      <c r="E258" s="4" t="s">
        <v>762</v>
      </c>
      <c r="F258" s="3" t="s">
        <v>251</v>
      </c>
      <c r="G258" s="4" t="s">
        <v>21</v>
      </c>
      <c r="H258" s="2" t="n">
        <v>257</v>
      </c>
      <c r="I258" s="2" t="n">
        <v>134</v>
      </c>
      <c r="J258" s="2" t="n">
        <v>248</v>
      </c>
      <c r="K258" s="2" t="n">
        <v>109</v>
      </c>
      <c r="L258" s="5" t="n">
        <f aca="false">IF(AND(ISNUMBER(J258),ISNUMBER(H258)),IF(H258&gt;0,J258/H258,""),"")</f>
        <v>0.964980544747082</v>
      </c>
      <c r="M258" s="5" t="n">
        <f aca="false">IF(AND(ISNUMBER(K258),ISNUMBER(I258)),IF(I258&gt;0,K258/I258,""),"")</f>
        <v>0.813432835820896</v>
      </c>
      <c r="N258" s="4"/>
      <c r="O258" s="7" t="s">
        <v>41</v>
      </c>
      <c r="P258" s="4" t="s">
        <v>760</v>
      </c>
    </row>
    <row r="259" customFormat="false" ht="15" hidden="false" customHeight="false" outlineLevel="0" collapsed="false">
      <c r="A259" s="2" t="n">
        <v>258</v>
      </c>
      <c r="B259" s="3" t="s">
        <v>763</v>
      </c>
      <c r="C259" s="3" t="s">
        <v>484</v>
      </c>
      <c r="D259" s="4" t="s">
        <v>689</v>
      </c>
      <c r="E259" s="4" t="s">
        <v>764</v>
      </c>
      <c r="F259" s="3" t="s">
        <v>251</v>
      </c>
      <c r="G259" s="4" t="s">
        <v>21</v>
      </c>
      <c r="H259" s="2" t="n">
        <v>257</v>
      </c>
      <c r="I259" s="2" t="n">
        <v>134</v>
      </c>
      <c r="J259" s="2" t="n">
        <v>248</v>
      </c>
      <c r="K259" s="2" t="n">
        <v>109</v>
      </c>
      <c r="L259" s="5" t="n">
        <f aca="false">IF(AND(ISNUMBER(J259),ISNUMBER(H259)),IF(H259&gt;0,J259/H259,""),"")</f>
        <v>0.964980544747082</v>
      </c>
      <c r="M259" s="5" t="n">
        <f aca="false">IF(AND(ISNUMBER(K259),ISNUMBER(I259)),IF(I259&gt;0,K259/I259,""),"")</f>
        <v>0.813432835820896</v>
      </c>
      <c r="N259" s="4"/>
      <c r="O259" s="7" t="s">
        <v>41</v>
      </c>
      <c r="P259" s="4" t="s">
        <v>760</v>
      </c>
    </row>
    <row r="260" customFormat="false" ht="15" hidden="false" customHeight="false" outlineLevel="0" collapsed="false">
      <c r="A260" s="2" t="n">
        <v>259</v>
      </c>
      <c r="B260" s="3" t="s">
        <v>765</v>
      </c>
      <c r="C260" s="3" t="s">
        <v>484</v>
      </c>
      <c r="D260" s="4" t="s">
        <v>689</v>
      </c>
      <c r="E260" s="4" t="s">
        <v>766</v>
      </c>
      <c r="F260" s="3" t="s">
        <v>251</v>
      </c>
      <c r="G260" s="4" t="s">
        <v>21</v>
      </c>
      <c r="H260" s="2" t="n">
        <v>257</v>
      </c>
      <c r="I260" s="2" t="n">
        <v>134</v>
      </c>
      <c r="J260" s="2" t="n">
        <v>248</v>
      </c>
      <c r="K260" s="2" t="n">
        <v>109</v>
      </c>
      <c r="L260" s="5" t="n">
        <f aca="false">IF(AND(ISNUMBER(J260),ISNUMBER(H260)),IF(H260&gt;0,J260/H260,""),"")</f>
        <v>0.964980544747082</v>
      </c>
      <c r="M260" s="5" t="n">
        <f aca="false">IF(AND(ISNUMBER(K260),ISNUMBER(I260)),IF(I260&gt;0,K260/I260,""),"")</f>
        <v>0.813432835820896</v>
      </c>
      <c r="N260" s="4"/>
      <c r="O260" s="7" t="s">
        <v>41</v>
      </c>
      <c r="P260" s="4" t="s">
        <v>760</v>
      </c>
    </row>
    <row r="261" customFormat="false" ht="15" hidden="false" customHeight="false" outlineLevel="0" collapsed="false">
      <c r="A261" s="2" t="n">
        <v>260</v>
      </c>
      <c r="B261" s="3" t="s">
        <v>767</v>
      </c>
      <c r="C261" s="3" t="s">
        <v>484</v>
      </c>
      <c r="D261" s="4" t="s">
        <v>689</v>
      </c>
      <c r="E261" s="4" t="s">
        <v>768</v>
      </c>
      <c r="F261" s="3" t="s">
        <v>251</v>
      </c>
      <c r="G261" s="4" t="s">
        <v>21</v>
      </c>
      <c r="H261" s="2" t="n">
        <v>257</v>
      </c>
      <c r="I261" s="2" t="n">
        <v>134</v>
      </c>
      <c r="J261" s="2" t="n">
        <v>248</v>
      </c>
      <c r="K261" s="2" t="n">
        <v>109</v>
      </c>
      <c r="L261" s="5" t="n">
        <f aca="false">IF(AND(ISNUMBER(J261),ISNUMBER(H261)),IF(H261&gt;0,J261/H261,""),"")</f>
        <v>0.964980544747082</v>
      </c>
      <c r="M261" s="5" t="n">
        <f aca="false">IF(AND(ISNUMBER(K261),ISNUMBER(I261)),IF(I261&gt;0,K261/I261,""),"")</f>
        <v>0.813432835820896</v>
      </c>
      <c r="N261" s="4"/>
      <c r="O261" s="7" t="s">
        <v>41</v>
      </c>
      <c r="P261" s="4" t="s">
        <v>760</v>
      </c>
    </row>
    <row r="262" customFormat="false" ht="23.85" hidden="false" customHeight="false" outlineLevel="0" collapsed="false">
      <c r="A262" s="2" t="n">
        <v>261</v>
      </c>
      <c r="B262" s="3" t="s">
        <v>769</v>
      </c>
      <c r="C262" s="3" t="s">
        <v>484</v>
      </c>
      <c r="D262" s="4" t="s">
        <v>516</v>
      </c>
      <c r="E262" s="4" t="s">
        <v>770</v>
      </c>
      <c r="F262" s="3" t="s">
        <v>54</v>
      </c>
      <c r="G262" s="4" t="s">
        <v>21</v>
      </c>
      <c r="H262" s="2" t="n">
        <v>257</v>
      </c>
      <c r="I262" s="2" t="n">
        <v>134</v>
      </c>
      <c r="J262" s="2" t="n">
        <v>246</v>
      </c>
      <c r="K262" s="2" t="n">
        <v>134</v>
      </c>
      <c r="L262" s="5" t="n">
        <f aca="false">IF(AND(ISNUMBER(J262),ISNUMBER(H262)),IF(H262&gt;0,J262/H262,""),"")</f>
        <v>0.957198443579767</v>
      </c>
      <c r="M262" s="5" t="n">
        <f aca="false">IF(AND(ISNUMBER(K262),ISNUMBER(I262)),IF(I262&gt;0,K262/I262,""),"")</f>
        <v>1</v>
      </c>
      <c r="N262" s="4"/>
      <c r="O262" s="7" t="s">
        <v>41</v>
      </c>
      <c r="P262" s="4" t="s">
        <v>771</v>
      </c>
    </row>
    <row r="263" customFormat="false" ht="23.85" hidden="false" customHeight="false" outlineLevel="0" collapsed="false">
      <c r="A263" s="2" t="n">
        <v>262</v>
      </c>
      <c r="B263" s="3" t="s">
        <v>772</v>
      </c>
      <c r="C263" s="3" t="s">
        <v>484</v>
      </c>
      <c r="D263" s="4" t="s">
        <v>485</v>
      </c>
      <c r="E263" s="4" t="s">
        <v>773</v>
      </c>
      <c r="F263" s="3" t="s">
        <v>54</v>
      </c>
      <c r="G263" s="4" t="s">
        <v>21</v>
      </c>
      <c r="H263" s="2" t="n">
        <v>257</v>
      </c>
      <c r="I263" s="2" t="n">
        <v>134</v>
      </c>
      <c r="J263" s="2" t="s">
        <v>312</v>
      </c>
      <c r="K263" s="2" t="s">
        <v>312</v>
      </c>
      <c r="L263" s="5" t="str">
        <f aca="false">IF(AND(ISNUMBER(J263),ISNUMBER(H263)),IF(H263&gt;0,J263/H263,""),"")</f>
        <v/>
      </c>
      <c r="M263" s="5" t="str">
        <f aca="false">IF(AND(ISNUMBER(K263),ISNUMBER(I263)),IF(I263&gt;0,K263/I263,""),"")</f>
        <v/>
      </c>
      <c r="N263" s="4"/>
      <c r="O263" s="7" t="s">
        <v>41</v>
      </c>
      <c r="P263" s="4" t="s">
        <v>774</v>
      </c>
    </row>
    <row r="264" customFormat="false" ht="23.85" hidden="false" customHeight="false" outlineLevel="0" collapsed="false">
      <c r="A264" s="2" t="n">
        <v>263</v>
      </c>
      <c r="B264" s="3" t="s">
        <v>775</v>
      </c>
      <c r="C264" s="3" t="s">
        <v>484</v>
      </c>
      <c r="D264" s="4" t="s">
        <v>485</v>
      </c>
      <c r="E264" s="4" t="s">
        <v>776</v>
      </c>
      <c r="F264" s="3" t="s">
        <v>54</v>
      </c>
      <c r="G264" s="4" t="s">
        <v>21</v>
      </c>
      <c r="H264" s="2" t="n">
        <v>257</v>
      </c>
      <c r="I264" s="2" t="n">
        <v>134</v>
      </c>
      <c r="J264" s="2" t="s">
        <v>312</v>
      </c>
      <c r="K264" s="2" t="s">
        <v>312</v>
      </c>
      <c r="L264" s="5" t="str">
        <f aca="false">IF(AND(ISNUMBER(J264),ISNUMBER(H264)),IF(H264&gt;0,J264/H264,""),"")</f>
        <v/>
      </c>
      <c r="M264" s="5" t="str">
        <f aca="false">IF(AND(ISNUMBER(K264),ISNUMBER(I264)),IF(I264&gt;0,K264/I264,""),"")</f>
        <v/>
      </c>
      <c r="N264" s="4"/>
      <c r="O264" s="7" t="s">
        <v>41</v>
      </c>
      <c r="P264" s="4" t="s">
        <v>777</v>
      </c>
    </row>
    <row r="265" customFormat="false" ht="23.85" hidden="false" customHeight="false" outlineLevel="0" collapsed="false">
      <c r="A265" s="2" t="n">
        <v>264</v>
      </c>
      <c r="B265" s="3" t="s">
        <v>778</v>
      </c>
      <c r="C265" s="3" t="s">
        <v>484</v>
      </c>
      <c r="D265" s="4" t="s">
        <v>705</v>
      </c>
      <c r="E265" s="4" t="s">
        <v>779</v>
      </c>
      <c r="F265" s="3" t="s">
        <v>40</v>
      </c>
      <c r="G265" s="4" t="s">
        <v>21</v>
      </c>
      <c r="H265" s="2" t="n">
        <v>257</v>
      </c>
      <c r="I265" s="2" t="n">
        <v>134</v>
      </c>
      <c r="J265" s="2" t="n">
        <v>251</v>
      </c>
      <c r="K265" s="2" t="n">
        <v>130</v>
      </c>
      <c r="L265" s="5" t="n">
        <f aca="false">IF(AND(ISNUMBER(J265),ISNUMBER(H265)),IF(H265&gt;0,J265/H265,""),"")</f>
        <v>0.976653696498054</v>
      </c>
      <c r="M265" s="5" t="n">
        <f aca="false">IF(AND(ISNUMBER(K265),ISNUMBER(I265)),IF(I265&gt;0,K265/I265,""),"")</f>
        <v>0.970149253731343</v>
      </c>
      <c r="N265" s="4"/>
      <c r="O265" s="7" t="s">
        <v>41</v>
      </c>
      <c r="P265" s="4" t="s">
        <v>780</v>
      </c>
    </row>
    <row r="266" customFormat="false" ht="23.85" hidden="false" customHeight="false" outlineLevel="0" collapsed="false">
      <c r="A266" s="2" t="n">
        <v>265</v>
      </c>
      <c r="B266" s="3" t="s">
        <v>781</v>
      </c>
      <c r="C266" s="3" t="s">
        <v>484</v>
      </c>
      <c r="D266" s="4" t="s">
        <v>667</v>
      </c>
      <c r="E266" s="4" t="s">
        <v>782</v>
      </c>
      <c r="F266" s="3" t="s">
        <v>40</v>
      </c>
      <c r="G266" s="4" t="s">
        <v>21</v>
      </c>
      <c r="H266" s="2" t="n">
        <v>257</v>
      </c>
      <c r="I266" s="2" t="n">
        <v>134</v>
      </c>
      <c r="J266" s="2" t="n">
        <v>257</v>
      </c>
      <c r="K266" s="2" t="n">
        <v>134</v>
      </c>
      <c r="L266" s="5" t="n">
        <f aca="false">IF(AND(ISNUMBER(J266),ISNUMBER(H266)),IF(H266&gt;0,J266/H266,""),"")</f>
        <v>1</v>
      </c>
      <c r="M266" s="5" t="n">
        <f aca="false">IF(AND(ISNUMBER(K266),ISNUMBER(I266)),IF(I266&gt;0,K266/I266,""),"")</f>
        <v>1</v>
      </c>
      <c r="N266" s="4"/>
      <c r="O266" s="9" t="s">
        <v>67</v>
      </c>
      <c r="P266" s="4" t="s">
        <v>669</v>
      </c>
    </row>
    <row r="267" customFormat="false" ht="23.85" hidden="false" customHeight="false" outlineLevel="0" collapsed="false">
      <c r="A267" s="2" t="n">
        <v>266</v>
      </c>
      <c r="B267" s="3" t="s">
        <v>783</v>
      </c>
      <c r="C267" s="3" t="s">
        <v>484</v>
      </c>
      <c r="D267" s="4" t="s">
        <v>667</v>
      </c>
      <c r="E267" s="4" t="s">
        <v>784</v>
      </c>
      <c r="F267" s="3" t="s">
        <v>40</v>
      </c>
      <c r="G267" s="4" t="s">
        <v>21</v>
      </c>
      <c r="H267" s="2" t="n">
        <v>257</v>
      </c>
      <c r="I267" s="2" t="n">
        <v>134</v>
      </c>
      <c r="J267" s="2" t="n">
        <v>257</v>
      </c>
      <c r="K267" s="2" t="n">
        <v>134</v>
      </c>
      <c r="L267" s="5" t="n">
        <f aca="false">IF(AND(ISNUMBER(J267),ISNUMBER(H267)),IF(H267&gt;0,J267/H267,""),"")</f>
        <v>1</v>
      </c>
      <c r="M267" s="5" t="n">
        <f aca="false">IF(AND(ISNUMBER(K267),ISNUMBER(I267)),IF(I267&gt;0,K267/I267,""),"")</f>
        <v>1</v>
      </c>
      <c r="N267" s="4"/>
      <c r="O267" s="9" t="s">
        <v>67</v>
      </c>
      <c r="P267" s="4" t="s">
        <v>785</v>
      </c>
    </row>
    <row r="268" customFormat="false" ht="23.85" hidden="false" customHeight="false" outlineLevel="0" collapsed="false">
      <c r="A268" s="2" t="n">
        <v>267</v>
      </c>
      <c r="B268" s="3" t="s">
        <v>786</v>
      </c>
      <c r="C268" s="3" t="s">
        <v>484</v>
      </c>
      <c r="D268" s="4" t="s">
        <v>705</v>
      </c>
      <c r="E268" s="4" t="s">
        <v>787</v>
      </c>
      <c r="F268" s="3" t="s">
        <v>54</v>
      </c>
      <c r="G268" s="4" t="s">
        <v>21</v>
      </c>
      <c r="H268" s="2" t="n">
        <v>257</v>
      </c>
      <c r="I268" s="2" t="n">
        <v>134</v>
      </c>
      <c r="J268" s="2" t="n">
        <v>257</v>
      </c>
      <c r="K268" s="2" t="n">
        <v>133</v>
      </c>
      <c r="L268" s="5" t="n">
        <f aca="false">IF(AND(ISNUMBER(J268),ISNUMBER(H268)),IF(H268&gt;0,J268/H268,""),"")</f>
        <v>1</v>
      </c>
      <c r="M268" s="5" t="n">
        <f aca="false">IF(AND(ISNUMBER(K268),ISNUMBER(I268)),IF(I268&gt;0,K268/I268,""),"")</f>
        <v>0.992537313432836</v>
      </c>
      <c r="N268" s="4"/>
      <c r="O268" s="7" t="s">
        <v>41</v>
      </c>
      <c r="P268" s="4" t="s">
        <v>788</v>
      </c>
    </row>
    <row r="269" customFormat="false" ht="23.85" hidden="false" customHeight="false" outlineLevel="0" collapsed="false">
      <c r="A269" s="2" t="n">
        <v>268</v>
      </c>
      <c r="B269" s="3" t="s">
        <v>789</v>
      </c>
      <c r="C269" s="3" t="s">
        <v>484</v>
      </c>
      <c r="D269" s="4" t="s">
        <v>705</v>
      </c>
      <c r="E269" s="4" t="s">
        <v>790</v>
      </c>
      <c r="F269" s="3" t="s">
        <v>54</v>
      </c>
      <c r="G269" s="4" t="s">
        <v>21</v>
      </c>
      <c r="H269" s="2" t="n">
        <v>257</v>
      </c>
      <c r="I269" s="2" t="n">
        <v>134</v>
      </c>
      <c r="J269" s="2" t="n">
        <v>257</v>
      </c>
      <c r="K269" s="2" t="n">
        <v>132</v>
      </c>
      <c r="L269" s="5" t="n">
        <f aca="false">IF(AND(ISNUMBER(J269),ISNUMBER(H269)),IF(H269&gt;0,J269/H269,""),"")</f>
        <v>1</v>
      </c>
      <c r="M269" s="5" t="n">
        <f aca="false">IF(AND(ISNUMBER(K269),ISNUMBER(I269)),IF(I269&gt;0,K269/I269,""),"")</f>
        <v>0.985074626865672</v>
      </c>
      <c r="N269" s="4"/>
      <c r="O269" s="7" t="s">
        <v>41</v>
      </c>
      <c r="P269" s="4" t="s">
        <v>791</v>
      </c>
    </row>
    <row r="270" customFormat="false" ht="23.85" hidden="false" customHeight="false" outlineLevel="0" collapsed="false">
      <c r="A270" s="2" t="n">
        <v>269</v>
      </c>
      <c r="B270" s="3" t="s">
        <v>792</v>
      </c>
      <c r="C270" s="3" t="s">
        <v>484</v>
      </c>
      <c r="D270" s="4" t="s">
        <v>705</v>
      </c>
      <c r="E270" s="4" t="s">
        <v>793</v>
      </c>
      <c r="F270" s="3" t="s">
        <v>54</v>
      </c>
      <c r="G270" s="4" t="s">
        <v>21</v>
      </c>
      <c r="H270" s="2" t="n">
        <v>257</v>
      </c>
      <c r="I270" s="2" t="n">
        <v>134</v>
      </c>
      <c r="J270" s="2" t="n">
        <v>257</v>
      </c>
      <c r="K270" s="2" t="n">
        <v>132</v>
      </c>
      <c r="L270" s="5" t="n">
        <f aca="false">IF(AND(ISNUMBER(J270),ISNUMBER(H270)),IF(H270&gt;0,J270/H270,""),"")</f>
        <v>1</v>
      </c>
      <c r="M270" s="5" t="n">
        <f aca="false">IF(AND(ISNUMBER(K270),ISNUMBER(I270)),IF(I270&gt;0,K270/I270,""),"")</f>
        <v>0.985074626865672</v>
      </c>
      <c r="N270" s="4"/>
      <c r="O270" s="7" t="s">
        <v>41</v>
      </c>
      <c r="P270" s="4" t="s">
        <v>794</v>
      </c>
    </row>
    <row r="271" customFormat="false" ht="23.85" hidden="false" customHeight="false" outlineLevel="0" collapsed="false">
      <c r="A271" s="2" t="n">
        <v>270</v>
      </c>
      <c r="B271" s="3" t="s">
        <v>795</v>
      </c>
      <c r="C271" s="3" t="s">
        <v>484</v>
      </c>
      <c r="D271" s="4" t="s">
        <v>705</v>
      </c>
      <c r="E271" s="4" t="s">
        <v>796</v>
      </c>
      <c r="F271" s="3" t="s">
        <v>54</v>
      </c>
      <c r="G271" s="4" t="s">
        <v>21</v>
      </c>
      <c r="H271" s="2" t="n">
        <v>257</v>
      </c>
      <c r="I271" s="2" t="n">
        <v>134</v>
      </c>
      <c r="J271" s="2" t="n">
        <v>257</v>
      </c>
      <c r="K271" s="2" t="n">
        <v>133</v>
      </c>
      <c r="L271" s="5" t="n">
        <f aca="false">IF(AND(ISNUMBER(J271),ISNUMBER(H271)),IF(H271&gt;0,J271/H271,""),"")</f>
        <v>1</v>
      </c>
      <c r="M271" s="5" t="n">
        <f aca="false">IF(AND(ISNUMBER(K271),ISNUMBER(I271)),IF(I271&gt;0,K271/I271,""),"")</f>
        <v>0.992537313432836</v>
      </c>
      <c r="N271" s="4"/>
      <c r="O271" s="7" t="s">
        <v>41</v>
      </c>
      <c r="P271" s="4" t="s">
        <v>797</v>
      </c>
    </row>
    <row r="272" customFormat="false" ht="23.85" hidden="false" customHeight="false" outlineLevel="0" collapsed="false">
      <c r="A272" s="2" t="n">
        <v>271</v>
      </c>
      <c r="B272" s="3" t="s">
        <v>798</v>
      </c>
      <c r="C272" s="3" t="s">
        <v>484</v>
      </c>
      <c r="D272" s="4" t="s">
        <v>689</v>
      </c>
      <c r="E272" s="4" t="s">
        <v>799</v>
      </c>
      <c r="F272" s="3" t="s">
        <v>361</v>
      </c>
      <c r="G272" s="4" t="s">
        <v>21</v>
      </c>
      <c r="H272" s="2" t="n">
        <v>257</v>
      </c>
      <c r="I272" s="2" t="n">
        <v>134</v>
      </c>
      <c r="J272" s="2" t="n">
        <v>249</v>
      </c>
      <c r="K272" s="2" t="n">
        <v>126</v>
      </c>
      <c r="L272" s="5" t="n">
        <f aca="false">IF(AND(ISNUMBER(J272),ISNUMBER(H272)),IF(H272&gt;0,J272/H272,""),"")</f>
        <v>0.968871595330739</v>
      </c>
      <c r="M272" s="5" t="n">
        <f aca="false">IF(AND(ISNUMBER(K272),ISNUMBER(I272)),IF(I272&gt;0,K272/I272,""),"")</f>
        <v>0.940298507462687</v>
      </c>
      <c r="N272" s="4"/>
      <c r="O272" s="7" t="s">
        <v>41</v>
      </c>
      <c r="P272" s="4" t="s">
        <v>800</v>
      </c>
    </row>
    <row r="273" customFormat="false" ht="15" hidden="false" customHeight="false" outlineLevel="0" collapsed="false">
      <c r="A273" s="2" t="n">
        <v>272</v>
      </c>
      <c r="B273" s="3" t="s">
        <v>801</v>
      </c>
      <c r="C273" s="3" t="s">
        <v>484</v>
      </c>
      <c r="D273" s="4" t="s">
        <v>689</v>
      </c>
      <c r="E273" s="4" t="s">
        <v>802</v>
      </c>
      <c r="F273" s="3" t="s">
        <v>40</v>
      </c>
      <c r="G273" s="4" t="s">
        <v>21</v>
      </c>
      <c r="H273" s="2" t="n">
        <v>257</v>
      </c>
      <c r="I273" s="2" t="n">
        <v>134</v>
      </c>
      <c r="J273" s="2" t="n">
        <v>243</v>
      </c>
      <c r="K273" s="2" t="n">
        <v>116</v>
      </c>
      <c r="L273" s="5" t="n">
        <f aca="false">IF(AND(ISNUMBER(J273),ISNUMBER(H273)),IF(H273&gt;0,J273/H273,""),"")</f>
        <v>0.945525291828794</v>
      </c>
      <c r="M273" s="5" t="n">
        <f aca="false">IF(AND(ISNUMBER(K273),ISNUMBER(I273)),IF(I273&gt;0,K273/I273,""),"")</f>
        <v>0.865671641791045</v>
      </c>
      <c r="N273" s="4"/>
      <c r="O273" s="7" t="s">
        <v>41</v>
      </c>
      <c r="P273" s="4" t="s">
        <v>803</v>
      </c>
    </row>
    <row r="274" customFormat="false" ht="15" hidden="false" customHeight="false" outlineLevel="0" collapsed="false">
      <c r="A274" s="2" t="n">
        <v>273</v>
      </c>
      <c r="B274" s="3" t="s">
        <v>804</v>
      </c>
      <c r="C274" s="3" t="s">
        <v>484</v>
      </c>
      <c r="D274" s="4" t="s">
        <v>689</v>
      </c>
      <c r="E274" s="4" t="s">
        <v>805</v>
      </c>
      <c r="F274" s="3" t="s">
        <v>361</v>
      </c>
      <c r="G274" s="4" t="s">
        <v>21</v>
      </c>
      <c r="H274" s="2" t="n">
        <v>257</v>
      </c>
      <c r="I274" s="2" t="n">
        <v>134</v>
      </c>
      <c r="J274" s="2" t="n">
        <v>257</v>
      </c>
      <c r="K274" s="2" t="n">
        <v>133</v>
      </c>
      <c r="L274" s="5" t="n">
        <f aca="false">IF(AND(ISNUMBER(J274),ISNUMBER(H274)),IF(H274&gt;0,J274/H274,""),"")</f>
        <v>1</v>
      </c>
      <c r="M274" s="5" t="n">
        <f aca="false">IF(AND(ISNUMBER(K274),ISNUMBER(I274)),IF(I274&gt;0,K274/I274,""),"")</f>
        <v>0.992537313432836</v>
      </c>
      <c r="N274" s="4"/>
      <c r="O274" s="7" t="s">
        <v>41</v>
      </c>
      <c r="P274" s="4" t="s">
        <v>806</v>
      </c>
    </row>
    <row r="275" customFormat="false" ht="35.05" hidden="false" customHeight="false" outlineLevel="0" collapsed="false">
      <c r="A275" s="2" t="n">
        <v>274</v>
      </c>
      <c r="B275" s="3" t="s">
        <v>807</v>
      </c>
      <c r="C275" s="3" t="s">
        <v>484</v>
      </c>
      <c r="D275" s="4" t="s">
        <v>689</v>
      </c>
      <c r="E275" s="4" t="s">
        <v>808</v>
      </c>
      <c r="F275" s="3" t="s">
        <v>361</v>
      </c>
      <c r="G275" s="4" t="s">
        <v>21</v>
      </c>
      <c r="H275" s="2" t="n">
        <v>257</v>
      </c>
      <c r="I275" s="2" t="n">
        <v>134</v>
      </c>
      <c r="J275" s="2" t="n">
        <v>249</v>
      </c>
      <c r="K275" s="2" t="n">
        <v>126</v>
      </c>
      <c r="L275" s="5" t="n">
        <f aca="false">IF(AND(ISNUMBER(J275),ISNUMBER(H275)),IF(H275&gt;0,J275/H275,""),"")</f>
        <v>0.968871595330739</v>
      </c>
      <c r="M275" s="5" t="n">
        <f aca="false">IF(AND(ISNUMBER(K275),ISNUMBER(I275)),IF(I275&gt;0,K275/I275,""),"")</f>
        <v>0.940298507462687</v>
      </c>
      <c r="N275" s="4"/>
      <c r="O275" s="7" t="s">
        <v>41</v>
      </c>
      <c r="P275" s="4" t="s">
        <v>809</v>
      </c>
    </row>
    <row r="276" customFormat="false" ht="23.85" hidden="false" customHeight="false" outlineLevel="0" collapsed="false">
      <c r="A276" s="2" t="n">
        <v>275</v>
      </c>
      <c r="B276" s="3" t="s">
        <v>810</v>
      </c>
      <c r="C276" s="3" t="s">
        <v>484</v>
      </c>
      <c r="D276" s="4" t="s">
        <v>485</v>
      </c>
      <c r="E276" s="4" t="s">
        <v>811</v>
      </c>
      <c r="F276" s="3" t="s">
        <v>54</v>
      </c>
      <c r="G276" s="4" t="s">
        <v>21</v>
      </c>
      <c r="H276" s="2" t="n">
        <v>257</v>
      </c>
      <c r="I276" s="2" t="n">
        <v>134</v>
      </c>
      <c r="J276" s="2" t="s">
        <v>312</v>
      </c>
      <c r="K276" s="2" t="s">
        <v>312</v>
      </c>
      <c r="L276" s="5" t="str">
        <f aca="false">IF(AND(ISNUMBER(J276),ISNUMBER(H276)),IF(H276&gt;0,J276/H276,""),"")</f>
        <v/>
      </c>
      <c r="M276" s="5" t="str">
        <f aca="false">IF(AND(ISNUMBER(K276),ISNUMBER(I276)),IF(I276&gt;0,K276/I276,""),"")</f>
        <v/>
      </c>
      <c r="N276" s="4"/>
      <c r="O276" s="9" t="s">
        <v>67</v>
      </c>
      <c r="P276" s="4" t="s">
        <v>812</v>
      </c>
    </row>
  </sheetData>
  <autoFilter ref="A1:P2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4"/>
  </cols>
  <sheetData>
    <row r="1" customFormat="false" ht="15" hidden="false" customHeight="false" outlineLevel="0" collapsed="false">
      <c r="A1" s="10" t="s">
        <v>813</v>
      </c>
    </row>
    <row r="2" customFormat="false" ht="15" hidden="false" customHeight="false" outlineLevel="0" collapsed="false">
      <c r="A2" s="11" t="s">
        <v>814</v>
      </c>
    </row>
    <row r="4" customFormat="false" ht="23.85" hidden="false" customHeight="false" outlineLevel="0" collapsed="false">
      <c r="A4" s="1" t="s">
        <v>3</v>
      </c>
      <c r="B4" s="1" t="s">
        <v>815</v>
      </c>
      <c r="C4" s="1" t="s">
        <v>23</v>
      </c>
      <c r="D4" s="1" t="s">
        <v>41</v>
      </c>
      <c r="E4" s="1" t="s">
        <v>67</v>
      </c>
      <c r="F4" s="1" t="s">
        <v>60</v>
      </c>
    </row>
    <row r="5" customFormat="false" ht="15" hidden="false" customHeight="false" outlineLevel="0" collapsed="false">
      <c r="A5" s="12" t="s">
        <v>18</v>
      </c>
      <c r="B5" s="13" t="n">
        <f aca="false">COUNTIF(Variables!$D:$D,$A5)</f>
        <v>7</v>
      </c>
      <c r="C5" s="13" t="n">
        <f aca="false">COUNTIFS(Variables!$D:$D,$A5,Variables!$O:$O,C$4)</f>
        <v>6</v>
      </c>
      <c r="D5" s="13" t="n">
        <f aca="false">COUNTIFS(Variables!$D:$D,$A5,Variables!$O:$O,D$4)</f>
        <v>0</v>
      </c>
      <c r="E5" s="13" t="n">
        <f aca="false">COUNTIFS(Variables!$D:$D,$A5,Variables!$O:$O,E$4)</f>
        <v>1</v>
      </c>
      <c r="F5" s="13" t="n">
        <f aca="false">COUNTIFS(Variables!$D:$D,$A5,Variables!$O:$O,F$4)</f>
        <v>0</v>
      </c>
    </row>
    <row r="6" customFormat="false" ht="15" hidden="false" customHeight="false" outlineLevel="0" collapsed="false">
      <c r="A6" s="12" t="s">
        <v>38</v>
      </c>
      <c r="B6" s="13" t="n">
        <f aca="false">COUNTIF(Variables!$D:$D,$A6)</f>
        <v>6</v>
      </c>
      <c r="C6" s="13" t="n">
        <f aca="false">COUNTIFS(Variables!$D:$D,$A6,Variables!$O:$O,C$4)</f>
        <v>2</v>
      </c>
      <c r="D6" s="13" t="n">
        <f aca="false">COUNTIFS(Variables!$D:$D,$A6,Variables!$O:$O,D$4)</f>
        <v>3</v>
      </c>
      <c r="E6" s="13" t="n">
        <f aca="false">COUNTIFS(Variables!$D:$D,$A6,Variables!$O:$O,E$4)</f>
        <v>1</v>
      </c>
      <c r="F6" s="13" t="n">
        <f aca="false">COUNTIFS(Variables!$D:$D,$A6,Variables!$O:$O,F$4)</f>
        <v>0</v>
      </c>
    </row>
    <row r="7" customFormat="false" ht="15" hidden="false" customHeight="false" outlineLevel="0" collapsed="false">
      <c r="A7" s="12" t="s">
        <v>57</v>
      </c>
      <c r="B7" s="13" t="n">
        <f aca="false">COUNTIF(Variables!$D:$D,$A7)</f>
        <v>2</v>
      </c>
      <c r="C7" s="13" t="n">
        <f aca="false">COUNTIFS(Variables!$D:$D,$A7,Variables!$O:$O,C$4)</f>
        <v>1</v>
      </c>
      <c r="D7" s="13" t="n">
        <f aca="false">COUNTIFS(Variables!$D:$D,$A7,Variables!$O:$O,D$4)</f>
        <v>0</v>
      </c>
      <c r="E7" s="13" t="n">
        <f aca="false">COUNTIFS(Variables!$D:$D,$A7,Variables!$O:$O,E$4)</f>
        <v>0</v>
      </c>
      <c r="F7" s="13" t="n">
        <f aca="false">COUNTIFS(Variables!$D:$D,$A7,Variables!$O:$O,F$4)</f>
        <v>1</v>
      </c>
    </row>
    <row r="8" customFormat="false" ht="15" hidden="false" customHeight="false" outlineLevel="0" collapsed="false">
      <c r="A8" s="12" t="s">
        <v>73</v>
      </c>
      <c r="B8" s="13" t="n">
        <f aca="false">COUNTIF(Variables!$D:$D,$A8)</f>
        <v>4</v>
      </c>
      <c r="C8" s="13" t="n">
        <f aca="false">COUNTIFS(Variables!$D:$D,$A8,Variables!$O:$O,C$4)</f>
        <v>2</v>
      </c>
      <c r="D8" s="13" t="n">
        <f aca="false">COUNTIFS(Variables!$D:$D,$A8,Variables!$O:$O,D$4)</f>
        <v>1</v>
      </c>
      <c r="E8" s="13" t="n">
        <f aca="false">COUNTIFS(Variables!$D:$D,$A8,Variables!$O:$O,E$4)</f>
        <v>1</v>
      </c>
      <c r="F8" s="13" t="n">
        <f aca="false">COUNTIFS(Variables!$D:$D,$A8,Variables!$O:$O,F$4)</f>
        <v>0</v>
      </c>
    </row>
    <row r="9" customFormat="false" ht="15" hidden="false" customHeight="false" outlineLevel="0" collapsed="false">
      <c r="A9" s="12" t="s">
        <v>83</v>
      </c>
      <c r="B9" s="13" t="n">
        <f aca="false">COUNTIF(Variables!$D:$D,$A9)</f>
        <v>20</v>
      </c>
      <c r="C9" s="13" t="n">
        <f aca="false">COUNTIFS(Variables!$D:$D,$A9,Variables!$O:$O,C$4)</f>
        <v>5</v>
      </c>
      <c r="D9" s="13" t="n">
        <f aca="false">COUNTIFS(Variables!$D:$D,$A9,Variables!$O:$O,D$4)</f>
        <v>10</v>
      </c>
      <c r="E9" s="13" t="n">
        <f aca="false">COUNTIFS(Variables!$D:$D,$A9,Variables!$O:$O,E$4)</f>
        <v>5</v>
      </c>
      <c r="F9" s="13" t="n">
        <f aca="false">COUNTIFS(Variables!$D:$D,$A9,Variables!$O:$O,F$4)</f>
        <v>0</v>
      </c>
    </row>
    <row r="10" customFormat="false" ht="15" hidden="false" customHeight="false" outlineLevel="0" collapsed="false">
      <c r="A10" s="12" t="s">
        <v>94</v>
      </c>
      <c r="B10" s="13" t="n">
        <f aca="false">COUNTIF(Variables!$D:$D,$A10)</f>
        <v>2</v>
      </c>
      <c r="C10" s="13" t="n">
        <f aca="false">COUNTIFS(Variables!$D:$D,$A10,Variables!$O:$O,C$4)</f>
        <v>0</v>
      </c>
      <c r="D10" s="13" t="n">
        <f aca="false">COUNTIFS(Variables!$D:$D,$A10,Variables!$O:$O,D$4)</f>
        <v>0</v>
      </c>
      <c r="E10" s="13" t="n">
        <f aca="false">COUNTIFS(Variables!$D:$D,$A10,Variables!$O:$O,E$4)</f>
        <v>0</v>
      </c>
      <c r="F10" s="13" t="n">
        <f aca="false">COUNTIFS(Variables!$D:$D,$A10,Variables!$O:$O,F$4)</f>
        <v>2</v>
      </c>
    </row>
    <row r="11" customFormat="false" ht="15" hidden="false" customHeight="false" outlineLevel="0" collapsed="false">
      <c r="A11" s="12" t="s">
        <v>157</v>
      </c>
      <c r="B11" s="13" t="n">
        <f aca="false">COUNTIF(Variables!$D:$D,$A11)</f>
        <v>6</v>
      </c>
      <c r="C11" s="13" t="n">
        <f aca="false">COUNTIFS(Variables!$D:$D,$A11,Variables!$O:$O,C$4)</f>
        <v>3</v>
      </c>
      <c r="D11" s="13" t="n">
        <f aca="false">COUNTIFS(Variables!$D:$D,$A11,Variables!$O:$O,D$4)</f>
        <v>3</v>
      </c>
      <c r="E11" s="13" t="n">
        <f aca="false">COUNTIFS(Variables!$D:$D,$A11,Variables!$O:$O,E$4)</f>
        <v>0</v>
      </c>
      <c r="F11" s="13" t="n">
        <f aca="false">COUNTIFS(Variables!$D:$D,$A11,Variables!$O:$O,F$4)</f>
        <v>0</v>
      </c>
    </row>
    <row r="12" customFormat="false" ht="15" hidden="false" customHeight="false" outlineLevel="0" collapsed="false">
      <c r="A12" s="12" t="s">
        <v>176</v>
      </c>
      <c r="B12" s="13" t="n">
        <f aca="false">COUNTIF(Variables!$D:$D,$A12)</f>
        <v>8</v>
      </c>
      <c r="C12" s="13" t="n">
        <f aca="false">COUNTIFS(Variables!$D:$D,$A12,Variables!$O:$O,C$4)</f>
        <v>8</v>
      </c>
      <c r="D12" s="13" t="n">
        <f aca="false">COUNTIFS(Variables!$D:$D,$A12,Variables!$O:$O,D$4)</f>
        <v>0</v>
      </c>
      <c r="E12" s="13" t="n">
        <f aca="false">COUNTIFS(Variables!$D:$D,$A12,Variables!$O:$O,E$4)</f>
        <v>0</v>
      </c>
      <c r="F12" s="13" t="n">
        <f aca="false">COUNTIFS(Variables!$D:$D,$A12,Variables!$O:$O,F$4)</f>
        <v>0</v>
      </c>
    </row>
    <row r="13" customFormat="false" ht="15" hidden="false" customHeight="false" outlineLevel="0" collapsed="false">
      <c r="A13" s="12" t="s">
        <v>196</v>
      </c>
      <c r="B13" s="13" t="n">
        <f aca="false">COUNTIF(Variables!$D:$D,$A13)</f>
        <v>4</v>
      </c>
      <c r="C13" s="13" t="n">
        <f aca="false">COUNTIFS(Variables!$D:$D,$A13,Variables!$O:$O,C$4)</f>
        <v>4</v>
      </c>
      <c r="D13" s="13" t="n">
        <f aca="false">COUNTIFS(Variables!$D:$D,$A13,Variables!$O:$O,D$4)</f>
        <v>0</v>
      </c>
      <c r="E13" s="13" t="n">
        <f aca="false">COUNTIFS(Variables!$D:$D,$A13,Variables!$O:$O,E$4)</f>
        <v>0</v>
      </c>
      <c r="F13" s="13" t="n">
        <f aca="false">COUNTIFS(Variables!$D:$D,$A13,Variables!$O:$O,F$4)</f>
        <v>0</v>
      </c>
    </row>
    <row r="14" customFormat="false" ht="15" hidden="false" customHeight="false" outlineLevel="0" collapsed="false">
      <c r="A14" s="12" t="s">
        <v>207</v>
      </c>
      <c r="B14" s="13" t="n">
        <f aca="false">COUNTIF(Variables!$D:$D,$A14)</f>
        <v>8</v>
      </c>
      <c r="C14" s="13" t="n">
        <f aca="false">COUNTIFS(Variables!$D:$D,$A14,Variables!$O:$O,C$4)</f>
        <v>8</v>
      </c>
      <c r="D14" s="13" t="n">
        <f aca="false">COUNTIFS(Variables!$D:$D,$A14,Variables!$O:$O,D$4)</f>
        <v>0</v>
      </c>
      <c r="E14" s="13" t="n">
        <f aca="false">COUNTIFS(Variables!$D:$D,$A14,Variables!$O:$O,E$4)</f>
        <v>0</v>
      </c>
      <c r="F14" s="13" t="n">
        <f aca="false">COUNTIFS(Variables!$D:$D,$A14,Variables!$O:$O,F$4)</f>
        <v>0</v>
      </c>
    </row>
    <row r="15" customFormat="false" ht="15" hidden="false" customHeight="false" outlineLevel="0" collapsed="false">
      <c r="A15" s="12" t="s">
        <v>230</v>
      </c>
      <c r="B15" s="13" t="n">
        <f aca="false">COUNTIF(Variables!$D:$D,$A15)</f>
        <v>1</v>
      </c>
      <c r="C15" s="13" t="n">
        <f aca="false">COUNTIFS(Variables!$D:$D,$A15,Variables!$O:$O,C$4)</f>
        <v>0</v>
      </c>
      <c r="D15" s="13" t="n">
        <f aca="false">COUNTIFS(Variables!$D:$D,$A15,Variables!$O:$O,D$4)</f>
        <v>1</v>
      </c>
      <c r="E15" s="13" t="n">
        <f aca="false">COUNTIFS(Variables!$D:$D,$A15,Variables!$O:$O,E$4)</f>
        <v>0</v>
      </c>
      <c r="F15" s="13" t="n">
        <f aca="false">COUNTIFS(Variables!$D:$D,$A15,Variables!$O:$O,F$4)</f>
        <v>0</v>
      </c>
    </row>
    <row r="16" customFormat="false" ht="15" hidden="false" customHeight="false" outlineLevel="0" collapsed="false">
      <c r="A16" s="12" t="s">
        <v>234</v>
      </c>
      <c r="B16" s="13" t="n">
        <f aca="false">COUNTIF(Variables!$D:$D,$A16)</f>
        <v>20</v>
      </c>
      <c r="C16" s="13" t="n">
        <f aca="false">COUNTIFS(Variables!$D:$D,$A16,Variables!$O:$O,C$4)</f>
        <v>2</v>
      </c>
      <c r="D16" s="13" t="n">
        <f aca="false">COUNTIFS(Variables!$D:$D,$A16,Variables!$O:$O,D$4)</f>
        <v>15</v>
      </c>
      <c r="E16" s="13" t="n">
        <f aca="false">COUNTIFS(Variables!$D:$D,$A16,Variables!$O:$O,E$4)</f>
        <v>3</v>
      </c>
      <c r="F16" s="13" t="n">
        <f aca="false">COUNTIFS(Variables!$D:$D,$A16,Variables!$O:$O,F$4)</f>
        <v>0</v>
      </c>
    </row>
    <row r="17" customFormat="false" ht="15" hidden="false" customHeight="false" outlineLevel="0" collapsed="false">
      <c r="A17" s="12" t="s">
        <v>261</v>
      </c>
      <c r="B17" s="13" t="n">
        <f aca="false">COUNTIF(Variables!$D:$D,$A17)</f>
        <v>12</v>
      </c>
      <c r="C17" s="13" t="n">
        <f aca="false">COUNTIFS(Variables!$D:$D,$A17,Variables!$O:$O,C$4)</f>
        <v>5</v>
      </c>
      <c r="D17" s="13" t="n">
        <f aca="false">COUNTIFS(Variables!$D:$D,$A17,Variables!$O:$O,D$4)</f>
        <v>3</v>
      </c>
      <c r="E17" s="13" t="n">
        <f aca="false">COUNTIFS(Variables!$D:$D,$A17,Variables!$O:$O,E$4)</f>
        <v>4</v>
      </c>
      <c r="F17" s="13" t="n">
        <f aca="false">COUNTIFS(Variables!$D:$D,$A17,Variables!$O:$O,F$4)</f>
        <v>0</v>
      </c>
    </row>
    <row r="18" customFormat="false" ht="15" hidden="false" customHeight="false" outlineLevel="0" collapsed="false">
      <c r="A18" s="12" t="s">
        <v>296</v>
      </c>
      <c r="B18" s="13" t="n">
        <f aca="false">COUNTIF(Variables!$D:$D,$A18)</f>
        <v>20</v>
      </c>
      <c r="C18" s="13" t="n">
        <f aca="false">COUNTIFS(Variables!$D:$D,$A18,Variables!$O:$O,C$4)</f>
        <v>1</v>
      </c>
      <c r="D18" s="13" t="n">
        <f aca="false">COUNTIFS(Variables!$D:$D,$A18,Variables!$O:$O,D$4)</f>
        <v>9</v>
      </c>
      <c r="E18" s="13" t="n">
        <f aca="false">COUNTIFS(Variables!$D:$D,$A18,Variables!$O:$O,E$4)</f>
        <v>10</v>
      </c>
      <c r="F18" s="13" t="n">
        <f aca="false">COUNTIFS(Variables!$D:$D,$A18,Variables!$O:$O,F$4)</f>
        <v>0</v>
      </c>
    </row>
    <row r="19" customFormat="false" ht="15" hidden="false" customHeight="false" outlineLevel="0" collapsed="false">
      <c r="A19" s="12" t="s">
        <v>386</v>
      </c>
      <c r="B19" s="13" t="n">
        <f aca="false">COUNTIF(Variables!$D:$D,$A19)</f>
        <v>2</v>
      </c>
      <c r="C19" s="13" t="n">
        <f aca="false">COUNTIFS(Variables!$D:$D,$A19,Variables!$O:$O,C$4)</f>
        <v>0</v>
      </c>
      <c r="D19" s="13" t="n">
        <f aca="false">COUNTIFS(Variables!$D:$D,$A19,Variables!$O:$O,D$4)</f>
        <v>2</v>
      </c>
      <c r="E19" s="13" t="n">
        <f aca="false">COUNTIFS(Variables!$D:$D,$A19,Variables!$O:$O,E$4)</f>
        <v>0</v>
      </c>
      <c r="F19" s="13" t="n">
        <f aca="false">COUNTIFS(Variables!$D:$D,$A19,Variables!$O:$O,F$4)</f>
        <v>0</v>
      </c>
    </row>
    <row r="20" customFormat="false" ht="15" hidden="false" customHeight="false" outlineLevel="0" collapsed="false">
      <c r="A20" s="12" t="s">
        <v>393</v>
      </c>
      <c r="B20" s="13" t="n">
        <f aca="false">COUNTIF(Variables!$D:$D,$A20)</f>
        <v>8</v>
      </c>
      <c r="C20" s="13" t="n">
        <f aca="false">COUNTIFS(Variables!$D:$D,$A20,Variables!$O:$O,C$4)</f>
        <v>0</v>
      </c>
      <c r="D20" s="13" t="n">
        <f aca="false">COUNTIFS(Variables!$D:$D,$A20,Variables!$O:$O,D$4)</f>
        <v>8</v>
      </c>
      <c r="E20" s="13" t="n">
        <f aca="false">COUNTIFS(Variables!$D:$D,$A20,Variables!$O:$O,E$4)</f>
        <v>0</v>
      </c>
      <c r="F20" s="13" t="n">
        <f aca="false">COUNTIFS(Variables!$D:$D,$A20,Variables!$O:$O,F$4)</f>
        <v>0</v>
      </c>
    </row>
    <row r="21" customFormat="false" ht="15" hidden="false" customHeight="false" outlineLevel="0" collapsed="false">
      <c r="A21" s="12" t="s">
        <v>418</v>
      </c>
      <c r="B21" s="13" t="n">
        <f aca="false">COUNTIF(Variables!$D:$D,$A21)</f>
        <v>2</v>
      </c>
      <c r="C21" s="13" t="n">
        <f aca="false">COUNTIFS(Variables!$D:$D,$A21,Variables!$O:$O,C$4)</f>
        <v>0</v>
      </c>
      <c r="D21" s="13" t="n">
        <f aca="false">COUNTIFS(Variables!$D:$D,$A21,Variables!$O:$O,D$4)</f>
        <v>2</v>
      </c>
      <c r="E21" s="13" t="n">
        <f aca="false">COUNTIFS(Variables!$D:$D,$A21,Variables!$O:$O,E$4)</f>
        <v>0</v>
      </c>
      <c r="F21" s="13" t="n">
        <f aca="false">COUNTIFS(Variables!$D:$D,$A21,Variables!$O:$O,F$4)</f>
        <v>0</v>
      </c>
    </row>
    <row r="22" customFormat="false" ht="15" hidden="false" customHeight="false" outlineLevel="0" collapsed="false">
      <c r="A22" s="12" t="s">
        <v>425</v>
      </c>
      <c r="B22" s="13" t="n">
        <f aca="false">COUNTIF(Variables!$D:$D,$A22)</f>
        <v>6</v>
      </c>
      <c r="C22" s="13" t="n">
        <f aca="false">COUNTIFS(Variables!$D:$D,$A22,Variables!$O:$O,C$4)</f>
        <v>0</v>
      </c>
      <c r="D22" s="13" t="n">
        <f aca="false">COUNTIFS(Variables!$D:$D,$A22,Variables!$O:$O,D$4)</f>
        <v>5</v>
      </c>
      <c r="E22" s="13" t="n">
        <f aca="false">COUNTIFS(Variables!$D:$D,$A22,Variables!$O:$O,E$4)</f>
        <v>1</v>
      </c>
      <c r="F22" s="13" t="n">
        <f aca="false">COUNTIFS(Variables!$D:$D,$A22,Variables!$O:$O,F$4)</f>
        <v>0</v>
      </c>
    </row>
    <row r="23" customFormat="false" ht="15" hidden="false" customHeight="false" outlineLevel="0" collapsed="false">
      <c r="A23" s="12" t="s">
        <v>440</v>
      </c>
      <c r="B23" s="13" t="n">
        <f aca="false">COUNTIF(Variables!$D:$D,$A23)</f>
        <v>11</v>
      </c>
      <c r="C23" s="13" t="n">
        <f aca="false">COUNTIFS(Variables!$D:$D,$A23,Variables!$O:$O,C$4)</f>
        <v>0</v>
      </c>
      <c r="D23" s="13" t="n">
        <f aca="false">COUNTIFS(Variables!$D:$D,$A23,Variables!$O:$O,D$4)</f>
        <v>11</v>
      </c>
      <c r="E23" s="13" t="n">
        <f aca="false">COUNTIFS(Variables!$D:$D,$A23,Variables!$O:$O,E$4)</f>
        <v>0</v>
      </c>
      <c r="F23" s="13" t="n">
        <f aca="false">COUNTIFS(Variables!$D:$D,$A23,Variables!$O:$O,F$4)</f>
        <v>0</v>
      </c>
    </row>
    <row r="24" customFormat="false" ht="15" hidden="false" customHeight="false" outlineLevel="0" collapsed="false">
      <c r="A24" s="12" t="s">
        <v>465</v>
      </c>
      <c r="B24" s="13" t="n">
        <f aca="false">COUNTIF(Variables!$D:$D,$A24)</f>
        <v>2</v>
      </c>
      <c r="C24" s="13" t="n">
        <f aca="false">COUNTIFS(Variables!$D:$D,$A24,Variables!$O:$O,C$4)</f>
        <v>0</v>
      </c>
      <c r="D24" s="13" t="n">
        <f aca="false">COUNTIFS(Variables!$D:$D,$A24,Variables!$O:$O,D$4)</f>
        <v>0</v>
      </c>
      <c r="E24" s="13" t="n">
        <f aca="false">COUNTIFS(Variables!$D:$D,$A24,Variables!$O:$O,E$4)</f>
        <v>2</v>
      </c>
      <c r="F24" s="13" t="n">
        <f aca="false">COUNTIFS(Variables!$D:$D,$A24,Variables!$O:$O,F$4)</f>
        <v>0</v>
      </c>
    </row>
    <row r="25" customFormat="false" ht="15" hidden="false" customHeight="false" outlineLevel="0" collapsed="false">
      <c r="A25" s="12" t="s">
        <v>475</v>
      </c>
      <c r="B25" s="13" t="n">
        <f aca="false">COUNTIF(Variables!$D:$D,$A25)</f>
        <v>2</v>
      </c>
      <c r="C25" s="13" t="n">
        <f aca="false">COUNTIFS(Variables!$D:$D,$A25,Variables!$O:$O,C$4)</f>
        <v>0</v>
      </c>
      <c r="D25" s="13" t="n">
        <f aca="false">COUNTIFS(Variables!$D:$D,$A25,Variables!$O:$O,D$4)</f>
        <v>0</v>
      </c>
      <c r="E25" s="13" t="n">
        <f aca="false">COUNTIFS(Variables!$D:$D,$A25,Variables!$O:$O,E$4)</f>
        <v>2</v>
      </c>
      <c r="F25" s="13" t="n">
        <f aca="false">COUNTIFS(Variables!$D:$D,$A25,Variables!$O:$O,F$4)</f>
        <v>0</v>
      </c>
    </row>
    <row r="26" customFormat="false" ht="15" hidden="false" customHeight="false" outlineLevel="0" collapsed="false">
      <c r="A26" s="12" t="s">
        <v>485</v>
      </c>
      <c r="B26" s="13" t="n">
        <f aca="false">COUNTIF(Variables!$D:$D,$A26)</f>
        <v>14</v>
      </c>
      <c r="C26" s="13" t="n">
        <f aca="false">COUNTIFS(Variables!$D:$D,$A26,Variables!$O:$O,C$4)</f>
        <v>0</v>
      </c>
      <c r="D26" s="13" t="n">
        <f aca="false">COUNTIFS(Variables!$D:$D,$A26,Variables!$O:$O,D$4)</f>
        <v>8</v>
      </c>
      <c r="E26" s="13" t="n">
        <f aca="false">COUNTIFS(Variables!$D:$D,$A26,Variables!$O:$O,E$4)</f>
        <v>6</v>
      </c>
      <c r="F26" s="13" t="n">
        <f aca="false">COUNTIFS(Variables!$D:$D,$A26,Variables!$O:$O,F$4)</f>
        <v>0</v>
      </c>
    </row>
    <row r="27" customFormat="false" ht="15" hidden="false" customHeight="false" outlineLevel="0" collapsed="false">
      <c r="A27" s="12" t="s">
        <v>516</v>
      </c>
      <c r="B27" s="13" t="n">
        <f aca="false">COUNTIF(Variables!$D:$D,$A27)</f>
        <v>19</v>
      </c>
      <c r="C27" s="13" t="n">
        <f aca="false">COUNTIFS(Variables!$D:$D,$A27,Variables!$O:$O,C$4)</f>
        <v>3</v>
      </c>
      <c r="D27" s="13" t="n">
        <f aca="false">COUNTIFS(Variables!$D:$D,$A27,Variables!$O:$O,D$4)</f>
        <v>16</v>
      </c>
      <c r="E27" s="13" t="n">
        <f aca="false">COUNTIFS(Variables!$D:$D,$A27,Variables!$O:$O,E$4)</f>
        <v>0</v>
      </c>
      <c r="F27" s="13" t="n">
        <f aca="false">COUNTIFS(Variables!$D:$D,$A27,Variables!$O:$O,F$4)</f>
        <v>0</v>
      </c>
    </row>
    <row r="28" customFormat="false" ht="15" hidden="false" customHeight="false" outlineLevel="0" collapsed="false">
      <c r="A28" s="12" t="s">
        <v>523</v>
      </c>
      <c r="B28" s="13" t="n">
        <f aca="false">COUNTIF(Variables!$D:$D,$A28)</f>
        <v>22</v>
      </c>
      <c r="C28" s="13" t="n">
        <f aca="false">COUNTIFS(Variables!$D:$D,$A28,Variables!$O:$O,C$4)</f>
        <v>0</v>
      </c>
      <c r="D28" s="13" t="n">
        <f aca="false">COUNTIFS(Variables!$D:$D,$A28,Variables!$O:$O,D$4)</f>
        <v>22</v>
      </c>
      <c r="E28" s="13" t="n">
        <f aca="false">COUNTIFS(Variables!$D:$D,$A28,Variables!$O:$O,E$4)</f>
        <v>0</v>
      </c>
      <c r="F28" s="13" t="n">
        <f aca="false">COUNTIFS(Variables!$D:$D,$A28,Variables!$O:$O,F$4)</f>
        <v>0</v>
      </c>
    </row>
    <row r="29" customFormat="false" ht="15" hidden="false" customHeight="false" outlineLevel="0" collapsed="false">
      <c r="A29" s="12" t="s">
        <v>601</v>
      </c>
      <c r="B29" s="13" t="n">
        <f aca="false">COUNTIF(Variables!$D:$D,$A29)</f>
        <v>27</v>
      </c>
      <c r="C29" s="13" t="n">
        <f aca="false">COUNTIFS(Variables!$D:$D,$A29,Variables!$O:$O,C$4)</f>
        <v>0</v>
      </c>
      <c r="D29" s="13" t="n">
        <f aca="false">COUNTIFS(Variables!$D:$D,$A29,Variables!$O:$O,D$4)</f>
        <v>6</v>
      </c>
      <c r="E29" s="13" t="n">
        <f aca="false">COUNTIFS(Variables!$D:$D,$A29,Variables!$O:$O,E$4)</f>
        <v>21</v>
      </c>
      <c r="F29" s="13" t="n">
        <f aca="false">COUNTIFS(Variables!$D:$D,$A29,Variables!$O:$O,F$4)</f>
        <v>0</v>
      </c>
    </row>
    <row r="30" customFormat="false" ht="15" hidden="false" customHeight="false" outlineLevel="0" collapsed="false">
      <c r="A30" s="12" t="s">
        <v>667</v>
      </c>
      <c r="B30" s="13" t="n">
        <f aca="false">COUNTIF(Variables!$D:$D,$A30)</f>
        <v>18</v>
      </c>
      <c r="C30" s="13" t="n">
        <f aca="false">COUNTIFS(Variables!$D:$D,$A30,Variables!$O:$O,C$4)</f>
        <v>0</v>
      </c>
      <c r="D30" s="13" t="n">
        <f aca="false">COUNTIFS(Variables!$D:$D,$A30,Variables!$O:$O,D$4)</f>
        <v>0</v>
      </c>
      <c r="E30" s="13" t="n">
        <f aca="false">COUNTIFS(Variables!$D:$D,$A30,Variables!$O:$O,E$4)</f>
        <v>18</v>
      </c>
      <c r="F30" s="13" t="n">
        <f aca="false">COUNTIFS(Variables!$D:$D,$A30,Variables!$O:$O,F$4)</f>
        <v>0</v>
      </c>
    </row>
    <row r="31" customFormat="false" ht="15" hidden="false" customHeight="false" outlineLevel="0" collapsed="false">
      <c r="A31" s="12" t="s">
        <v>689</v>
      </c>
      <c r="B31" s="13" t="n">
        <f aca="false">COUNTIF(Variables!$D:$D,$A31)</f>
        <v>10</v>
      </c>
      <c r="C31" s="13" t="n">
        <f aca="false">COUNTIFS(Variables!$D:$D,$A31,Variables!$O:$O,C$4)</f>
        <v>0</v>
      </c>
      <c r="D31" s="13" t="n">
        <f aca="false">COUNTIFS(Variables!$D:$D,$A31,Variables!$O:$O,D$4)</f>
        <v>10</v>
      </c>
      <c r="E31" s="13" t="n">
        <f aca="false">COUNTIFS(Variables!$D:$D,$A31,Variables!$O:$O,E$4)</f>
        <v>0</v>
      </c>
      <c r="F31" s="13" t="n">
        <f aca="false">COUNTIFS(Variables!$D:$D,$A31,Variables!$O:$O,F$4)</f>
        <v>0</v>
      </c>
    </row>
    <row r="32" customFormat="false" ht="15" hidden="false" customHeight="false" outlineLevel="0" collapsed="false">
      <c r="A32" s="12" t="s">
        <v>705</v>
      </c>
      <c r="B32" s="13" t="n">
        <f aca="false">COUNTIF(Variables!$D:$D,$A32)</f>
        <v>12</v>
      </c>
      <c r="C32" s="13" t="n">
        <f aca="false">COUNTIFS(Variables!$D:$D,$A32,Variables!$O:$O,C$4)</f>
        <v>0</v>
      </c>
      <c r="D32" s="13" t="n">
        <f aca="false">COUNTIFS(Variables!$D:$D,$A32,Variables!$O:$O,D$4)</f>
        <v>10</v>
      </c>
      <c r="E32" s="13" t="n">
        <f aca="false">COUNTIFS(Variables!$D:$D,$A32,Variables!$O:$O,E$4)</f>
        <v>2</v>
      </c>
      <c r="F32" s="13" t="n">
        <f aca="false">COUNTIFS(Variables!$D:$D,$A32,Variables!$O:$O,F$4)</f>
        <v>0</v>
      </c>
    </row>
    <row r="33" customFormat="false" ht="15" hidden="false" customHeight="false" outlineLevel="0" collapsed="false">
      <c r="A33" s="14" t="s">
        <v>816</v>
      </c>
      <c r="B33" s="15" t="n">
        <f aca="false">SUM(B5:B32)</f>
        <v>275</v>
      </c>
      <c r="C33" s="15" t="n">
        <f aca="false">SUM(C5:C32)</f>
        <v>50</v>
      </c>
      <c r="D33" s="15" t="n">
        <f aca="false">SUM(D5:D32)</f>
        <v>145</v>
      </c>
      <c r="E33" s="15" t="n">
        <f aca="false">SUM(E5:E32)</f>
        <v>77</v>
      </c>
      <c r="F33" s="15" t="n">
        <f aca="false">SUM(F5:F32)</f>
        <v>3</v>
      </c>
    </row>
    <row r="34" customFormat="false" ht="15" hidden="false" customHeight="false" outlineLevel="0" collapsed="false">
      <c r="B34" s="16"/>
      <c r="C34" s="16"/>
      <c r="D34" s="16"/>
      <c r="E34" s="16"/>
      <c r="F34" s="16"/>
    </row>
    <row r="35" customFormat="false" ht="15" hidden="false" customHeight="false" outlineLevel="0" collapsed="false">
      <c r="A35" s="10" t="s">
        <v>817</v>
      </c>
      <c r="B35" s="16"/>
      <c r="C35" s="16"/>
      <c r="D35" s="16"/>
      <c r="E35" s="16"/>
      <c r="F35" s="16"/>
    </row>
    <row r="36" customFormat="false" ht="15" hidden="false" customHeight="false" outlineLevel="0" collapsed="false">
      <c r="A36" s="1" t="s">
        <v>2</v>
      </c>
      <c r="B36" s="17" t="s">
        <v>815</v>
      </c>
      <c r="C36" s="17" t="s">
        <v>23</v>
      </c>
      <c r="D36" s="17" t="s">
        <v>41</v>
      </c>
      <c r="E36" s="17" t="s">
        <v>67</v>
      </c>
      <c r="F36" s="17" t="s">
        <v>60</v>
      </c>
    </row>
    <row r="37" customFormat="false" ht="15" hidden="false" customHeight="false" outlineLevel="0" collapsed="false">
      <c r="A37" s="12" t="s">
        <v>17</v>
      </c>
      <c r="B37" s="13" t="n">
        <f aca="false">COUNTIF(Variables!$C:$C,$A37)</f>
        <v>153</v>
      </c>
      <c r="C37" s="13" t="n">
        <f aca="false">COUNTIFS(Variables!$C:$C,$A37,Variables!$O:$O,C$36)</f>
        <v>47</v>
      </c>
      <c r="D37" s="13" t="n">
        <f aca="false">COUNTIFS(Variables!$C:$C,$A37,Variables!$O:$O,D$36)</f>
        <v>73</v>
      </c>
      <c r="E37" s="13" t="n">
        <f aca="false">COUNTIFS(Variables!$C:$C,$A37,Variables!$O:$O,E$36)</f>
        <v>30</v>
      </c>
      <c r="F37" s="13" t="n">
        <f aca="false">COUNTIFS(Variables!$C:$C,$A37,Variables!$O:$O,F$36)</f>
        <v>3</v>
      </c>
    </row>
    <row r="38" customFormat="false" ht="15" hidden="false" customHeight="false" outlineLevel="0" collapsed="false">
      <c r="A38" s="12" t="s">
        <v>484</v>
      </c>
      <c r="B38" s="13" t="n">
        <f aca="false">COUNTIF(Variables!$C:$C,$A38)</f>
        <v>122</v>
      </c>
      <c r="C38" s="13" t="n">
        <f aca="false">COUNTIFS(Variables!$C:$C,$A38,Variables!$O:$O,C$36)</f>
        <v>3</v>
      </c>
      <c r="D38" s="13" t="n">
        <f aca="false">COUNTIFS(Variables!$C:$C,$A38,Variables!$O:$O,D$36)</f>
        <v>72</v>
      </c>
      <c r="E38" s="13" t="n">
        <f aca="false">COUNTIFS(Variables!$C:$C,$A38,Variables!$O:$O,E$36)</f>
        <v>47</v>
      </c>
      <c r="F38" s="13" t="n">
        <f aca="false">COUNTIFS(Variables!$C:$C,$A38,Variables!$O:$O,F$36)</f>
        <v>0</v>
      </c>
    </row>
    <row r="39" customFormat="false" ht="15" hidden="false" customHeight="false" outlineLevel="0" collapsed="false">
      <c r="B39" s="16"/>
      <c r="C39" s="16"/>
      <c r="D39" s="16"/>
      <c r="E39" s="16"/>
      <c r="F39" s="16"/>
    </row>
    <row r="40" customFormat="false" ht="15" hidden="false" customHeight="false" outlineLevel="0" collapsed="false">
      <c r="A40" s="12" t="s">
        <v>818</v>
      </c>
    </row>
    <row r="41" customFormat="false" ht="15" hidden="false" customHeight="false" outlineLevel="0" collapsed="false">
      <c r="A41" s="12" t="s">
        <v>819</v>
      </c>
    </row>
    <row r="42" customFormat="false" ht="15" hidden="false" customHeight="false" outlineLevel="0" collapsed="false">
      <c r="A42" s="12" t="s">
        <v>820</v>
      </c>
    </row>
    <row r="43" customFormat="false" ht="15" hidden="false" customHeight="false" outlineLevel="0" collapsed="false">
      <c r="A43" s="12" t="s">
        <v>821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10"/>
    <col collapsed="false" customWidth="true" hidden="false" outlineLevel="0" max="4" min="4" style="0" width="48"/>
  </cols>
  <sheetData>
    <row r="1" customFormat="false" ht="15" hidden="false" customHeight="false" outlineLevel="0" collapsed="false">
      <c r="A1" s="18" t="s">
        <v>0</v>
      </c>
      <c r="B1" s="18" t="s">
        <v>822</v>
      </c>
      <c r="C1" s="18" t="s">
        <v>823</v>
      </c>
      <c r="D1" s="18" t="s">
        <v>824</v>
      </c>
    </row>
    <row r="2" customFormat="false" ht="23.85" hidden="false" customHeight="false" outlineLevel="0" collapsed="false">
      <c r="A2" s="2" t="n">
        <v>1</v>
      </c>
      <c r="B2" s="4" t="s">
        <v>825</v>
      </c>
      <c r="C2" s="4" t="s">
        <v>826</v>
      </c>
      <c r="D2" s="4" t="s">
        <v>827</v>
      </c>
    </row>
    <row r="3" customFormat="false" ht="23.85" hidden="false" customHeight="false" outlineLevel="0" collapsed="false">
      <c r="A3" s="2" t="n">
        <v>2</v>
      </c>
      <c r="B3" s="4" t="s">
        <v>825</v>
      </c>
      <c r="C3" s="4" t="s">
        <v>828</v>
      </c>
      <c r="D3" s="4" t="s">
        <v>829</v>
      </c>
    </row>
    <row r="4" customFormat="false" ht="35.05" hidden="false" customHeight="false" outlineLevel="0" collapsed="false">
      <c r="A4" s="2" t="n">
        <v>3</v>
      </c>
      <c r="B4" s="4" t="s">
        <v>825</v>
      </c>
      <c r="C4" s="4" t="s">
        <v>830</v>
      </c>
      <c r="D4" s="4" t="s">
        <v>831</v>
      </c>
    </row>
    <row r="5" customFormat="false" ht="23.85" hidden="false" customHeight="false" outlineLevel="0" collapsed="false">
      <c r="A5" s="2" t="n">
        <v>4</v>
      </c>
      <c r="B5" s="4" t="s">
        <v>825</v>
      </c>
      <c r="C5" s="4" t="s">
        <v>832</v>
      </c>
      <c r="D5" s="4" t="s">
        <v>831</v>
      </c>
    </row>
    <row r="6" customFormat="false" ht="23.85" hidden="false" customHeight="false" outlineLevel="0" collapsed="false">
      <c r="A6" s="2" t="n">
        <v>5</v>
      </c>
      <c r="B6" s="4" t="s">
        <v>833</v>
      </c>
      <c r="C6" s="4" t="s">
        <v>834</v>
      </c>
      <c r="D6" s="4" t="s">
        <v>835</v>
      </c>
    </row>
    <row r="7" customFormat="false" ht="23.85" hidden="false" customHeight="false" outlineLevel="0" collapsed="false">
      <c r="A7" s="2" t="n">
        <v>6</v>
      </c>
      <c r="B7" s="4" t="s">
        <v>836</v>
      </c>
      <c r="C7" s="4" t="s">
        <v>837</v>
      </c>
      <c r="D7" s="4" t="s">
        <v>838</v>
      </c>
    </row>
    <row r="8" customFormat="false" ht="15" hidden="false" customHeight="false" outlineLevel="0" collapsed="false">
      <c r="A8" s="2" t="n">
        <v>7</v>
      </c>
      <c r="B8" s="4" t="s">
        <v>839</v>
      </c>
      <c r="C8" s="4" t="s">
        <v>840</v>
      </c>
      <c r="D8" s="4" t="s">
        <v>841</v>
      </c>
    </row>
    <row r="9" customFormat="false" ht="15" hidden="false" customHeight="false" outlineLevel="0" collapsed="false">
      <c r="A9" s="2" t="n">
        <v>8</v>
      </c>
      <c r="B9" s="4" t="s">
        <v>842</v>
      </c>
      <c r="C9" s="4" t="s">
        <v>843</v>
      </c>
      <c r="D9" s="4" t="s">
        <v>844</v>
      </c>
    </row>
    <row r="10" customFormat="false" ht="23.85" hidden="false" customHeight="false" outlineLevel="0" collapsed="false">
      <c r="A10" s="2" t="n">
        <v>9</v>
      </c>
      <c r="B10" s="4" t="s">
        <v>845</v>
      </c>
      <c r="C10" s="4" t="s">
        <v>846</v>
      </c>
      <c r="D10" s="4" t="s">
        <v>847</v>
      </c>
    </row>
    <row r="11" customFormat="false" ht="46.25" hidden="false" customHeight="false" outlineLevel="0" collapsed="false">
      <c r="A11" s="2" t="n">
        <v>10</v>
      </c>
      <c r="B11" s="4" t="s">
        <v>848</v>
      </c>
      <c r="C11" s="4" t="s">
        <v>849</v>
      </c>
      <c r="D11" s="4" t="s">
        <v>850</v>
      </c>
    </row>
    <row r="12" customFormat="false" ht="23.85" hidden="false" customHeight="false" outlineLevel="0" collapsed="false">
      <c r="A12" s="2" t="n">
        <v>11</v>
      </c>
      <c r="B12" s="4" t="s">
        <v>851</v>
      </c>
      <c r="C12" s="4" t="s">
        <v>852</v>
      </c>
      <c r="D12" s="4" t="s">
        <v>853</v>
      </c>
    </row>
    <row r="13" customFormat="false" ht="15" hidden="false" customHeight="false" outlineLevel="0" collapsed="false">
      <c r="A13" s="2" t="n">
        <v>12</v>
      </c>
      <c r="B13" s="4" t="s">
        <v>854</v>
      </c>
      <c r="C13" s="4" t="s">
        <v>855</v>
      </c>
      <c r="D13" s="4" t="s">
        <v>856</v>
      </c>
    </row>
    <row r="14" customFormat="false" ht="15" hidden="false" customHeight="false" outlineLevel="0" collapsed="false">
      <c r="A14" s="2" t="n">
        <v>13</v>
      </c>
      <c r="B14" s="4" t="s">
        <v>857</v>
      </c>
      <c r="C14" s="4" t="s">
        <v>858</v>
      </c>
      <c r="D14" s="4" t="s">
        <v>859</v>
      </c>
    </row>
    <row r="15" customFormat="false" ht="15" hidden="false" customHeight="false" outlineLevel="0" collapsed="false">
      <c r="A15" s="2" t="n">
        <v>14</v>
      </c>
      <c r="B15" s="4" t="s">
        <v>860</v>
      </c>
      <c r="C15" s="4" t="s">
        <v>861</v>
      </c>
      <c r="D15" s="4" t="s">
        <v>862</v>
      </c>
    </row>
    <row r="16" customFormat="false" ht="23.85" hidden="false" customHeight="false" outlineLevel="0" collapsed="false">
      <c r="A16" s="2" t="n">
        <v>15</v>
      </c>
      <c r="B16" s="4" t="s">
        <v>863</v>
      </c>
      <c r="C16" s="4" t="s">
        <v>864</v>
      </c>
      <c r="D16" s="4" t="s">
        <v>865</v>
      </c>
    </row>
    <row r="17" customFormat="false" ht="23.85" hidden="false" customHeight="false" outlineLevel="0" collapsed="false">
      <c r="A17" s="2" t="n">
        <v>16</v>
      </c>
      <c r="B17" s="4" t="s">
        <v>863</v>
      </c>
      <c r="C17" s="4" t="s">
        <v>866</v>
      </c>
      <c r="D17" s="4" t="s">
        <v>867</v>
      </c>
    </row>
    <row r="18" customFormat="false" ht="23.85" hidden="false" customHeight="false" outlineLevel="0" collapsed="false">
      <c r="A18" s="2" t="n">
        <v>17</v>
      </c>
      <c r="B18" s="4" t="s">
        <v>863</v>
      </c>
      <c r="C18" s="4" t="s">
        <v>868</v>
      </c>
      <c r="D18" s="4" t="s">
        <v>869</v>
      </c>
    </row>
    <row r="19" customFormat="false" ht="23.85" hidden="false" customHeight="false" outlineLevel="0" collapsed="false">
      <c r="A19" s="2" t="n">
        <v>18</v>
      </c>
      <c r="B19" s="4" t="s">
        <v>863</v>
      </c>
      <c r="C19" s="4" t="s">
        <v>870</v>
      </c>
      <c r="D19" s="4" t="s">
        <v>871</v>
      </c>
    </row>
    <row r="20" customFormat="false" ht="23.85" hidden="false" customHeight="false" outlineLevel="0" collapsed="false">
      <c r="A20" s="2" t="n">
        <v>19</v>
      </c>
      <c r="B20" s="4" t="s">
        <v>872</v>
      </c>
      <c r="C20" s="4" t="s">
        <v>873</v>
      </c>
      <c r="D20" s="4" t="s">
        <v>874</v>
      </c>
    </row>
    <row r="21" customFormat="false" ht="46.25" hidden="false" customHeight="false" outlineLevel="0" collapsed="false">
      <c r="A21" s="2" t="n">
        <v>20</v>
      </c>
      <c r="B21" s="4" t="s">
        <v>875</v>
      </c>
      <c r="C21" s="4" t="s">
        <v>876</v>
      </c>
      <c r="D21" s="4" t="s">
        <v>877</v>
      </c>
    </row>
    <row r="22" customFormat="false" ht="15" hidden="false" customHeight="false" outlineLevel="0" collapsed="false">
      <c r="A22" s="2" t="n">
        <v>21</v>
      </c>
      <c r="B22" s="4" t="s">
        <v>875</v>
      </c>
      <c r="C22" s="4" t="s">
        <v>878</v>
      </c>
      <c r="D22" s="4" t="s">
        <v>879</v>
      </c>
    </row>
    <row r="23" customFormat="false" ht="35.05" hidden="false" customHeight="false" outlineLevel="0" collapsed="false">
      <c r="A23" s="2" t="n">
        <v>22</v>
      </c>
      <c r="B23" s="4" t="s">
        <v>880</v>
      </c>
      <c r="C23" s="4" t="s">
        <v>881</v>
      </c>
      <c r="D23" s="4" t="s">
        <v>882</v>
      </c>
    </row>
    <row r="24" customFormat="false" ht="23.85" hidden="false" customHeight="false" outlineLevel="0" collapsed="false">
      <c r="A24" s="2" t="n">
        <v>23</v>
      </c>
      <c r="B24" s="4" t="s">
        <v>883</v>
      </c>
      <c r="C24" s="4" t="s">
        <v>884</v>
      </c>
      <c r="D24" s="4" t="s">
        <v>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9" t="s">
        <v>822</v>
      </c>
      <c r="B1" s="19" t="s">
        <v>886</v>
      </c>
    </row>
    <row r="2" customFormat="false" ht="35.05" hidden="false" customHeight="false" outlineLevel="0" collapsed="false">
      <c r="A2" s="20" t="s">
        <v>887</v>
      </c>
      <c r="B2" s="21" t="s">
        <v>888</v>
      </c>
    </row>
    <row r="3" customFormat="false" ht="15" hidden="false" customHeight="false" outlineLevel="0" collapsed="false">
      <c r="A3" s="20" t="s">
        <v>889</v>
      </c>
      <c r="B3" s="21" t="s">
        <v>890</v>
      </c>
    </row>
    <row r="4" customFormat="false" ht="79.85" hidden="false" customHeight="false" outlineLevel="0" collapsed="false">
      <c r="A4" s="20" t="s">
        <v>891</v>
      </c>
      <c r="B4" s="21" t="s">
        <v>892</v>
      </c>
    </row>
    <row r="5" customFormat="false" ht="23.85" hidden="false" customHeight="false" outlineLevel="0" collapsed="false">
      <c r="A5" s="20" t="s">
        <v>893</v>
      </c>
      <c r="B5" s="21" t="s">
        <v>894</v>
      </c>
    </row>
    <row r="6" customFormat="false" ht="23.85" hidden="false" customHeight="false" outlineLevel="0" collapsed="false">
      <c r="A6" s="20" t="s">
        <v>895</v>
      </c>
      <c r="B6" s="21" t="s">
        <v>896</v>
      </c>
    </row>
    <row r="7" customFormat="false" ht="23.85" hidden="false" customHeight="false" outlineLevel="0" collapsed="false">
      <c r="A7" s="20" t="s">
        <v>252</v>
      </c>
      <c r="B7" s="21" t="s">
        <v>897</v>
      </c>
    </row>
    <row r="8" customFormat="false" ht="23.85" hidden="false" customHeight="false" outlineLevel="0" collapsed="false">
      <c r="A8" s="20" t="s">
        <v>898</v>
      </c>
      <c r="B8" s="21" t="s">
        <v>899</v>
      </c>
    </row>
    <row r="9" customFormat="false" ht="23.85" hidden="false" customHeight="false" outlineLevel="0" collapsed="false">
      <c r="A9" s="20" t="s">
        <v>900</v>
      </c>
      <c r="B9" s="21" t="s">
        <v>901</v>
      </c>
    </row>
    <row r="10" customFormat="false" ht="23.85" hidden="false" customHeight="false" outlineLevel="0" collapsed="false">
      <c r="A10" s="20" t="s">
        <v>902</v>
      </c>
      <c r="B10" s="21" t="s">
        <v>903</v>
      </c>
    </row>
    <row r="11" customFormat="false" ht="46.25" hidden="false" customHeight="false" outlineLevel="0" collapsed="false">
      <c r="A11" s="20" t="s">
        <v>904</v>
      </c>
      <c r="B11" s="21" t="s">
        <v>905</v>
      </c>
    </row>
    <row r="12" customFormat="false" ht="68.65" hidden="false" customHeight="false" outlineLevel="0" collapsed="false">
      <c r="A12" s="20" t="s">
        <v>906</v>
      </c>
      <c r="B12" s="21" t="s">
        <v>907</v>
      </c>
    </row>
    <row r="13" customFormat="false" ht="124.6" hidden="false" customHeight="false" outlineLevel="0" collapsed="false">
      <c r="A13" s="20" t="s">
        <v>908</v>
      </c>
      <c r="B13" s="21" t="s">
        <v>909</v>
      </c>
    </row>
    <row r="14" customFormat="false" ht="23.85" hidden="false" customHeight="false" outlineLevel="0" collapsed="false">
      <c r="A14" s="20" t="s">
        <v>910</v>
      </c>
      <c r="B14" s="21" t="s">
        <v>911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2026-10-24T03:38:19Z</dcterms:created>
  <dc:creator>openpyxl</dc:creator>
  <dc:description/>
  <dc:language>en-US</dc:language>
  <cp:lastModifiedBy/>
  <dcterms:modified xsi:type="dcterms:W3CDTF">2026-10-24T03:38:19Z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