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dicts" sheetId="1" state="visible" r:id="rId3"/>
    <sheet name="By part of the chain" sheetId="2" state="visible" r:id="rId4"/>
    <sheet name="Counts" sheetId="3" state="visible" r:id="rId5"/>
    <sheet name="Open items" sheetId="4" state="visible" r:id="rId6"/>
    <sheet name="How it was done" sheetId="5" state="visible" r:id="rId7"/>
  </sheets>
  <definedNames>
    <definedName function="false" hidden="true" localSheetId="0" name="_xlnm._FilterDatabase" vbProcedure="false">Verdicts!$A$5:$K$80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<sst xmlns="http://schemas.openxmlformats.org/spreadsheetml/2006/main" count="849" uniqueCount="609">
  <si>
    <t xml:space="preserve">Step 5 of the review: what the published page says, claim by claim, and what the review supports</t>
  </si>
  <si>
    <t xml:space="preserve">The page is the visual essay "Encampment, Self-Settlement and the Recovery of Displaced Households: Syrian Refugees in Jordan" (index.html, with the Spanish version index_espanol.html, which carries the same figures). Each row is one claim of the page, in the order of the page, read against the four earlier steps of the review: step 1 (what the survey measures well), step 2 (whom the sample represents), step 3 (the theory of change) and step 4 (design 1, the shocks family, the decomposition, the four indices and the flexible-estimation check). Abbreviations in the "Where in the review" column: S1 = encampment_variable_audit.xlsx; S2 = encampment_sample_and_benchmarks.xlsx; S3 = encampment_theory_of_change.xlsx; S4 = encampment_design_diagnostics.xlsx (seventh edition); "step 2 profile" = the profile of the two groups behind steps 2 and 3 (script b1_profile.py, aggregate file b1_profile.min.json), cited where a figure sits in that aggregate and is not printed on a sheet; "step 5b" = the descriptive cuts declared in review/brief_5b.md on 21 October 2026 (the composition of reported spending, the rent burden and income after rent, the responses by thirds of the rent burden, the average day by group and sex of the respondent), computed on the author's computer (aggregate file out_c7.json), replicated blind and printed in the technical note (encampment_technical_note.ipynb, Tables 4.4 to 4.6 and 7.10). A count below ten that the page itself prints is masked here in square brackets.</t>
  </si>
  <si>
    <t xml:space="preserve">Five verdicts, fixed before the claims were read against the review. Holds: the review confirms the figure and the reading. Holds with new wording: the fact holds and the wording changes for the rules fixed for the review (no effects, the names decided, the lexicon, households as the subject of each sentence, protection of small counts). Revise: the review gives another number or another reading and the claim changes in substance. Not supported: the review contradicts it or the data cannot carry it, so it goes. Not checked: the review did not test it, and the row says what it would take. Two flags beside the verdict: protection (the sentence prints, or lets a reader work out, a count below ten households) and language (a causal verb, a place as the subject, a name not agreed, the word the author avoids, a headline wider than its figure, or a statement that needs its source named). The last column gives the part of the chain of the step 3 workbook that the claim belongs to.</t>
  </si>
  <si>
    <t xml:space="preserve">No.</t>
  </si>
  <si>
    <t xml:space="preserve">Chapter</t>
  </si>
  <si>
    <t xml:space="preserve">Where on the page</t>
  </si>
  <si>
    <t xml:space="preserve">What the page says</t>
  </si>
  <si>
    <t xml:space="preserve">What the review found</t>
  </si>
  <si>
    <t xml:space="preserve">Where in the review</t>
  </si>
  <si>
    <t xml:space="preserve">Verdict</t>
  </si>
  <si>
    <t xml:space="preserve">Wording proposed for the page</t>
  </si>
  <si>
    <t xml:space="preserve">Protection flag</t>
  </si>
  <si>
    <t xml:space="preserve">Language flag</t>
  </si>
  <si>
    <t xml:space="preserve">Part of the chain</t>
  </si>
  <si>
    <t xml:space="preserve">Title, lead and map</t>
  </si>
  <si>
    <t xml:space="preserve">0.1</t>
  </si>
  <si>
    <t xml:space="preserve">0</t>
  </si>
  <si>
    <t xml:space="preserve">Lead paragraph</t>
  </si>
  <si>
    <t xml:space="preserve">The same 391 families described their lives in Syria before the war and in Jordan in 2016; inside Zaatari camp and outside it, Jordan hosted them under two different sets of rules; the page tells what each family lost, what it rebuilt, and why.</t>
  </si>
  <si>
    <t xml:space="preserve">The counts hold (257 households interviewed in Zaatari camp, 134 in northern towns). The pre-war module covers resources and traits (income, goods, savings, debts, business, car, pension, vacations, housing, schooling), not the responses, the scales or the shocks, so the page can speak of a pre-war module rather than of the same questionnaire asked twice. "Why" promises causes; the review found no causal design in the data (no instrument, no discontinuity, no cohort structure), so the page can show what goes with living in each place, not what each place did.</t>
  </si>
  <si>
    <t xml:space="preserve">S4 How it was done (rows 3 and 4); S1 Variables (the blocks on Syria); S3 How it was done</t>
  </si>
  <si>
    <t xml:space="preserve">Holds with new wording</t>
  </si>
  <si>
    <t xml:space="preserve">Between June and August 2016, 391 Syrian refugee households were interviewed in Jordan, 257 in Zaatari camp and 134 in northern towns. Each household also described its resources in Syria before the war. The two groups lived under different rules in Jordan, and the page shows what households in each setting lost, what they rebuilt, and what went with each outcome.</t>
  </si>
  <si>
    <t xml:space="preserve">causal promise ("why")</t>
  </si>
  <si>
    <t xml:space="preserve">0.2</t>
  </si>
  <si>
    <t xml:space="preserve">Map caption</t>
  </si>
  <si>
    <t xml:space="preserve">Three in four households came from Daraa governorate, just across the border (Daraa city about 12 km from Ramtha); lines are drawn only for origin and destination pairs with at least 5 households (353 of the 380 households with a recorded origin); 11 households did not record an origin.</t>
  </si>
  <si>
    <t xml:space="preserve">Daraa origin: 86% in the camp and 64% in the towns, about three in four of the 380 households with a recorded origin. Ramtha lies about 11 km from Daraa in a straight line (Tokmajyan 2021 gives some 10 km). The map rule (pairs of five or more) is the one decided on 21 October 2026. The figure changes: under the coding of origin of the step 2 profile, which the step 2 workbook and the map of the brief use, the lines drawn cover 351 of the 380 households with a recorded origin; the page's figure came from an aggregate of the map computed on 5 October 2026, which coded some places of origin differently (found by the check of coherence of 23 October 2026). The counts printed (351 of 380; 11 without origin) are at or above ten.</t>
  </si>
  <si>
    <t xml:space="preserve">S2 Comparison (No. 1, 2 and 24); S3 Checks, section 6 (distances); flows by origin and place of interview under the step 2 coding (map/m1_flujos.py, computed on the author's computer on 23 October 2026)</t>
  </si>
  <si>
    <t xml:space="preserve">Revise</t>
  </si>
  <si>
    <t xml:space="preserve">The caption with 351 in place of the page's figure. One check remains in the HTML of the page: the hover shows counts by governorate of origin at each destination, and a pair of five to nine households would print a count below ten; the rule agreed for the map (five or more) covers the lines drawn, and the counts shown should follow the same rule, stated on the page, or the ten rule. The brief that replaces the page shows the width class in its hover and prints counts for the two largest flows to the camp only.</t>
  </si>
  <si>
    <t xml:space="preserve">hover counts by governorate of origin to be checked in the HTML</t>
  </si>
  <si>
    <t xml:space="preserve">0.3</t>
  </si>
  <si>
    <t xml:space="preserve">Lead, chapter 1 and methods</t>
  </si>
  <si>
    <t xml:space="preserve">Fieldwork took place between May and July 2016.</t>
  </si>
  <si>
    <t xml:space="preserve">The two documents of 2016 and 2017 in the folder say June and July 2016; the file holds no interview date (16 records of the raw sheet carry one date, in August 2016); Ramadan ran from 6 June to 5 July 2016. Author's account (21 October 2026): fieldwork ran from June to August 2016, which the dated records of the raw sheet fit. The step 1 finding is to be updated in the next edition of that workbook.</t>
  </si>
  <si>
    <t xml:space="preserve">S1 Findings (No. 1 and 2); author's account, 21 October 2026</t>
  </si>
  <si>
    <t xml:space="preserve">Between June and August 2016 (and, in the methods section, the same months in place of May to July).</t>
  </si>
  <si>
    <t xml:space="preserve">Chapter 1. The households</t>
  </si>
  <si>
    <t xml:space="preserve">1.1</t>
  </si>
  <si>
    <t xml:space="preserve">1</t>
  </si>
  <si>
    <t xml:space="preserve">Chapter 1, opening</t>
  </si>
  <si>
    <t xml:space="preserve">391 households: 257 in the twelve districts of Zaatari camp and 134 in Irbid, Ramtha, Jerash, Zarqa and the towns around them.</t>
  </si>
  <si>
    <t xml:space="preserve">Holds: 257 camp households spread over the twelve districts like the REACH count of January 2015; 134 towns households (52 in Irbid, 38 in Ramtha, 24 in Jerash, 10 in Zarqa and fewer than ten in three other places).</t>
  </si>
  <si>
    <t xml:space="preserve">S2 Places and districts; S2 Findings (No. 1 and 6)</t>
  </si>
  <si>
    <t xml:space="preserve">Holds</t>
  </si>
  <si>
    <t xml:space="preserve">No change. The page can add, once, that two thirds of the towns group live in Irbid and Ramtha, the two cities nearest to Daraa, and that the results do not extend to Amman, where a third of all Syrians lived (fewer than ten households in the sample).</t>
  </si>
  <si>
    <t xml:space="preserve">1.2</t>
  </si>
  <si>
    <t xml:space="preserve">Chapter 1, unit chart</t>
  </si>
  <si>
    <t xml:space="preserve">Every household answered the same questionnaire twice over: about its life in Jordan, and about its life in Syria before the war.</t>
  </si>
  <si>
    <t xml:space="preserve">Overstated. The Syria module records resources and traits before the war (income, durable goods, savings, debts, loans, business, car, pension, vacations, outings, housing tenure, informal work); the shocks, the eleven responses, the scales, security and assistance were asked for Jordan only. The review uses the Syria answers as pre-war traits for the comparison, not as a second wave.</t>
  </si>
  <si>
    <t xml:space="preserve">S1 Variables (blocks on Syria); S3 Theory of change, part 8 (column H); S4 Verdict (sample note)</t>
  </si>
  <si>
    <t xml:space="preserve">Each household also answered a module on its resources in Syria before the war: income, durable goods, savings, debts, business, car, pension and housing. Those answers describe the household before displacement and serve to compare like with like.</t>
  </si>
  <si>
    <t xml:space="preserve">1.3</t>
  </si>
  <si>
    <t xml:space="preserve">Inside the camp: registration, food vouchers, a caravan and almost no work. Outside: movement, informal work and rent.</t>
  </si>
  <si>
    <t xml:space="preserve">"Almost no work" overstates: 36% of camp households name work income among their sources and 39% name a member who works (67% and 64% in the towns). Among comparable households the work-income difference is 24 points (robust). Rent: 87% of towns households rent (median JD 130, Jordanian dinars); fewer than ten camp households do.</t>
  </si>
  <si>
    <t xml:space="preserve">S3 Figures; S2 Findings (No. 8); S4 Verdict (income from work)</t>
  </si>
  <si>
    <t xml:space="preserve">Inside the camp: registration, a caravan, the food voucher for nine households in ten, and work income in about one household in three. In the towns: movement, work income in two households of three, and rent for nearly nine in ten.</t>
  </si>
  <si>
    <t xml:space="preserve">1.4</t>
  </si>
  <si>
    <t xml:space="preserve">Chapter 1, unit chart (routes out of the camp)</t>
  </si>
  <si>
    <t xml:space="preserve">The 134 households outside the camp got there in different ways: 49 never entered a camp; 42 left Zaatari with a Jordanian sponsor, the legal route until 2015; [a count] left informally; [a count below ten] left with a permit or did not say.</t>
  </si>
  <si>
    <t xml:space="preserve">The page prints a count below ten, and the three other counts let a reader work it out by subtraction. Of the 134 towns households, 84 passed through a camp (71 lived in Zaatari and 13 in Azraq, so "left Zaatari" is not exact), 42 report leaving with a sponsor and most of the rest informally; the other routes have fewer than ten households. Households that left with a sponsor weigh more in the sample than in the UNHCR estimate (27% of exits). The page's 49 that never entered a camp and the review's 84 that passed through one do not partition the 134 the same way (the review's base is the households that report having passed through a camp), so the two figures are not combined.</t>
  </si>
  <si>
    <t xml:space="preserve">S2 Comparison (No. 32 and 33); S2 Findings (No. 14); S3 Theory of change, part 0 (column F)</t>
  </si>
  <si>
    <t xml:space="preserve">Of the 134 households in the towns, 84 passed through a camp and 50 did not. Of those 84, 42 report leaving with a Jordanian sponsor, the legal route until 2015, and the other 42 left informally, by another route, or did not say how. Households that left with a sponsor weigh more in this sample than among all exits from Zaatari.</t>
  </si>
  <si>
    <t xml:space="preserve">prints a count below ten; the four counts add to the group total</t>
  </si>
  <si>
    <t xml:space="preserve">1.5</t>
  </si>
  <si>
    <t xml:space="preserve">How a family left later decided which documents it could hold.</t>
  </si>
  <si>
    <t xml:space="preserve">A statement about the rules, not about the survey, and the sources support it: from July 2014 households that left a camp without a sponsor could not obtain the Ministry of Interior card, and the sponsor route was suspended in January 2015 (NRC and IHRC 2016). The survey did not ask about the card.</t>
  </si>
  <si>
    <t xml:space="preserve">S3 Literature (NRC and IHRC 2016); S3 Theory of change, part 0 (columns G and H)</t>
  </si>
  <si>
    <t xml:space="preserve">Under the rules of the time, the route out of a camp decided which documents a household could later hold: those that left without a sponsor after July 2014 could not obtain the Ministry of Interior card (NRC and IHRC 2016). The survey did not ask about the card.</t>
  </si>
  <si>
    <t xml:space="preserve">cite the source in the sentence</t>
  </si>
  <si>
    <t xml:space="preserve">1.6</t>
  </si>
  <si>
    <t xml:space="preserve">Chapter 1, unit chart (registration)</t>
  </si>
  <si>
    <t xml:space="preserve">The survey never asked about Ministry of Interior cards. It did ask about UNHCR registration: [a total that fixes a camp count below ten] households were still waiting to be registered, twelve of them outside the camp, most of them recent arrivals or families that never entered a camp; the ring marks them.</t>
  </si>
  <si>
    <t xml:space="preserve">The two counts leave a count below ten for the camp by subtraction, the ring marks those households one by one on the chart, and "most of them recent arrivals or families that never entered a camp" cuts the twelve into cells below ten. Twelve towns households and fewer than ten camp households reported being asylum seekers; none reported being unregistered. There is no variation to compare. The sentence under the chart, that no dot is an identifiable household, holds once the ring goes.</t>
  </si>
  <si>
    <t xml:space="preserve">S1 Findings (No. 14); S2 Comparison (No. 28); S2 Findings (No. 17)</t>
  </si>
  <si>
    <t xml:space="preserve">The survey never asked about Ministry of Interior cards. It did ask about UNHCR registration: twelve households in the towns, and fewer than ten in the camp, reported being asylum seekers still awaiting registration; none reported being unregistered. (The ring on the chart goes, and the cut of the twelve by arrival and camp history goes with it.)</t>
  </si>
  <si>
    <t xml:space="preserve">camp count below ten by subtraction; the twelve cut into cells below ten; the chart marks them</t>
  </si>
  <si>
    <t xml:space="preserve">1.7</t>
  </si>
  <si>
    <t xml:space="preserve">Chapter 1, unit chart (who answered)</t>
  </si>
  <si>
    <t xml:space="preserve">Women answered 63 percent of the interviews outside the camp and 21 percent inside, the largest difference between the two samples; every subjective answer on the page is read with that in mind.</t>
  </si>
  <si>
    <t xml:space="preserve">Holds: a woman answered in 63% of towns households and 21% of camp households (standardized difference 0.8 to 0.9, as large as any in the data; urban origin reaches 0.89 too). The review reports the three scales within each sex of the respondent and finds the integration difference among men and among women alike, the optimism difference among women only.</t>
  </si>
  <si>
    <t xml:space="preserve">S2 Findings (No. 12 and 13); S4 Within sex</t>
  </si>
  <si>
    <t xml:space="preserve">No change.</t>
  </si>
  <si>
    <t xml:space="preserve">1.8</t>
  </si>
  <si>
    <t xml:space="preserve">Chapter 1, unit chart (eating less)</t>
  </si>
  <si>
    <t xml:space="preserve">Asked how they had coped with a fall in income, 73 percent of households outside the camp said they had eaten less, against 55 percent inside.</t>
  </si>
  <si>
    <t xml:space="preserve">Holds as a description of all households: 73% and 55%. Among comparable households (same pre-war traits, within the common support) the difference is 7 to 15 points and cannot be told from zero; the raw gap comes in good part from the traits that also decided where the household lives; the lower incidence of the shock in the towns works against the gap, and the response given the shock accounts for it (for the consumption cuts index, over all households, the incidence part is -0.11 and the part given the shock +0.47).</t>
  </si>
  <si>
    <t xml:space="preserve">S3 Figures; S4 Verdict and Shocks verdict (ate less); S4 Decomposition</t>
  </si>
  <si>
    <t xml:space="preserve">Asked how they had coped with a fall in income, 73 percent of households in the towns said they had eaten less, against 55 percent in the camp. Among households with the same pre-war traits the gap is far smaller (7 to 15 points) and cannot be told from zero.</t>
  </si>
  <si>
    <t xml:space="preserve">4</t>
  </si>
  <si>
    <t xml:space="preserve">1.9</t>
  </si>
  <si>
    <t xml:space="preserve">Chapter 1, closing</t>
  </si>
  <si>
    <t xml:space="preserve">Households with more income cut food more often. The rest of the page explains why, and what it would have taken to change it.</t>
  </si>
  <si>
    <t xml:space="preserve">The premise weakens among comparable households (see 1.8). What the review can say: the shock (a fall in income) was less frequent in the towns (78% against 92%; 21 points fewer among comparable households, robust); among comparable households that suffered it, towns households cut consumption more (ate less 21 points more, cut other spending 25 points more) and drew less on savings and loans (17 and 20 points fewer), with no difference in the severe responses. Those conditional figures are descriptive. "What it would have taken to change it" is a causal counterfactual the design cannot support.</t>
  </si>
  <si>
    <t xml:space="preserve">S4 Decomposition (block B); S4 Shocks verdict; S4 How it was done (row 3)</t>
  </si>
  <si>
    <t xml:space="preserve">Households in the towns have more income and more often report having eaten less. The rest of the page shows what goes with that: fewer of them suffered a fall in income, but among comparable households that did, more cut consumption and fewer drew on savings or loans.</t>
  </si>
  <si>
    <t xml:space="preserve">causal counterfactual</t>
  </si>
  <si>
    <t xml:space="preserve">Chapter 2. Before and after</t>
  </si>
  <si>
    <t xml:space="preserve">2.1</t>
  </si>
  <si>
    <t xml:space="preserve">2</t>
  </si>
  <si>
    <t xml:space="preserve">Chapter 2, opening</t>
  </si>
  <si>
    <t xml:space="preserve">Because every question was asked for Syria as well as for Jordan, the survey can be read as a two-period panel of the same household.</t>
  </si>
  <si>
    <t xml:space="preserve">Not supported. The survey is a single cross-section with recalled pre-war traits; each household is seen once, and matching on those traits or holding the year of arrival equal does not change that (step 3, part 8). Not every question was asked for Syria (see 1.2), the pre-war answers are recalled, and two of them carry gaps: income in Syria has no amount for 19 towns households (zero in the thesis variable) and spending in Syria none for 30.</t>
  </si>
  <si>
    <t xml:space="preserve">S3 Theory of change, part 8 (column H); S1 Findings (No. 15); S1 Variables</t>
  </si>
  <si>
    <t xml:space="preserve">Not supported</t>
  </si>
  <si>
    <t xml:space="preserve">The survey is a single cross-section taken in 2016. Its module on Syria before the war, answered from memory, gives the pre-war traits on which households are compared and a before-and-after picture of a few items (income, goods, savings, debts, work) that is read as recall, not as a second wave.</t>
  </si>
  <si>
    <t xml:space="preserve">"panel"</t>
  </si>
  <si>
    <t xml:space="preserve">8</t>
  </si>
  <si>
    <t xml:space="preserve">2.2</t>
  </si>
  <si>
    <t xml:space="preserve">Chapter 2, income before and after</t>
  </si>
  <si>
    <t xml:space="preserve">At one pre-crisis rate for everyone, camp households went from $465 a month to $220 and households outside from $495 to $384.</t>
  </si>
  <si>
    <t xml:space="preserve">The Jordan figures come close to the mean reported incomes (JD 162 in the camp and JD 277 in the towns, which at the page's rate of 1.405 give about $227 and $390). The Syria figures were not reproduced: the review keeps incomes in Syria in pounds (medians of 20 and 24 thousand a month; means of 26 and 32 thousand) because the conversion and the handling of blanks drive the dollar figures (19 towns households with no amount appear as zero in the thesis variable; the dollar variables of the thesis are empty where the year of arrival is missing or is 2016). The direction holds: camp households report the larger loss.</t>
  </si>
  <si>
    <t xml:space="preserve">Step 2 profile (means and medians of household income); S2 Before the war; S1 Findings (No. 15 and 16); S2 Findings (No. 16)</t>
  </si>
  <si>
    <t xml:space="preserve">Not checked</t>
  </si>
  <si>
    <t xml:space="preserve">Keep only after recomputing with blanks as missing and the pre-crisis rate stated, and report medians beside the means. Otherwise: in Syria the two groups reported similar incomes (medians of 20 and 24 thousand pounds a month); in Jordan the median is JD 140 a month in the camp and JD 270 in the towns.</t>
  </si>
  <si>
    <t xml:space="preserve">2.3</t>
  </si>
  <si>
    <t xml:space="preserve">Four in five camp households lost income; fewer than half outside did.</t>
  </si>
  <si>
    <t xml:space="preserve">Contradicted by the direct question: 92% of camp households and 78% of towns households report that their income fell since arrival, and the difference among comparable households is 21 to 25 points (robust). The page itself later counts 103 towns households that gave a cause for the fall. The computed version (converted amounts) depends on the conversion and on the blanks.</t>
  </si>
  <si>
    <t xml:space="preserve">S3 Figures; S4 Shocks verdict (income fell); S3 Theory of change, part 4</t>
  </si>
  <si>
    <t xml:space="preserve">Asked directly, 92 percent of camp households and 78 percent of households in the towns said their income had fallen since arrival; among comparable households the difference is about 21 points and holds under every test.</t>
  </si>
  <si>
    <t xml:space="preserve">2.4</t>
  </si>
  <si>
    <t xml:space="preserve">The thesis converted each family's income at the rate of the year it left Syria; read that way camp households lose little and households outside gain; since nominal pound incomes are the same across departure cohorts, this rate mostly records when a family left; it stays in the appendix.</t>
  </si>
  <si>
    <t xml:space="preserve">A methodological note the review did not test. One limit bears on it: the year of arrival is missing for 23 camp households and the month for 317 of 391, so an exit-year rate is undefined or coarse for many households.</t>
  </si>
  <si>
    <t xml:space="preserve">S1 Findings (No. 13 and 16)</t>
  </si>
  <si>
    <t xml:space="preserve">Keep as a note, adding that the year of arrival is missing for 23 camp households and the month for most households, so a rate by year of exit is undefined for some and coarse for the rest.</t>
  </si>
  <si>
    <t xml:space="preserve">2.5</t>
  </si>
  <si>
    <t xml:space="preserve">At purchasing power parity, households outside the camp are back at their pre-war standard of living and camp households are at about 60 percent of theirs; the factors are provisional, but the ranking does not depend on them.</t>
  </si>
  <si>
    <t xml:space="preserve">Not tested in the review, and subject to the same blanks and conversion caveats as 2.2.</t>
  </si>
  <si>
    <t xml:space="preserve">S1 Findings (No. 15 and 16)</t>
  </si>
  <si>
    <t xml:space="preserve">Keep only with the recomputation of 2.2; the ranking (a larger loss in the camp) is consistent with the pound and dinar figures.</t>
  </si>
  <si>
    <t xml:space="preserve">2.6</t>
  </si>
  <si>
    <t xml:space="preserve">Incomes in Syria were nearly identical (a standardised difference of 0.06), so the difference in within-household changes is about the same as the raw 2016 gap: $134 a month at the fixed rate, with a standard error of $61; the income advantage of households outside the camp was not inherited from Syria.</t>
  </si>
  <si>
    <t xml:space="preserve">The first part holds: recalled income in Syria hardly separates the groups (medians of 20 and 24 thousand pounds; the same median per person, 5 thousand). The $134 and its standard error were not reproduced (see 2.2). The design did not estimate the income level; it finds work income 24 points more frequent and spending per person about 1.9 times as high among comparable towns households (both robust).</t>
  </si>
  <si>
    <t xml:space="preserve">S2 Before the war; S2 Findings (No. 16); S4 Verdict (income from work; spending per person)</t>
  </si>
  <si>
    <t xml:space="preserve">Recalled incomes in Syria hardly separate the two groups (medians of 20 and 24 thousand pounds a month), so the gap in Jordan was not inherited from Syria. Among comparable households, towns households more often have work income (24 points) and spend about 1.9 times as much per person.</t>
  </si>
  <si>
    <t xml:space="preserve">2.7</t>
  </si>
  <si>
    <t xml:space="preserve">Chapter 2, goods chart (headline)</t>
  </si>
  <si>
    <t xml:space="preserve">Camp households lost the kitchen; households outside rebuilt it.</t>
  </si>
  <si>
    <t xml:space="preserve">The two goods hold as basic living conditions reached in Jordan: a refrigerator in 44% of camp households and nearly all in the towns; a stove in 23% and 74%. "Lost the kitchen" goes beyond the appliance count: cash for gas went to all camp families (REACH 2017), 82% of camp households had a separate kitchen in 2017 and 2018 (Fafo), and camp households cooked at home with gas while 23% report a stove, so the question appears to have counted the appliance. Use decided on 9 October 2026: report the two goods separately, as conditions reached in Jordan, and do not say camp households could not cook.</t>
  </si>
  <si>
    <t xml:space="preserve">S3 Checks, section 7; S3 Theory of change, part 5</t>
  </si>
  <si>
    <t xml:space="preserve">Fewer camp households have a refrigerator and a stove today; in the towns nearly all have a refrigerator and three in four a stove.</t>
  </si>
  <si>
    <t xml:space="preserve">headline says more than the count</t>
  </si>
  <si>
    <t xml:space="preserve">5</t>
  </si>
  <si>
    <t xml:space="preserve">2.8</t>
  </si>
  <si>
    <t xml:space="preserve">Chapter 2, goods chart</t>
  </si>
  <si>
    <t xml:space="preserve">Almost every household owned a refrigerator and a stove in Syria. In Zaatari fewer than one in four has a stove and fewer than half a refrigerator, because the caravan came without a kitchen; outside the camp, ownership of both is back near Syrian levels.</t>
  </si>
  <si>
    <t xml:space="preserve">The Syria figures hold (more than nine in ten households had each good) and the camp figures hold (23% and 44%). "Back near Syrian levels" holds for the refrigerator (nearly all) and not for the stove (74% against more than nine in ten in Syria). "Because the caravan came without a kitchen" is an explanation the survey does not test (see 2.7); the electricity supply (nine hours a day after 14 July 2016) bears on what a refrigerator was worth in the camp.</t>
  </si>
  <si>
    <t xml:space="preserve">S3 Checks, section 7; S3 Figures; S3 Literature (REACH 2016, AP 2016)</t>
  </si>
  <si>
    <t xml:space="preserve">More than nine in ten households had a refrigerator and a stove in Syria. In Zaatari, 23 percent have a stove today and 44 percent a refrigerator; in the towns nearly all have a refrigerator and 74 percent a stove. Among comparable households the differences are 44 to 47 points for the stove and 30 to 40 for the refrigerator, and they hold under every test.</t>
  </si>
  <si>
    <t xml:space="preserve">2.9</t>
  </si>
  <si>
    <t xml:space="preserve">Counting four durable goods, camp households went from 3.3 items to 1.6 and households outside from 3.4 to 2.7.</t>
  </si>
  <si>
    <t xml:space="preserve">Not reproduced. The use decided on 9 October 2026 keeps the goods out of any wealth index between the camp and the towns, because much of what a household can hold depends on the place (electricity, space, what is provided in kind), and reports the refrigerator and the stove separately. The television (90% in the camp, nearly all in the towns) and the car (fewer than ten households in each group today) add little.</t>
  </si>
  <si>
    <t xml:space="preserve">S3 Checks, section 7 (use decided, point 2); S2 Before the war; step 2 profile (television and car today)</t>
  </si>
  <si>
    <t xml:space="preserve">Drop the count of items; report the refrigerator and the stove as in 2.8.</t>
  </si>
  <si>
    <t xml:space="preserve">2.10</t>
  </si>
  <si>
    <t xml:space="preserve">Chapter 2, savings</t>
  </si>
  <si>
    <t xml:space="preserve">Half of the households later found outside the camp had savings in Syria, against fewer than one in five of those who stayed; by 2016 both groups were at [a share built on fewer than ten households].</t>
  </si>
  <si>
    <t xml:space="preserve">The Syria figures hold (50% and 18%). The 2016 share rests on fewer than ten households in each group, so it cannot be printed as a percentage; the review states it as "fewer than ten in each group".</t>
  </si>
  <si>
    <t xml:space="preserve">S2 Before the war; S3 Checks, section 3; S2 Findings (No. 16)</t>
  </si>
  <si>
    <t xml:space="preserve">Half of the households later found in the towns had savings in Syria, against fewer than one in five of those in the camp; by 2016 fewer than ten households in each group reported any savings.</t>
  </si>
  <si>
    <t xml:space="preserve">a share built on counts below ten</t>
  </si>
  <si>
    <t xml:space="preserve">2.11</t>
  </si>
  <si>
    <t xml:space="preserve">Chapter 2, debt</t>
  </si>
  <si>
    <t xml:space="preserve">Debt rose from about a quarter of households to 60 percent in the camp and 69 percent outside, and since formal loans are nearly absent in Jordan, that debt is owed to shops, relatives and landlords.</t>
  </si>
  <si>
    <t xml:space="preserve">The shares hold (24% and 26% in Syria; 60% and 69% today; among comparable households 12 to 22 points more in the towns, fragile). The survey records no amount and no lender, so "owed to shops, relatives and landlords" rests on other studies: about 80% of indebted households owe to relatives and friends in Jordan (Fafo 2017-2018); refugees borrow mainly from neighbours (CARE 2017). Loans in Jordan are reported by fewer than ten households in each group.</t>
  </si>
  <si>
    <t xml:space="preserve">S3 Figures; S3 Theory of change, part 4 (columns D and G); S4 Verdict (has debts); S2 Before the war; step 2 profile (loans in Jordan)</t>
  </si>
  <si>
    <t xml:space="preserve">Debt rose from about a quarter of households in Syria to 60 percent in the camp and 69 percent in the towns. The survey did not ask to whom; other surveys in Jordan find the debt owed mostly to relatives, friends and neighbours (Fafo 2017-2018; CARE 2017).</t>
  </si>
  <si>
    <t xml:space="preserve">cite the sources for the lender</t>
  </si>
  <si>
    <t xml:space="preserve">2.12</t>
  </si>
  <si>
    <t xml:space="preserve">Chapter 2, work</t>
  </si>
  <si>
    <t xml:space="preserve">Work collapsed and recovered unevenly: nearly every household had an earner in Syria; in 2016, 39 percent of camp households did, mostly in incentive positions with NGOs and short weeks, against 64 percent outside, where those who work put in longer weeks than they did in Syria.</t>
  </si>
  <si>
    <t xml:space="preserve">The two shares hold as "a member works": 39% and 64% (work income among the sources: 36% and 67%; among comparable households 24 points more in the towns, robust). "Mostly in incentive positions with NGOs" and the comparison of weekly hours were not checked: the occupation labels are the respondent's, hours are usable with care, and the small occupation cells would need a protection pass.</t>
  </si>
  <si>
    <t xml:space="preserve">S1 Findings (No. 10); S3 Checks, section 2; S4 Verdict (income from work)</t>
  </si>
  <si>
    <t xml:space="preserve">Nearly every household had an earner in Syria. In 2016 a member works in 39 percent of camp households and 64 percent of households in the towns; among comparable households the difference in work income is about 24 points and holds under every test. (The sentences on incentive positions and on weekly hours stay only after a check of the occupation and hours answers under the protection rule.)</t>
  </si>
  <si>
    <t xml:space="preserve">Chapter 3. Who left the camp</t>
  </si>
  <si>
    <t xml:space="preserve">3.1</t>
  </si>
  <si>
    <t xml:space="preserve">3</t>
  </si>
  <si>
    <t xml:space="preserve">Chapter 3, opening</t>
  </si>
  <si>
    <t xml:space="preserve">Until 2015 the legal way out of Zaatari was a Jordanian sponsor, which took means and contacts; the pre-displacement module lets the reader see directly what separated the two groups before anyone crossed the border, and it looks exactly like that.</t>
  </si>
  <si>
    <t xml:space="preserve">The rule is supported by the sources: the sponsor route was suspended in January 2015 (NRC and IHRC 2016); Zaatari residents could leave with a Jordanian relative as sponsor (Tobin et al. 2021). Households that left with a sponsor are over-represented in the sample (42 of 84 that passed through a camp, against 27% of exits in the UNHCR estimate). The module shows the means (savings, business, car, pension) and not the contacts: the survey did not ask whether the household had relatives or acquaintances in Jordan.</t>
  </si>
  <si>
    <t xml:space="preserve">S3 Literature; S2 Findings (No. 14); S3 Theory of change, part 0 (column H)</t>
  </si>
  <si>
    <t xml:space="preserve">Until 2015 the legal way out of Zaatari was a Jordanian sponsor, which took means and contacts (NRC and IHRC 2016; Tobin et al. 2021). The module on Syria shows the means directly; the survey did not ask about contacts in Jordan.</t>
  </si>
  <si>
    <t xml:space="preserve">3.2</t>
  </si>
  <si>
    <t xml:space="preserve">Chapter 3, balance chart</t>
  </si>
  <si>
    <t xml:space="preserve">Income in Syria, home ownership, household size, the respondent's age and the year of arrival are balanced. What differs is liquidity and origin: households now outside the camp had savings and a car far more often, came from towns rather than villages, had finished secondary school more often, and came less often from Daraa.</t>
  </si>
  <si>
    <t xml:space="preserve">Holds, with two traits missing from the list: an own business in Syria (37% and 65%) and a pension in Syria (fewer than ten camp households; 22% in the towns), which weigh in the selection model (odds ratios 3.5 and 6.9) beside urban origin (7.7) and savings (5.7). The balanced traits hold: income in Syria (medians 20 and 24 thousand pounds), owned home (92% in the camp and nearly all in the towns), household size (5.0 and 5.1), age (means 38.6 and 39.8), arrival by 2012 (44% and 46%). Schooling is the respondent's, not the head's. The page reads 0.25 as the threshold of imbalance; the Balance sheet of the review uses 0.1.</t>
  </si>
  <si>
    <t xml:space="preserve">S2 Before the war; S2 Findings (No. 16); S4 Sample and overlap (logit coefficients); S4 Balance</t>
  </si>
  <si>
    <t xml:space="preserve">Add own business (37 against 65 percent) and pension in Syria (fewer than ten camp households against 22 percent in the towns) to the traits that differ, and say that schooling is the respondent's.</t>
  </si>
  <si>
    <t xml:space="preserve">3.3</t>
  </si>
  <si>
    <t xml:space="preserve">Selection into leaving the camp ran through the ability to arrange an exit, not through earning capacity. That is the selection the analysis has to absorb, and the pre-displacement outcomes make the adjustment testable: whatever reweighting works should leave no difference on life in Syria.</t>
  </si>
  <si>
    <t xml:space="preserve">The direction holds: the pre-war traits predict the place of residence well (area under the curve 0.87 for the nine-trait logit), urban origin and savings in Syria lead, and flexible models find no interaction the logit misses (0.85 against 0.85). "Not through earning capacity" rests on recalled income only, which has no amount for 19 towns households. The placebo on life in Syria was not reproduced; the review's placebo is different: six pre-war traits left out of the design barely predict residence (0.56) and, within the support with the weights, hardly at all (0.54 to 0.57); the placebo itself is settled in row 4.11.</t>
  </si>
  <si>
    <t xml:space="preserve">S4 Sample and overlap; S4 Flexible estimation (selection model and placebo); S1 Findings (No. 15)</t>
  </si>
  <si>
    <t xml:space="preserve">What separated the two groups before the war was liquidity and origin (savings, a business, a pension, urban origin), not recalled income. Those traits predict where a household lives well, and six pre-war traits left out of the design add almost nothing, which is the check the comparison rests on.</t>
  </si>
  <si>
    <t xml:space="preserve">3.4</t>
  </si>
  <si>
    <t xml:space="preserve">Chapter 3, closing</t>
  </si>
  <si>
    <t xml:space="preserve">The largest difference of all is who answered the questionnaire.</t>
  </si>
  <si>
    <t xml:space="preserve">Holds (see 1.7): standardized difference 0.8 to 0.9.</t>
  </si>
  <si>
    <t xml:space="preserve">S2 Findings (No. 12); S4 Within sex</t>
  </si>
  <si>
    <t xml:space="preserve">Chapter 4. After adjustment</t>
  </si>
  <si>
    <t xml:space="preserve">4.1</t>
  </si>
  <si>
    <t xml:space="preserve">Chapter 4, opening</t>
  </si>
  <si>
    <t xml:space="preserve">Outcomes are grouped into seven domains, each an index in standard deviations of the camp and signed so that higher is better; camp households are reweighted so that their pre-displacement means match those of out-of-camp households.</t>
  </si>
  <si>
    <t xml:space="preserve">Replaced by the declared design. The uses decided on 9 October 2026 keep self-rated integration apart from happiness and optimism, the refrigerator and the stove out of any wealth index, the security scale read by its distribution, and the responses one by one with four declared indices (consumption cuts, financial buffers, severe responses, WFP severity score). Design 1 compares outcome levels between towns households and camp households with the same nine pre-war traits, within the common support (116 camp and 95 towns households), with augmented inverse probability weighting (AIPW) as the main estimator and four others as checks.</t>
  </si>
  <si>
    <t xml:space="preserve">S4 Verdict (header); S4 How it was done; S3 Checks, sections 7 and 8; S4 Indices</t>
  </si>
  <si>
    <t xml:space="preserve">Twelve outcomes and the shocks and responses are compared one by one between towns households and camp households with the same pre-war traits (urban origin, savings, business, car, pension, vacations and origin in Daraa, household size, arrival by 2012), within the region where the two groups overlap. The scales and the two basic living conditions are reported in their own units; four declared indices summarise the responses.</t>
  </si>
  <si>
    <t xml:space="preserve">4.2</t>
  </si>
  <si>
    <t xml:space="preserve">Chapter 4, title and throughout</t>
  </si>
  <si>
    <t xml:space="preserve">What living outside the camp did; the effect of living outside the camp.</t>
  </si>
  <si>
    <t xml:space="preserve">No causal design is available: the data hold no instrument, no discontinuity, no measure before displacement of the outcomes and no cohort structure that would separate the place from the households who chose it. Every figure of the review is a difference between comparable households, towns minus camp.</t>
  </si>
  <si>
    <t xml:space="preserve">S4 How it was done (row 3); S4 Verdict (header)</t>
  </si>
  <si>
    <t xml:space="preserve">Replace "effect of living outside the camp" everywhere by "difference between comparable households, towns minus camp", and say once that none of the differences is an effect of living in one place or the other.</t>
  </si>
  <si>
    <t xml:space="preserve">causal wording throughout the chapter</t>
  </si>
  <si>
    <t xml:space="preserve">4.3</t>
  </si>
  <si>
    <t xml:space="preserve">Chapter 4, raw differences</t>
  </si>
  <si>
    <t xml:space="preserve">The raw differences are large in both directions: households outside the camp have more income, more assets and more work, and report much lower wellbeing, weaker social ties and less security.</t>
  </si>
  <si>
    <t xml:space="preserve">Income, spending, work and the two goods hold. "Wellbeing": self-rated integration 8.0 against 4.8 holds; optimism 6.1 against 5.1 and happiness 5.0 against 4.5 are smaller. "Social ties": the survey has no network measure beyond the first contact in an emergency (family or relatives 22% in the camp and 51% in the towns). "Less security" is not what the direct question shows: good or very good personal security is reported by 71% in the camp and 86% in the towns, very good by 52% and 33%; theft by 22% in the camp and fewer than ten towns households.</t>
  </si>
  <si>
    <t xml:space="preserve">S3 Theory of change, parts 6 and 7; S3 Checks, sections 1 and 8; S3 Figures</t>
  </si>
  <si>
    <t xml:space="preserve">Before any adjustment, households in the towns have more income, more work and more of the two basic living conditions; they rate their integration far lower (4.8 against 8.0 on the 1 to 10 scale) and are somewhat less optimistic; on security the picture is mixed: more of them rate it good or very good, fewer rate it very good, and fewer report a theft.</t>
  </si>
  <si>
    <t xml:space="preserve">6</t>
  </si>
  <si>
    <t xml:space="preserve">4.4</t>
  </si>
  <si>
    <t xml:space="preserve">Chapter 4, after reweighting</t>
  </si>
  <si>
    <t xml:space="preserve">After reweighting camp households to match on savings, car, urban origin, schooling, Daraa origin, household size, age, arrival year, business and income in Syria, the income and work advantages shrink by half and stop being distinguishable from zero. Part of the raw gap was who left the camp.</t>
  </si>
  <si>
    <t xml:space="preserve">Contradicted for work and spending. Among comparable households, towns households name work income 24 to 30 points more often (raw 32; robust under the tier rule, fragile under the eight-trait specification) and spend 1.9 to 2 times as much per person (0.63 to 0.71 log points, robust). The income level itself was not estimated (recalled and converted amounts are used with care). Part of the raw gap does come from the pre-war traits.</t>
  </si>
  <si>
    <t xml:space="preserve">S4 Verdict (income from work; spending per person); S4 Estimates; S4 Flexible estimation</t>
  </si>
  <si>
    <t xml:space="preserve">Among households with the same pre-war traits, the work and spending advantages of the towns shrink but remain: work income is 24 points more frequent (32 before adjustment) and spending per person about 1.9 times as high, and both hold under every test, including flexible machine-learning estimators.</t>
  </si>
  <si>
    <t xml:space="preserve">4.5</t>
  </si>
  <si>
    <t xml:space="preserve">Chapter 4, three effects</t>
  </si>
  <si>
    <t xml:space="preserve">Assets (+0.9 SD; a hidden factor would have to multiply the odds of leaving the camp more than sixfold to explain it).</t>
  </si>
  <si>
    <t xml:space="preserve">Holds as two basic living conditions, not as an asset index (see 2.9): refrigerator 30 to 40 points more frequent among comparable towns households and stove 44 to 47 points, both robust; an unobserved trait would need to explain 26% and 28% of the residual variance in both the place and the outcome to remove significance, and a trait as strong as urban origin or savings in Syria barely moves them.</t>
  </si>
  <si>
    <t xml:space="preserve">S4 Verdict (refrigerator; stove); S4 Sensitivity</t>
  </si>
  <si>
    <t xml:space="preserve">Among comparable households, 30 to 40 points more in the towns have a refrigerator and 44 to 47 points more a stove; no observed pre-war trait comes near the strength an unobserved one would need to remove the differences.</t>
  </si>
  <si>
    <t xml:space="preserve">4.6</t>
  </si>
  <si>
    <t xml:space="preserve">Wellbeing and social ties (about -1.5 SD).</t>
  </si>
  <si>
    <t xml:space="preserve">Splits. Self-rated integration: camp households rate it about 3.2 points higher on the 1 to 10 scale among comparable households, the most robust difference of the twelve, among men and among women alike; read as a sense of belonging or comfort where the household lives, not as integration into Jordan. Optimism: 1 to 1.7 points higher in the camp, fragile, and found among women respondents (2.0 points) but not among men (0.6 to 0.9). Happiness: 0.5 to 0.9 points, cannot be told from zero. Folding the three into one index is the use the author set aside.</t>
  </si>
  <si>
    <t xml:space="preserve">S4 Verdict (integration; optimism; happiness); S4 Within sex; S3 Checks, section 8</t>
  </si>
  <si>
    <t xml:space="preserve">Comparable households in the camp rate their integration about 3 points higher on the 1 to 10 scale, among men and women alike; the answer is read as a sense of belonging where the household lives. They are also more optimistic, a difference carried by women respondents and fragile to the tests; in happiness the groups cannot be told apart.</t>
  </si>
  <si>
    <t xml:space="preserve">7</t>
  </si>
  <si>
    <t xml:space="preserve">4.7</t>
  </si>
  <si>
    <t xml:space="preserve">Security (-0.9 SD, robust in sign but fragile to hidden bias).</t>
  </si>
  <si>
    <t xml:space="preserve">Not supported as a difference against the towns. Among comparable households, good or very good personal security is 8 points more frequent in the towns and cannot be told from zero (raw 14 points). The mean of the five-level scale is the same in both groups (4.1) and the distribution differs at both ends. Theft cannot be estimated (fewer than ten towns households). "No one to turn to" is contaminated: 23 towns households left the first contact blank and nearly all of them appear as "has no one" in the thesis variable.</t>
  </si>
  <si>
    <t xml:space="preserve">S4 Verdict (personal security); S3 Checks, section 1; S1 Findings (No. 19); S3 Theory of change, part 6</t>
  </si>
  <si>
    <t xml:space="preserve">On security the survey shows no difference among comparable households in the share rating it good or very good; camp households give more answers at both ends of the scale; theft is reported by 22 percent of camp households and by fewer than ten in the towns; the first contact in an emergency differs (the police for 69 percent in the camp and 23 percent in the towns, family or relatives for 22 and 51 percent).</t>
  </si>
  <si>
    <t xml:space="preserve">4.8</t>
  </si>
  <si>
    <t xml:space="preserve">Comparable households outside the camp are also more often in debt.</t>
  </si>
  <si>
    <t xml:space="preserve">Holds as a fragile difference: 12 points in ordinary least squares (OLS) and 22 with AIPW; it clears the AIPW test but not the OLS one nor the correction for twelve outcomes.</t>
  </si>
  <si>
    <t xml:space="preserve">S4 Verdict (has debts)</t>
  </si>
  <si>
    <t xml:space="preserve">Comparable households in the towns also report debts more often (12 to 22 points), a difference that clears some tests and not others.</t>
  </si>
  <si>
    <t xml:space="preserve">4.9</t>
  </si>
  <si>
    <t xml:space="preserve">Chapter 4, minimum detectable effect</t>
  </si>
  <si>
    <t xml:space="preserve">The shaded band is the minimum effect the sample can detect, about 0.30 SD; with 134 treated households and an effective control sample of about 40 after reweighting, estimates inside the band say something about direction and little about size.</t>
  </si>
  <si>
    <t xml:space="preserve">The limit holds and the numbers change: within the support, 95 towns households and 116 camp households worth 53 equally weighted ones after reweighting (28 on the whole sample); the minimum detectable difference is about 20 to 25 points for a yes or no outcome, 0.40 log points for spending per person and 1.3 to 1.4 points on the 1 to 10 scales.</t>
  </si>
  <si>
    <t xml:space="preserve">S4 Sample and overlap; S4 Power</t>
  </si>
  <si>
    <t xml:space="preserve">Within the region where the two groups overlap, 95 households in the towns are compared with 116 in the camp, worth about 53 after reweighting; the sample cannot separate from zero a difference smaller than about 20 to 25 points in a yes or no outcome or 1.3 to 1.4 points on a 1 to 10 scale.</t>
  </si>
  <si>
    <t xml:space="preserve">4.10</t>
  </si>
  <si>
    <t xml:space="preserve">Chapter 4, estimators</t>
  </si>
  <si>
    <t xml:space="preserve">The other estimators agree on the sign of every index except coping, where every estimate is close to zero.</t>
  </si>
  <si>
    <t xml:space="preserve">Revised. In the responses the estimates are not all close to zero: used savings 22 to 26 points fewer in the towns (robust), loans 19 to 21 fewer (fragile), cut other spending 14 to 17 more (fragile), ate less 7 to 15 more (null), number of responses 0.3 to 0.8 fewer (fragile). Among the four indices, the financial-buffers index is fragile and the others null within the support. Sign agreement across the five adjusted estimators holds for every robust outcome.</t>
  </si>
  <si>
    <t xml:space="preserve">S4 Shocks verdict; S4 Indices; S4 Verdict (column L)</t>
  </si>
  <si>
    <t xml:space="preserve">The five adjusted estimators agree on the sign of every robust difference. In the responses to a fall in income, comparable towns households drew on savings less often (22 to 26 points, robust) and on loans less often (19 to 21 points, fragile); eating less (7 to 15 points more) cannot be told from zero and cutting other spending (14 to 17 points more) is fragile.</t>
  </si>
  <si>
    <t xml:space="preserve">4.11</t>
  </si>
  <si>
    <t xml:space="preserve">Chapter 4, placebo</t>
  </si>
  <si>
    <t xml:space="preserve">Placebo: the same estimators on life in Syria; pre-displacement outcomes not used for reweighting; after adjustment there should be nothing here.</t>
  </si>
  <si>
    <t xml:space="preserve">Not reproduced. The pre-war goods sit above 90% in both groups, so there is almost nothing to test on them, and income in Syria is recalled with gaps. The review's check is different: six pre-war traits left out of the design (outings, debts, informal work, owned home, loans and income in Syria) predict residence poorly alone (area under the curve 0.56) and, within the support with the weights, hardly at all (0.54 to 0.57).</t>
  </si>
  <si>
    <t xml:space="preserve">S4 Flexible estimation (placebo); S3 Checks, section 7</t>
  </si>
  <si>
    <t xml:space="preserve">Replace the placebo chart with the left-out traits check: six pre-war traits not used in the design barely predict where a household lives, before and after reweighting.</t>
  </si>
  <si>
    <t xml:space="preserve">4.12</t>
  </si>
  <si>
    <t xml:space="preserve">Chapter 4, hidden bias</t>
  </si>
  <si>
    <t xml:space="preserve">Robustness values: the share of residual variance an unobserved confounder would need to explain to erase the estimate; savings, the respondent's gender and urban origin, the strongest observed selection variables, each explain about one percent or less.</t>
  </si>
  <si>
    <t xml:space="preserve">The method holds and the numbers change. Robustness values to bring the difference to zero: 0.23 (work income), 0.35 (refrigerator), 0.37 (stove), 0.33 (spending), 0.38 (integration). The benchmarks: urban origin explains 12 to 16% of the residual variance of the place and 3% or less of the outcome; savings in Syria 3 to 7% and 6% or less (the shocks family included); so "one percent or less" holds for the outcome side only. The respondent's sex was not benchmarked (it enters the outcome model, not the design).</t>
  </si>
  <si>
    <t xml:space="preserve">S4 Sensitivity</t>
  </si>
  <si>
    <t xml:space="preserve">An unobserved pre-war trait would need to explain about a quarter to a third of the residual variance of both the place of residence and the outcome to bring the robust differences to zero; urban origin and savings in Syria, the strongest observed traits, explain up to 16 percent of the place and 6 percent or less of any outcome.</t>
  </si>
  <si>
    <t xml:space="preserve">Chapter 5. Why</t>
  </si>
  <si>
    <t xml:space="preserve">5.1</t>
  </si>
  <si>
    <t xml:space="preserve">Chapter 5, opening</t>
  </si>
  <si>
    <t xml:space="preserve">The thesis's most counterintuitive result was that the households with more income cut food more often. Three things explain it, and each of them could have been changed by a programme.</t>
  </si>
  <si>
    <t xml:space="preserve">The thesis estimate (+28 points with one nearest neighbour on the whole sample) is reproduced; under design 1 the difference among comparable households is 7 to 15 points and null. What the review finds instead: fewer towns households suffered a fall in income, and among comparable households that did, more cut consumption (21 and 25 points) and fewer drew on savings and loans. "Explain" and "could have been changed" are causal claims the design does not support; what the page can show is what goes with the cut.</t>
  </si>
  <si>
    <t xml:space="preserve">S4 Thesis table; S4 Verdict (ate less); S4 Decomposition (block B)</t>
  </si>
  <si>
    <t xml:space="preserve">The thesis found that households with more income cut food more often. Compared like with like, that gap shrinks and cannot be told from zero; among comparable households whose income fell, however, those in the towns cut consumption more and drew less on savings and loans. Three things go with that pattern.</t>
  </si>
  <si>
    <t xml:space="preserve">causal ("explain", "could have been changed")</t>
  </si>
  <si>
    <t xml:space="preserve">5.2</t>
  </si>
  <si>
    <t xml:space="preserve">Chapter 5, budget shares</t>
  </si>
  <si>
    <t xml:space="preserve">Outside the camp, rent takes a third of spending; inside, food takes three quarters because shelter, water and school come with the caravan.</t>
  </si>
  <si>
    <t xml:space="preserve">Recomputed in step 5b with blanks as missing (no spending item has a written zero, so a blank is treated as no answer), over the households with a reported total above zero (239 in the camp, 121 in the towns), as the sum of each item over the sum of the totals. Camp: food is 77% of the group total (reported by 221 of the 239 households; among them the median share of food in the household total is 89%), other items as written 3% (22 households) and transport 1.5% (34); rent, electricity, water and education are each reported by fewer than ten camp households and are folded, with the part of the total not covered by the items read (which holds any health spending), into a remainder of 19%. Towns: rent is 35% of the group total (95 of 121 households; median share 47% among them), food 33% (98 households; median share 37%), electricity 5%, water 4%, transport 3%, other items 3%; education is reported by fewer than ten households and is folded into the remainder (17%). The page's "a third" and "three quarters" stand; its shares were computed with blanks as zero.</t>
  </si>
  <si>
    <t xml:space="preserve">Step 5b, section A (technical note, Table 4.4 and Figure 4.1); S1 Findings (No. 12) for the blank rule</t>
  </si>
  <si>
    <t xml:space="preserve">Outside the camp, rent takes 35 percent of reported spending and food 33 percent; inside, food takes 77 percent, because shelter, water and schooling come with the caravan. (Shares with blanks as missing, as the sum of the item over the sum of the totals; among the households that report the item, the median share is 47 percent for rent in the towns and 89 percent for food in the camp.)</t>
  </si>
  <si>
    <t xml:space="preserve">5.3</t>
  </si>
  <si>
    <t xml:space="preserve">Chapter 5, where the money goes</t>
  </si>
  <si>
    <t xml:space="preserve">Households outside the camp earn almost twice as much as camp households and spend almost twice as much.</t>
  </si>
  <si>
    <t xml:space="preserve">Holds: median income JD 140 a month in the camp and JD 270 in the towns; median spending JD 125 and JD 250; per person, JD 20 and 53 (income) and JD 27 and 56 (spending). Among comparable households, spending per person is about 1.9 times higher in the towns (robust).</t>
  </si>
  <si>
    <t xml:space="preserve">Step 2 profile (medians of household income and spending); S3 Figures (per person); S4 Verdict (spending per person)</t>
  </si>
  <si>
    <t xml:space="preserve">No change; the medians can be given (JD 140 against 270 in income, JD 125 against 250 in spending).</t>
  </si>
  <si>
    <t xml:space="preserve">5.4</t>
  </si>
  <si>
    <t xml:space="preserve">Once rent is paid, the two groups are living on the same money: income after rent per person is 39 dinars outside and 36 in the camp, and food spending per person is 27 against 29.</t>
  </si>
  <si>
    <t xml:space="preserve">Food spending per person holds as means (JD 26.7 in the towns and 28.8 in the camp); the medians are JD 20 in both groups. Income after rent was computed in step 5b, with blanks as missing, for the 104 towns households that rent with an income and a rent reported: JD 32 per person a month at the median (quartiles 18 and 46; mean 35). In the camp fewer than ten households pay rent, so income after rent is income: a median of JD 20 per person (quartiles 20 and 42; mean 38; step 2 profile, 248 households with an income reported). The page's 39 and 36 are means with blanks as zero. On means the two figures are close (35 and 38); at the median they are not (32 against 20), because most camp incomes sit at the value of the voucher. The reading "the same money" is a description, not a test.</t>
  </si>
  <si>
    <t xml:space="preserve">Step 2 profile (food spending per person and income per person: means, medians and quartiles); step 5b, section B (technical note, Table 4.5)</t>
  </si>
  <si>
    <t xml:space="preserve">Food spending per person is about the same in the two groups (means of JD 29 in the camp and 27 in the towns; medians of JD 20 in both). Once rent is paid, towns households that rent have on average about the same income per person as camp households (means of JD 35 and 38), though not at the median (JD 32 against 20), since most camp incomes sit at the value of the voucher.</t>
  </si>
  <si>
    <t xml:space="preserve">5.5</t>
  </si>
  <si>
    <t xml:space="preserve">Camp households put three quarters of their spending into food because water, shelter, schooling and most health care come with the caravan; households outside pay for electricity, water, transport and school.</t>
  </si>
  <si>
    <t xml:space="preserve">The share is recomputed in step 5b (row 5.2): food is 77% of the reported spending of camp households, with blanks as missing. The account of what each place provides matches the sources (eight free medical facilities and Ministry schools in the camp, UN Jordan 2022; health fees outside the camps since November 2014, Doocy et al. 2016).</t>
  </si>
  <si>
    <t xml:space="preserve">Step 5b, section A (technical note, Table 4.4); S3 Literature (UN Jordan 2022; Doocy et al. 2016); S3 Theory of change, part 2</t>
  </si>
  <si>
    <t xml:space="preserve">Three quarters of what camp households spend (77 percent of reported spending) goes to food, because water, shelter, schooling and most health care come with the caravan; households in the towns pay for rent, electricity, water, transport and, since November 2014, health care.</t>
  </si>
  <si>
    <t xml:space="preserve">5.6</t>
  </si>
  <si>
    <t xml:space="preserve">Chapter 5, assistance</t>
  </si>
  <si>
    <t xml:space="preserve">Assistance is not the difference either: by mid-2016 nine in ten households in both groups received some, WFP vouchers for most of them, and per person it came to about 19 dinars in the camp and 23 outside; what differed was what assistance was relative to the budget: three quarters of income in the camp, half of it outside.</t>
  </si>
  <si>
    <t xml:space="preserve">Coverage holds: about nine in ten households in each group name some assistance (the voucher: 93% of camp households and 86% of towns households). The amounts do not: the voucher is JD 20 per person for 206 of 230 camp households and comes in two tiers in the towns (52 households above JD 12 per person, 61 at or below; median JD 10); all assistance per person has medians of JD 20 in the camp and 17 in the towns. The weight holds in direction: 64% of camp households and 33% of towns households report no work income among their sources, most of the former living on the voucher alone (the share living on assistance alone is no longer printed: with the work-income count and the answering base it fixed a count below ten). Towns households name the 2015 cut as the cause of their fall in income (89 of 103); camp households name prices. Two support packages, then: uniform and stable in the camp, tiered and cut in the towns, where the Jordanian state and organizations both reach households.</t>
  </si>
  <si>
    <t xml:space="preserve">S2 Findings (No. 4 and 9); S3 Figures (work income among the sources); S3 Theory of change, parts 1 and 4; step 2 profile (voucher per person); S4 Shocks described</t>
  </si>
  <si>
    <t xml:space="preserve">Assistance reaches nine in ten households in both groups, but as two different packages. In the camp 93 percent of households name the voucher, nine in ten of them at exactly JD 20 per person, and six households in ten report no income from work. In the towns it comes in two tiers (median JD 10 per person) and was cut in August 2015; a third of households report no income from work, and UNHCR cash reaches three in ten.</t>
  </si>
  <si>
    <t xml:space="preserve">5.7</t>
  </si>
  <si>
    <t xml:space="preserve">Chapter 5, rent burden</t>
  </si>
  <si>
    <t xml:space="preserve">The median household outside the camp pays 35 percent of its income in rent and a quarter pay more than 56 percent; food cuts rise with that burden, from 59 percent of households in the lowest third to [a share whose complement is below ten] in the highest.</t>
  </si>
  <si>
    <t xml:space="preserve">Computed in step 5b, declared beforehand, for the 104 towns households that rent with an income and a rent reported, blanks as missing. Rent takes 44% of reported income at the median (quartiles 31% and 63%; mean 65%, pulled up by the 11 households whose rent is at or above their reported income). Thirds of the rent share (cut points at 34% and 55% of income; 35, 34 and 35 households; median shares of 28%, 44% and 75%): ate less, 22 of 35 households in the lowest third (63%) and nearly all in the middle and the highest thirds; cut other spending, the same pattern; debts today, 21 of 35 in the lowest third (60%) and nearly all in the highest; a loan, fewer than ten households in the lowest and the middle thirds and 15 of 34 in the highest (44%); savings spent, 20 of 35, 19 of 33 and 22 of 33. Where a cell reads "nearly all" the margin of the difference between thirds is not computed. The page's 35 and 56 percent were computed with blanks as zero. The cut conditions on rent, observed after the place of residence, so it describes towns households.</t>
  </si>
  <si>
    <t xml:space="preserve">Step 5b, sections B and C (technical note, Tables 4.5 and 4.6, Figure 4.2); S1 Variables (rent, income)</t>
  </si>
  <si>
    <t xml:space="preserve">Among towns households that rent, rent takes 44 percent of reported income at the median, and a quarter of them pay more than 63 percent. Food cuts rise with that burden: 63 percent of households in the lowest third of the rent share ate less, and nearly all in the middle and the highest thirds; nearly all households in the highest third carry debt. This describes towns households and does not compare the two groups.</t>
  </si>
  <si>
    <t xml:space="preserve">The page's share for the highest third (about forty households) fixes the households that did not eat less below ten; the recount prints "nearly all".</t>
  </si>
  <si>
    <t xml:space="preserve">5.8</t>
  </si>
  <si>
    <t xml:space="preserve">Chapter 5, why income fell</t>
  </si>
  <si>
    <t xml:space="preserve">Camp households named prices; out-of-camp households named the cut of August 2015, when WFP, short of funds, cut the value of its vouchers for refugees outside the camps to about 14 dollars a person a month for the neediest tier (the page uses the word the author avoids) and 7 dollars for the rest, and kept camp residents at the full value.</t>
  </si>
  <si>
    <t xml:space="preserve">Holds: in the camp, prices (152 of 233 households that gave a cause), the cut in assistance (42) and lack of work (39); in the towns, the cut in assistance (89 of 103). The programme figures are confirmed at their source, read for this step: in August 2015 WFP kept full assistance in the camps (USD 28.2 per person a month) and, in the communities, paid USD 14.1 to the refugees it ranked in its highest-need category (half of the planned amount, through November) and USD 7.05 to the others, who were excluded from September; assistance to nearly 229,000 refugees in communities stopped that month (WFP, Situation Update: Syria Crisis Regional Response, July 2015, issued 20 August 2015; WFP Jordan Situation Report, August 2015). The sources read in steps 2 and 3 carry the later tiers of February 2016 (JD 20 and JD 10 per person; S2 Calculations and Comparison No. 47).</t>
  </si>
  <si>
    <t xml:space="preserve">S3 Theory of change, part 4; S3 Figures; S4 Shocks described; WFP 2015 (regional situation update, July 2015, and Jordan situation report, August 2015), read for this step</t>
  </si>
  <si>
    <t xml:space="preserve">Camp households named rising prices (152 of 233 that gave a cause); households in the towns named the cut of August 2015 (89 of 103), when WFP, short of funds, reduced the voucher for refugees outside the camps to about 14 dollars a person a month for the households in its highest-need category and 7 dollars for the rest, who lost it altogether in September, and kept camp residents at the full value of about 28 dollars (WFP 2015).</t>
  </si>
  <si>
    <t xml:space="preserve">the word the author avoids; the source is now cited</t>
  </si>
  <si>
    <t xml:space="preserve">5.9</t>
  </si>
  <si>
    <t xml:space="preserve">89 of the 103 out-of-camp households that gave a reason named a reduction of assistance; [a share whose complement is below ten] of them had eaten less.</t>
  </si>
  <si>
    <t xml:space="preserve">The 89 of 103 holds. The share of those 89 that ate less has a complement below ten households, so it reads "nearly all"; the same holds for cutting other spending. Among them, 72% spent savings, 69% asked for assistance, 39% sold belongings and in 37% a child went to work.</t>
  </si>
  <si>
    <t xml:space="preserve">S3 Theory of change, part 4 (column F); S4 Decomposition (block C)</t>
  </si>
  <si>
    <t xml:space="preserve">89 of the 103 households in the towns that gave a reason named a reduction of assistance, and nearly all of them had eaten less.</t>
  </si>
  <si>
    <t xml:space="preserve">a share whose complement is below ten</t>
  </si>
  <si>
    <t xml:space="preserve">5.10</t>
  </si>
  <si>
    <t xml:space="preserve">Chapter 5, food cuts</t>
  </si>
  <si>
    <t xml:space="preserve">Put together, the raw gap of 18 points in food cuts between households outside and inside the camp falls to 10 once rent and income after rent are held fixed, and to 4 once the households that attributed their loss of income to the assistance cut are marked; those households were 27 points more likely to have cut food.</t>
  </si>
  <si>
    <t xml:space="preserve">Not reproduced, and the model conditions on variables observed after the place of residence (rent, income after rent, the reported cause), which the review's reading rule treats as descriptive. The review's route: among comparable households the gap is 7 to 15 points and null; among comparable households whose income fell, towns households ate less 21 points more often (p = 0.003) and cut other spending 25 points more often, drew on savings 17 points less often and on loans 20 points less; among households naming the cut in assistance, 62% in the camp ate less and nearly all in the towns.</t>
  </si>
  <si>
    <t xml:space="preserve">S4 Decomposition (blocks B and C); S4 Verdict (ate less); S4 How it was done (row 13)</t>
  </si>
  <si>
    <t xml:space="preserve">Compared like with like, the 18-point gap in eating less shrinks to 7 to 15 points and cannot be told from zero. Among comparable households whose income fell, however, those in the towns ate less 21 points more often and cut other spending 25 points more often, while drawing less on savings and loans; these are descriptions of the households that suffered the shock, not estimates of what the place did.</t>
  </si>
  <si>
    <t xml:space="preserve">5.11</t>
  </si>
  <si>
    <t xml:space="preserve">The attribution is their own account, so that number dates the shock rather than measuring its effect.</t>
  </si>
  <si>
    <t xml:space="preserve">Holds, and the caution extends to every figure built on the reported cause: the cause is used only as coded categories.</t>
  </si>
  <si>
    <t xml:space="preserve">S4 How it was done (rows 13 and 20)</t>
  </si>
  <si>
    <t xml:space="preserve">5.12</t>
  </si>
  <si>
    <t xml:space="preserve">The result the thesis found puzzling was rent, and a policy shock that hit one group and not the other in the year before the survey. Both are things a programme could have changed.</t>
  </si>
  <si>
    <t xml:space="preserve">The association holds (rent outside, the 2015 cut named by 89 of 103 towns households); "was rent" and "could have changed" state causes the design does not identify. Other studies supply the causal evidence on transfers: consumption rises and borrowing falls while a transfer lasts and the gains disappear after it ends (Altındağ and O'Connell 2023); cuts and delays in assistance hit food consumption (Bruni and Sterck 2025); a rent subsidy lowered housing spending and reliance on loans while it lasted (Tamim et al. 2025).</t>
  </si>
  <si>
    <t xml:space="preserve">S3 Literature; S3 Theory of change, part 4 (column G)</t>
  </si>
  <si>
    <t xml:space="preserve">What goes with the puzzle is rent, which towns households pay and camp households do not, and the 2015 cut, which fell on one group and not the other in the year before the survey. Experiments elsewhere show that while a transfer lasts consumption rises and borrowing falls, and that the gains disappear after it ends (Altındağ and O'Connell 2023); a rent subsidy lowered housing spending and reliance on loans while it lasted (Tamim et al. 2025).</t>
  </si>
  <si>
    <t xml:space="preserve">causal</t>
  </si>
  <si>
    <t xml:space="preserve">5.13</t>
  </si>
  <si>
    <t xml:space="preserve">Chapter 5, what a transfer would have done</t>
  </si>
  <si>
    <t xml:space="preserve">Predicted change in the share of out-of-camp households cutting food, from the rent-burden model; rent support is the instrument that moves the outcome, and the most expensive per household; portable vouchers do little in 2016 because per-person assistance outside the camp had recovered to the camp level by then.</t>
  </si>
  <si>
    <t xml:space="preserve">Not supported as a prediction: it extrapolates a descriptive regression that conditions on post-residence variables into a counterfactual, which the review's rules exclude ("nothing in the files is an estimate of an effect"). The premise that assistance per person outside had recovered to the camp level does not hold in the data (voucher medians of JD 10 and JD 20; all assistance JD 17 and JD 20 per person).</t>
  </si>
  <si>
    <t xml:space="preserve">S4 How it was done (row 3); S3 How it was done (rule 5); S3 Figures (assistance per person); step 2 profile (voucher per person)</t>
  </si>
  <si>
    <t xml:space="preserve">Drop the panel. If the page wants to say what a transfer does, cite the experiments (Altındağ and O'Connell 2023; Tamim et al. 2025) rather than a prediction from these data.</t>
  </si>
  <si>
    <t xml:space="preserve">counterfactual</t>
  </si>
  <si>
    <t xml:space="preserve">5.14</t>
  </si>
  <si>
    <t xml:space="preserve">Chapter 5, registration</t>
  </si>
  <si>
    <t xml:space="preserve">Of the twelve out-of-camp households still awaiting registration, none received WFP vouchers and none received UNHCR cash, against 93 and 32 percent of registered refugees; [a share built on fewer than ten households] received assistance of some other kind; their incomes were no lower, but [a share whose complement is below ten] cut food against seven in ten; registration gated assistance, exactly as the documentation literature says, and the survey shows it with twelve households.</t>
  </si>
  <si>
    <t xml:space="preserve">Two shares of the twelve rest on counts below ten and one has a complement below ten; the income comparison of twelve households cannot be reported either. The twelve are all the variation the survey has (fewer than ten camp households and no unregistered household), so the question cannot carry a comparison. The gate itself is documented in the sources (NRC and IHRC 2016).</t>
  </si>
  <si>
    <t xml:space="preserve">S1 Findings (No. 14); S2 Findings (No. 17); S3 Literature (NRC and IHRC 2016)</t>
  </si>
  <si>
    <t xml:space="preserve">Drop the panel and the comparison. At most one sentence: twelve households in the towns reported being still registered as asylum seekers, and none of them reported the voucher or UNHCR cash; the rules that tied assistance to registration are described in NRC and IHRC (2016).</t>
  </si>
  <si>
    <t xml:space="preserve">two shares built on counts below ten and one with a complement below ten; a cut of twelve households</t>
  </si>
  <si>
    <t xml:space="preserve">5.15</t>
  </si>
  <si>
    <t xml:space="preserve">Among the routes out of the camp, households that left informally report far lower personal integration (3.7 against 5.7 on a ten-point scale for sponsored households) and are the group most often without anyone to call in an emergency.</t>
  </si>
  <si>
    <t xml:space="preserve">The first half holds under the name decided, with the level the step 3 workbook uses since 21 October 2026: self-rated integration (1 to 10) of 4.0 among households that left informally, by another route or without saying how (every household that passed through a camp and does not report a sponsor), and 5.7 among those that left with a sponsor, a difference beyond the margin. The second half is not supported: 23 towns households left the first contact blank and nearly all of them appear as "has no one to turn to" in the thesis variable; a blank is a missing answer.</t>
  </si>
  <si>
    <t xml:space="preserve">S3 Checks, section 8; S3 Theory of change, part 7 (column F); S1 Findings (No. 19)</t>
  </si>
  <si>
    <t xml:space="preserve">Among households that passed through a camp, those that left without a sponsor (informally or by another route) rate their integration lower than those that left with one (4.0 against 5.7 on the 1 to 10 scale). (The sentence on having no one to call goes: the blank answers were counted as "no one".)</t>
  </si>
  <si>
    <t xml:space="preserve">name of the scale</t>
  </si>
  <si>
    <t xml:space="preserve">5.16</t>
  </si>
  <si>
    <t xml:space="preserve">Chapter 5, an average day</t>
  </si>
  <si>
    <t xml:space="preserve">Coded answers to an open question, by group and gender of the respondent: "nothing" was said only in the camp; outside, the idle answer is "sitting in the house" and the largest category is housework and care, the answer of 54 percent of women against 32 percent of men.</t>
  </si>
  <si>
    <t xml:space="preserve">Recounted in step 5b from the coded categories of the household file, with blanks as missing: 256 camp respondents and 133 towns respondents answered. The categories with ten households or more in the whole sample are kept (nothing; working; sitting in the house; taking care of the house, with the answers cut short as "taking"; watching sports) and the rest form "other answers"; no answer is quoted. In the camp, "nothing" is the answer of 162 of 256 respondents (63%), of men (125 of 201) and women (37 of 55) alike; working follows (35 of 256) and watching sports (26, all of them men). In the towns no respondent answered "nothing" or "watching sports": taking care of the house is the answer of 60 of 133 (45%), of 44 of the 83 women (53%) and 16 of the 50 men (32%); sitting in the house, 41 of 133 (31%); working, 20 of 133 (15%). Cells below ten read "fewer than 10", and a second cell is withheld where the first could be worked out from the totals (five cells of the table by sex). The page's 54 and 32 percent were counted with blanks as zero.</t>
  </si>
  <si>
    <t xml:space="preserve">Step 5b, section D (technical note, Table 7.10 and Figure 7.3); S1 Summary (block 11); S1 Variables (average day)</t>
  </si>
  <si>
    <t xml:space="preserve">Coded answers to an open question, by group and sex of the respondent: "nothing" was the answer of 63 percent of respondents in the camp and of no one in the towns; outside the camp the day is taking care of the house, the answer of 53 percent of the women and 32 percent of the men who answered, or sitting in the house (31 percent). The table describes the person who answered: mostly men in the camp, mostly women in the towns.</t>
  </si>
  <si>
    <t xml:space="preserve">"The idle answer" reads the answer for the respondent; the category is printed as coded.</t>
  </si>
  <si>
    <t xml:space="preserve">5.17</t>
  </si>
  <si>
    <t xml:space="preserve">Among respondents without a job, 80 percent in the camp describe their day as nothing or sitting at home, against 37 percent outside; with employment and household characteristics held fixed, the camp adds about 41 points to the probability of an empty day.</t>
  </si>
  <si>
    <t xml:space="preserve">Not checked. Conditioning on the respondent's own employment is right for a question about the respondent's day (employment describes the respondent, not the household). "The camp adds" is causal wording; the figure would be a difference between respondents with the same traits.</t>
  </si>
  <si>
    <t xml:space="preserve">S3 Checks, section 2 (whom the work questions describe)</t>
  </si>
  <si>
    <t xml:space="preserve">Keep only after recomputation under the blank rule, worded as a difference: among respondents without a job and with the same household traits, those in the camp describe an empty day about 41 points more often.</t>
  </si>
  <si>
    <t xml:space="preserve">causal ("adds"); the ethnographies of Zaatari and Azraq are not named</t>
  </si>
  <si>
    <t xml:space="preserve">5.18</t>
  </si>
  <si>
    <t xml:space="preserve">Chapter 5, empty days by district</t>
  </si>
  <si>
    <t xml:space="preserve">Share of respondents describing their day as nothing or sitting at home, by Zaatari district, districts with at least ten interviews.</t>
  </si>
  <si>
    <t xml:space="preserve">Not checked. The cut by district is allowed for this question (health is the item never crossed with district). The threshold of ten interviews per district is necessary but not sufficient: a share in a district of ten to nineteen interviews can reveal a count below ten (for example nine of ten), so each district needs both cells at or above ten or the share withheld.</t>
  </si>
  <si>
    <t xml:space="preserve">S4 How it was done (row 20); S3 How it was done (protection rule)</t>
  </si>
  <si>
    <t xml:space="preserve">Keep only for districts where both the respondents with an empty day and the others number ten or more; otherwise merge districts.</t>
  </si>
  <si>
    <t xml:space="preserve">district shares can reveal counts below ten</t>
  </si>
  <si>
    <t xml:space="preserve">5.19</t>
  </si>
  <si>
    <t xml:space="preserve">Chapter 5, empty days</t>
  </si>
  <si>
    <t xml:space="preserve">Within the camp, respondents with empty days report no less happiness or optimism than the others, and they report more personal security (4.3 against 3.7 on a five-point scale) and family integration; the camp's empty days come with safety and with a dense community.</t>
  </si>
  <si>
    <t xml:space="preserve">Not checked. The security scale is read by its distribution (good or very good), not by its mean, because the two formats were joined and the boundary between good and very good is the sensitive one; within the camp the format is one (numbers), so a mean is less exposed, but the agreed reading still applies. "Family integration" is self-rated integration (1 to 10), which is not a measure of networks, so "dense community" says more than the question.</t>
  </si>
  <si>
    <t xml:space="preserve">S3 Checks, sections 1 and 8</t>
  </si>
  <si>
    <t xml:space="preserve">Keep only after recomputation as shares (good or very good security; self-rated integration at 7 to 10) under the blank rule; say "a stronger sense of belonging" rather than "a dense community".</t>
  </si>
  <si>
    <t xml:space="preserve">name of the scale; "community" beyond the question</t>
  </si>
  <si>
    <t xml:space="preserve">Data, methods and limits</t>
  </si>
  <si>
    <t xml:space="preserve">M.1</t>
  </si>
  <si>
    <t xml:space="preserve">M</t>
  </si>
  <si>
    <t xml:space="preserve">Methods, survey</t>
  </si>
  <si>
    <t xml:space="preserve">Out-of-camp households were reached through the towns rather than through UNHCR files, so the sample includes families that registered-only surveys cannot see.</t>
  </si>
  <si>
    <t xml:space="preserve">The first part holds and gains precision: households in the towns were reached by referral within groups set beforehand (stratified snowball sampling), by day and at home, so no sampling frame covers them and the towns group over-represents Irbid and Ramtha, early arrivals and households that left with a sponsor. The second part is thin: twelve towns households reported being asylum seekers and none reported being unregistered.</t>
  </si>
  <si>
    <t xml:space="preserve">S3 How it was done (author's account, 8 October 2026); S2 Findings (No. 5, 6, 14 and 17)</t>
  </si>
  <si>
    <t xml:space="preserve">Households in the towns were reached by referral from other households, by day and at home, not through agency lists; the sample covers the northern towns (two thirds in Irbid and Ramtha), over-represents households that left the camp with a sponsor, and includes twelve households still registered as asylum seekers.</t>
  </si>
  <si>
    <t xml:space="preserve">M.2</t>
  </si>
  <si>
    <t xml:space="preserve">Methods, design</t>
  </si>
  <si>
    <t xml:space="preserve">Two-period household panel by recall (Syria before displacement, Jordan 2016); pre-displacement values serve as balancing covariates and as placebo outcomes.</t>
  </si>
  <si>
    <t xml:space="preserve">Not supported as a panel (see 2.1). The pre-war traits do serve as balancing covariates; the placebo on pre-war outcomes was replaced by the left-out traits check (see 4.11).</t>
  </si>
  <si>
    <t xml:space="preserve">S3 Theory of change, part 8; S4 Flexible estimation</t>
  </si>
  <si>
    <t xml:space="preserve">A single cross-section of 2016 with a recalled module on Syria before the war; the pre-war traits serve to compare like with like, and six pre-war traits left out of the design serve as the check.</t>
  </si>
  <si>
    <t xml:space="preserve">M.3</t>
  </si>
  <si>
    <t xml:space="preserve">Methods, estimand</t>
  </si>
  <si>
    <t xml:space="preserve">Effect of living outside the camp for the households that did (ATT), under selection on pre-displacement observables.</t>
  </si>
  <si>
    <t xml:space="preserve">The reference population holds (towns households, with camp households reweighted to them); the word "effect" does not (see 4.2). The sample of design 1 is the households with every design and respondent trait observed (48 camp households and fewer than ten in the towns are left out), within the common support (116 camp and 95 towns households).</t>
  </si>
  <si>
    <t xml:space="preserve">S4 Verdict (header); S4 Sample and overlap</t>
  </si>
  <si>
    <t xml:space="preserve">Differences between towns households and camp households with the same pre-war traits, with the towns as the reference population, within the region of common support; not an effect of living in either place.</t>
  </si>
  <si>
    <t xml:space="preserve">"effect"</t>
  </si>
  <si>
    <t xml:space="preserve">M.4</t>
  </si>
  <si>
    <t xml:space="preserve">Methods, estimators</t>
  </si>
  <si>
    <t xml:space="preserve">Entropy balancing on first moments (main); augmented inverse probability weighting; 1:1 nearest-neighbour matching with a 0.2 caliper; OLS; robust and stratified-bootstrap standard errors; Rosenbaum bounds on matched pairs; Cinelli and Hazlett robustness values; Benjamini and Hochberg q-values across indices.</t>
  </si>
  <si>
    <t xml:space="preserve">Replaced by design 1 as declared before running: AIPW as the main estimator; inverse probability weights, entropy balancing, bias-adjusted nearest neighbour and OLS as checks; common support 0.1 to 0.9 with the score re-estimated within it; a bootstrap that resamples households within the strata of the sampling design (400 draws) and a linearized design-based error for OLS; Romano and Wolf stepdown within each family; Oster and Cinelli and Hazlett sensitivity; minimum detectable differences; an eight-trait specification, the scales within each sex, and a double machine learning check (forests, boosting, lasso) in which no estimate leaves the parametric interval. A blind replication by a separate instance of the AI assistant compared 1,261 quantities: no point estimate, count or verdict changed; the differences in some bootstrap errors are explained on the sheet, and two implementation choices were corrected after the replication.</t>
  </si>
  <si>
    <t xml:space="preserve">S4 How it was done; S4 Blind replication; S4 Flexible estimation</t>
  </si>
  <si>
    <t xml:space="preserve">State design 1 as the method: AIPW with four checks, common support, strata bootstrap, Romano and Wolf, Oster, Cinelli and Hazlett, minimum detectable differences, the eight-trait check, the within-sex scales, the machine-learning check and the blind replication.</t>
  </si>
  <si>
    <t xml:space="preserve">M.5</t>
  </si>
  <si>
    <t xml:space="preserve">Methods, conversions</t>
  </si>
  <si>
    <t xml:space="preserve">Syrian pounds at a fixed pre-crisis rate (main), at purchasing power parity (welfare version, provisional factors), and at the rate of the year each family left (thesis); dinars at 1.405 USD.</t>
  </si>
  <si>
    <t xml:space="preserve">Not tested. The review reports incomes in pounds and dinars and uses no dollar figure; the thesis dollar variables are empty where the year of arrival is missing or is 2016.</t>
  </si>
  <si>
    <t xml:space="preserve">S1 Findings (No. 16)</t>
  </si>
  <si>
    <t xml:space="preserve">Keep as a note if the dollar figures stay (see 2.2); say that incomes in Syria are reported in pounds and in Jordan in dinars in the tables.</t>
  </si>
  <si>
    <t xml:space="preserve">M.6</t>
  </si>
  <si>
    <t xml:space="preserve">Methods, sample decisions</t>
  </si>
  <si>
    <t xml:space="preserve">All 391 households in the file (the 2017 thesis used [a number that leaves a count below ten]; the reason for the exclusions was not recorded); Syrian spending outside the camp is treated as item nonresponse: responders were richer and more often men, so the before-and-after of spending is reported for the camp only.</t>
  </si>
  <si>
    <t xml:space="preserve">Holds, with one count to mask: the do-file (the Stata script of the thesis) drops fewer than ten households by file number without recording the reason, and the page gives the thesis total, which fixes that count. The treatment of Syrian spending as nonresponse matches the review (30 towns households with no answer appear as zero in the thesis variable). The review adds a rule the page does not state: a blank is a missing value, never a zero, in every variable; the analysis sample of design 1 keeps the households with every design trait observed, and the 48 camp households left out (no year of arrival, no rural or urban origin or no place of origin) differ from the rest (more savings, more origin in Daraa); fewer than ten towns households are left out.</t>
  </si>
  <si>
    <t xml:space="preserve">S1 Findings (No. 15 and 21); S4 How it was done (row 5); S1 How it was done</t>
  </si>
  <si>
    <t xml:space="preserve">All 391 households in the file (the thesis dropped fewer than ten, without recording the reason). A blank answer is treated as missing, never as zero. Spending in Syria is missing for 30 households in the towns and is reported for the camp only. The adjusted comparisons use the households with every pre-war trait observed; 48 camp households and fewer than ten in the towns are left out.</t>
  </si>
  <si>
    <t xml:space="preserve">the thesis total fixes a count below ten</t>
  </si>
  <si>
    <t xml:space="preserve">M.7</t>
  </si>
  <si>
    <t xml:space="preserve">Methods, limits</t>
  </si>
  <si>
    <t xml:space="preserve">Overlap is thin (effective control sample of about 40 households); the minimum detectable effect is about 0.30 SD; subjective outcomes are answered by different people in the two groups; the exit-timing status proxy cannot be tested in this sample; pre-displacement values are recalled, and recall may differ between the groups; the map places households at their governorate of origin and town of interview.</t>
  </si>
  <si>
    <t xml:space="preserve">Holds and grows. Update the numbers (116 camp households worth 53 within the support; minimum detectable differences by outcome). Add the sampling limits: referral sampling in the towns, fewer than ten households in Amman and in Mafraq, early arrivals and sponsored exits over-represented, the camp with fewer households reporting work than Fafo found in 2017 and 2018; the 48 camp households without a complete pre-war profile; a single health question read as a minimum; the security scale recorded in two formats; the open question on integration into what.</t>
  </si>
  <si>
    <t xml:space="preserve">S4 Sample and overlap; S4 Power; S2 Findings (No. 5, 6, 10, 11, 14); S3 Checks, sections 1 and 8</t>
  </si>
  <si>
    <t xml:space="preserve">Keep the paragraph and add: households in the towns were reached by referral, in the northern towns only; early arrivals and sponsored exits weigh more than in the population; 48 camp households lack a complete pre-war profile and are left out of the adjusted comparisons; health enters through one yes or no question; the security scale was recorded as numbers in the camp and as words in the towns.</t>
  </si>
  <si>
    <t xml:space="preserve">M.8</t>
  </si>
  <si>
    <t xml:space="preserve">Methods, ethics and data protection</t>
  </si>
  <si>
    <t xml:space="preserve">The page publishes aggregates only; no statistic is reported for a subgroup of fewer than ten households; flows on the map are drawn only for pairs with at least five households; open-ended answers appear only as coded categories.</t>
  </si>
  <si>
    <t xml:space="preserve">The rules hold and the page breaks its own rule in seven places: the route counts (1.4), the registration counts and the ring (1.6), the savings share (2.10), the share of the highest third of the rent burden that ate less (5.7, found in step 5b), the share of the 89 that ate less (5.9), the registration panel (5.14) and the thesis total (M.6). Each has a wording above.</t>
  </si>
  <si>
    <t xml:space="preserve">This table, entries 1.4, 1.6, 2.10, 5.7, 5.9, 5.14 and M.6</t>
  </si>
  <si>
    <t xml:space="preserve">Keep the paragraph; apply the seven corrections listed in this table before the page is republished, in English and in Spanish.</t>
  </si>
  <si>
    <t xml:space="preserve">the page prints or lets a reader work out counts below ten in seven places</t>
  </si>
  <si>
    <t xml:space="preserve">M.9</t>
  </si>
  <si>
    <t xml:space="preserve">Methods, reproducibility</t>
  </si>
  <si>
    <t xml:space="preserve">Every figure and table on the page is generated from three results files, one per module, produced by three scripts from the survey file; the scripts are not published at this stage; the household file is not in the repository.</t>
  </si>
  <si>
    <t xml:space="preserve">Holds as a statement about the page. The review's scripts (d0_frame, e_lib, e3_design1, e4_inference, e7_decomposition, e9_ml and the step 1 to 3 scripts) run on the author's computer and output aggregates only; the household file never leaves it. Neither set is published, by the author's standing decision: the household file and the scripts stay on the author's computer.</t>
  </si>
  <si>
    <t xml:space="preserve">S4 How it was done (rows 17 to 20)</t>
  </si>
  <si>
    <t xml:space="preserve">No change; when the page is rebuilt on the review's aggregates, name the new scripts in the same sentence.</t>
  </si>
  <si>
    <t xml:space="preserve">Reading the table. A verdict applies to both language versions of the page. Where a row proposes wording, it is written to be pasted; where it says "keep only after", the claim stays out of the page until the computation named is declared and run under the rules of the review (blanks as missing, no count below ten, medians and quartiles rather than extremes). The protection flags are listed again on the Open items sheet with the other matters that await the author.</t>
  </si>
  <si>
    <t xml:space="preserve">The nine parts of the chain: what claim each one supports (the column left open in the step 3 workbook)</t>
  </si>
  <si>
    <t xml:space="preserve">The parts are those of the Theory of change sheet of the step 3 workbook (encampment_theory_of_change.xlsx), whose column I said "settled in step 5 of the review". Robust, Fragile and Null are the tiers of the step 4 workbook (Verdict, Shocks verdict and Indices sheets), under the rule fixed before the numbers were read: Robust when the Romano-Wolf p is at or below 0.05, the AIPW t at or above 1.96 in absolute value, the robustness value for significance at or above 0.05 and the five adjusted estimators share the sign; Null when the OLS design-based p is above 0.10 and the AIPW t below 1.96; Fragile otherwise. Figures are differences between comparable households, towns minus camp, within the common support; none is an effect of living in one place or the other. The last column counts the rows of the Verdicts sheet assigned to the part.</t>
  </si>
  <si>
    <t xml:space="preserve">What claim it supports</t>
  </si>
  <si>
    <t xml:space="preserve">Results the paper can lean on, by tier</t>
  </si>
  <si>
    <t xml:space="preserve">Rows of the Verdicts sheet</t>
  </si>
  <si>
    <t xml:space="preserve">Rows (count)</t>
  </si>
  <si>
    <t xml:space="preserve">Before the war and where the household ended up</t>
  </si>
  <si>
    <t xml:space="preserve">Comparative description, with a selection model behind it. Households now in the towns differed before the war in liquidity and origin: urban origin (22% in the camp, 60% in the towns), savings in Syria (18% and 50%), own business (37% and 65%), a pension (fewer than ten camp households; 22% in the towns), less often an origin in Daraa (86% and 64%); not in recalled income (medians of 20 and 24 thousand pounds). The nine pre-war traits predict the place of residence well (area under the curve 0.87), flexible models find no interaction the logit misses (0.85 against 0.85), and six pre-war traits left out of the design barely predict it (0.56; 0.54 to 0.57 within the support with the weights). The sample over-represents households that left the camp with a sponsor.</t>
  </si>
  <si>
    <t xml:space="preserve">Description (step 2 and the selection model of step 4).</t>
  </si>
  <si>
    <t xml:space="preserve">0.1, 0.2, 0.3, 1.1, 1.2, 1.4, 1.5, 1.6, 1.7, 3.1, 3.2, 3.3, 3.4, 4.1, 4.2, 4.9, 4.11, 4.12, M.1, M.3, M.4, M.6, M.7, M.8, M.9</t>
  </si>
  <si>
    <t xml:space="preserve">What comes into the household</t>
  </si>
  <si>
    <t xml:space="preserve">Among comparable households, towns households name work income among their sources 24 to 30 points more often (robust under the tier rule; fragile under the eight-trait specification; 32 points before adjustment). Assistance reaches nine households in ten in both groups, as two different packages: the voucher for 93% of camp households, at JD 20 per person for nine in ten of them, and no work income among the sources for 64% of camp households; in the towns a voucher in two tiers (median JD 10 per person), cut in August 2015, UNHCR cash for 30%, and no work income for 33%. The income level itself is described (medians of JD 140 and 270 a month), not estimated.</t>
  </si>
  <si>
    <t xml:space="preserve">Robust: income from work (+24 points). Description: the two assistance packages.</t>
  </si>
  <si>
    <t xml:space="preserve">1.3, 2.2, 2.4, 2.5, 2.6, 2.12, 4.4, 5.3, 5.6, 5.14, M.5</t>
  </si>
  <si>
    <t xml:space="preserve">What the household has to pay</t>
  </si>
  <si>
    <t xml:space="preserve">Comparable towns households spend about 1.9 times as much per person (0.63 log points, robust). What the spending covers differs by place: rent for 87% of towns households (median JD 130) and fewer than ten camp households; food spending per person about the same (means of JD 29 and 27; medians of JD 20). Reported spending, with blanks as missing (step 5b), is food in the camp (77% of the group total; a median share of 89% among the households that report it) and rent and food in the towns (35% and 33% of the total, with electricity, water and transport behind them; education is reported by fewer than ten households). Among the 104 towns households that rent with an income and a rent reported, rent takes 44% of reported income at the median (quartiles 31% and 63%) and income after rent is JD 32 per person a month at the median (mean 35, against a mean income per person of JD 38 in the camp, where fewer than ten households pay rent); the households with the heaviest rent burden ate less and carry debt more often (nearly all of the highest third).</t>
  </si>
  <si>
    <t xml:space="preserve">Robust: spending per person (+0.63 log points). Description: rent, food per person, the composition of reported spending and the rent burden (step 5b).</t>
  </si>
  <si>
    <t xml:space="preserve">5.2, 5.4, 5.5, 5.7</t>
  </si>
  <si>
    <t xml:space="preserve">The gap</t>
  </si>
  <si>
    <t xml:space="preserve">About half of households in each group report spending above income (45% and 50%); among comparable households the difference (9 to 17 points) cannot be told from zero, and the sample cannot detect one below about 25 points. Debts today are more frequent among comparable towns households (12 to 22 points), a fragile difference.</t>
  </si>
  <si>
    <t xml:space="preserve">Null: spending above income. Fragile: debts.</t>
  </si>
  <si>
    <t xml:space="preserve">How the gap is closed</t>
  </si>
  <si>
    <t xml:space="preserve">Fewer towns households suffered a fall in income (78% against 92%; 21 to 25 points fewer among comparable households, robust). Comparable towns households drew on savings less often (22 to 26 points, robust) and on loans less often (19 to 21 points, fragile); the consumption cuts (7 to 17 points more in the towns: eating less null, cutting other spending fragile) and the number of responses used (fragile) do not clear the tests; the severe responses (education, child work, selling) do not differ. Given the shock, among comparable households that suffered it, towns households ate less 21 points more often and cut other spending 25 points more often, drew on savings 17 points less often and on loans 20 points less, with no difference in the severe responses. Read in the order of Corbett (1988) and van der Kam (2000), from the reversible responses (eating less, borrowing, drawing on savings) to the severe ones (cutting education, child work, selling belongings), the households with the shock in the towns stayed on the reversible rungs by eating less and cutting other spending where camp households borrowed and drew on savings, and neither group went further down the ladder than the other; a description of the households with the shock. The thesis estimate of 28 points for eating less does not survive the comparison of like with like.</t>
  </si>
  <si>
    <t xml:space="preserve">Robust: income fell (-21), used savings (-22). Fragile: loans, cut other spending, cut education spending, worked more hours, asked another member to bring income, number of responses, financial-buffers index. Null: ate less, a child went to work, sold belongings, asked for assistance, took a second job, severe responses index, WFP score. Description: the decomposition.</t>
  </si>
  <si>
    <t xml:space="preserve">1.8, 1.9, 2.3, 2.10, 2.11, 4.10, 5.1, 5.8, 5.9, 5.10, 5.11, 5.12, 5.13</t>
  </si>
  <si>
    <t xml:space="preserve">Basic living conditions: refrigerator and stove</t>
  </si>
  <si>
    <t xml:space="preserve">More towns households have reached the two conditions: a refrigerator 30 to 40 points more often and a stove 44 to 47 points more often among comparable households, the two largest differences among the yes or no outcomes of the twelve, and both keep their tier under the eight-trait specification and the sensitivity analyses; the differences also carry the conditions of each place (electricity, space, what is provided in kind). More than nine in ten households had each good in Syria. The step to nutrition and health is supplied by other studies.</t>
  </si>
  <si>
    <t xml:space="preserve">Robust: refrigerator (+30 to 40), stove (+44 to 47).</t>
  </si>
  <si>
    <t xml:space="preserve">2.7, 2.8, 2.9, 4.5</t>
  </si>
  <si>
    <t xml:space="preserve">Security</t>
  </si>
  <si>
    <t xml:space="preserve">No difference among comparable households in the share rating personal security good or very good (8 points, null); camp households give more answers at both ends of the scale (very good 52% against 33%; fair or worse 29% against 14%). Theft is reported by 22% of camp households and fewer than ten in the towns (not estimated). The first contact in an emergency differs: the police for 69% in the camp and 23% in the towns, family or relatives for 22% and 51%. "No one to turn to" is not usable (blank answers counted as "no one").</t>
  </si>
  <si>
    <t xml:space="preserve">Null: personal security good or very good. Description: the distribution, theft, first contact.</t>
  </si>
  <si>
    <t xml:space="preserve">4.3, 4.7</t>
  </si>
  <si>
    <t xml:space="preserve">Community and morale</t>
  </si>
  <si>
    <t xml:space="preserve">Comparable camp households rate their integration about 3.2 points higher on the 1 to 10 scale, the difference with the highest robustness value of the twelve, among men and among women alike; the answer is reported under the name of the question and read as a sense of belonging or comfort where the household lives, with the shares at 1 to 3 and 7 to 10 beside the mean. Optimism is 1.1 to 1.7 points higher in the camp, a fragile difference carried by women respondents. Happiness cannot be told apart. In the towns, households that left the camp informally, by another route or without saying how rate their integration lower than those that left with a sponsor (4.0 against 5.7). An average day, as the respondent described it (step 5b): "nothing" is the answer of 63% of camp respondents and of none in the towns, where the day is taking care of the house (45%; 53% of the women and 32% of the men who answered) or sitting in the house (31%).</t>
  </si>
  <si>
    <t xml:space="preserve">Robust: self-rated integration (-3.2). Fragile: optimism. Null: happiness. Description: the average day (step 5b). Not checked: the average day by employment of the respondent, by district and against the scales (5.17 to 5.19).</t>
  </si>
  <si>
    <t xml:space="preserve">4.6, 5.15, 5.16, 5.17, 5.18, 5.19</t>
  </si>
  <si>
    <t xml:space="preserve">Over the years in Jordan</t>
  </si>
  <si>
    <t xml:space="preserve">Description of households that arrived in different years (more debt in both places among earlier arrivals and, among the goods, a stove in the towns and a refrigerator in the camp; the stove in the camp does not differ); the design holds arrival by 2012 equal between the groups and the path over time is not observed. No claim about trajectories.</t>
  </si>
  <si>
    <t xml:space="preserve">Description only.</t>
  </si>
  <si>
    <t xml:space="preserve">2.1, M.2</t>
  </si>
  <si>
    <t xml:space="preserve">Total</t>
  </si>
  <si>
    <t xml:space="preserve">How to read the tiers in the paper. The robust set (income from work, spending per person, refrigerator, stove, self-rated integration, income fell, used savings) is what the paper can state as a difference between comparable households that holds under every test. A fragile difference (debts, optimism, loans, cut other spending, number of responses, the financial-buffers index) can be reported with the test it fails named. A null difference is reported as such, with the minimum detectable difference beside it, because the sample cannot separate a small difference from zero.</t>
  </si>
  <si>
    <t xml:space="preserve">Verdicts by chapter</t>
  </si>
  <si>
    <t xml:space="preserve">The counts by chapter and the shares are formulas over the Verdicts sheet, so a changed verdict there changes the count here; the table of the robust results at the foot carries values copied from the step 4 workbook.</t>
  </si>
  <si>
    <t xml:space="preserve">All claims</t>
  </si>
  <si>
    <t xml:space="preserve">Protection flags</t>
  </si>
  <si>
    <t xml:space="preserve">Language flags</t>
  </si>
  <si>
    <t xml:space="preserve">All chapters</t>
  </si>
  <si>
    <t xml:space="preserve">Share of all claims</t>
  </si>
  <si>
    <t xml:space="preserve">Check: the claims of the inventory</t>
  </si>
  <si>
    <t xml:space="preserve">The results the paper can lean on (robust tier of the step 4 workbook)</t>
  </si>
  <si>
    <t xml:space="preserve">Outcome</t>
  </si>
  <si>
    <t xml:space="preserve">AIPW</t>
  </si>
  <si>
    <t xml:space="preserve">OLS</t>
  </si>
  <si>
    <t xml:space="preserve">Romano-Wolf p</t>
  </si>
  <si>
    <t xml:space="preserve">Robustness value (5%)</t>
  </si>
  <si>
    <t xml:space="preserve">Reading</t>
  </si>
  <si>
    <t xml:space="preserve">Income from work (yes or no)</t>
  </si>
  <si>
    <t xml:space="preserve">24 to 30 points more frequent among comparable towns households.</t>
  </si>
  <si>
    <t xml:space="preserve">Monthly spending per person (log)</t>
  </si>
  <si>
    <t xml:space="preserve">About 1.9 times as much per person in the towns.</t>
  </si>
  <si>
    <t xml:space="preserve">Refrigerator (yes or no)</t>
  </si>
  <si>
    <t xml:space="preserve">30 to 40 points more towns households.</t>
  </si>
  <si>
    <t xml:space="preserve">Stove (yes or no)</t>
  </si>
  <si>
    <t xml:space="preserve">44 to 47 points more towns households.</t>
  </si>
  <si>
    <t xml:space="preserve">Self-rated integration (1 to 10)</t>
  </si>
  <si>
    <t xml:space="preserve">About 3 points higher in the camp, among men and among women.</t>
  </si>
  <si>
    <t xml:space="preserve">Income fell since arrival (yes or no)</t>
  </si>
  <si>
    <t xml:space="preserve">21 to 25 points fewer towns households report a fall.</t>
  </si>
  <si>
    <t xml:space="preserve">Used savings (yes or no)</t>
  </si>
  <si>
    <t xml:space="preserve">22 to 26 points fewer towns households drew on savings.</t>
  </si>
  <si>
    <t xml:space="preserve">Source: encampment_design_diagnostics.xlsx, Verdict and Shocks verdict sheets (design 1, within the common support; Romano-Wolf within each family of outcomes). The Romano-Wolf p of 0 means below 0.0005.</t>
  </si>
  <si>
    <t xml:space="preserve">Matters that await a decision of the author</t>
  </si>
  <si>
    <t xml:space="preserve">Item</t>
  </si>
  <si>
    <t xml:space="preserve">What it is and what it would take</t>
  </si>
  <si>
    <t xml:space="preserve">Second blind reading of the protection of households across the materials (23 October 2026)</t>
  </si>
  <si>
    <t xml:space="preserve">A further instance read the corrected files with the same rule, checked each item of the first reading and read anew. The origins and places passed again: every cell keeps five possible values or more. Of the items of the first reading, most were closed and some only in part, and it found new routes. Corrected the same day: in the step 4 workbook, the R2 with controls and Rmax of the rows whose raw difference is withheld, which with the classical standard error gave the variance of a yes or no outcome and so its count, now withheld; in the step 3 workbook and in this sheet, the records of the first correction, which said more than the masks they explained, rewritten; in the step 3 workbook, section 2 of the Checks sheet, whose exact shares narrowed a cross of employment and work income, now in words; in the step 2 workbook, "almost no households in Amman", now "fewer than ten". Still open, for the next edition: the scales and the household size by subgroup in the step 3 workbook (Cuts measures, For whom and Figures sheets), whose means and standard deviations, printed to four decimals with the quartiles, give back the households at some answers; until that edition the step 3 workbook is not to be uploaded. The report stays in the record of the review and does not go to the repository.</t>
  </si>
  <si>
    <t xml:space="preserve">Blind reading of the protection of households across the materials (23 October 2026)</t>
  </si>
  <si>
    <t xml:space="preserve">A separate instance read, blind, the five workbooks, the Word version of this table, the technical note, the working paper and the brief, with one task: to find any count below ten households printed, or fixed or narrowed to fewer than three values by combining printed figures, in the records of the review and in the system of origins and places of interview. The origins and places passed: every cell keeps five possible values or more. It found twelve items of substance in other figures, all corrected the same day (the second reading, in the row above, found some closed only in part). In the step 4 workbook: the standard deviations, the raw differences, the R2 without controls and the Oster quantities of the eleven responses and of sickness, which with the means given the shock of the Decomposition sheet gave the masked cells of the towns households without the shock (and, for sickness, the households outside the support), now withheld, with the weighted MDD of sickness; the index means of the Health as a factor sheet and of block C of the Decomposition sheet that gave a masked item back, now withheld wherever one of their items is masked or withheld; two cells of block C that the step 3 workbook withholds; the index rows of block A, now with two decimals; and the Blind replication sheet, which still printed some of these. In the step 3 workbook: the households where the respondent reports no employment, which with the step 1 and step 2 workbooks fixed the number of women respondents who report employment, no longer printed; and further cells withheld where a masked cell kept too few possible counts. In the step 1 workbook and a step 3 record: the size of a group of households that report assistance only, no longer printed. In this table: row 5.6 printed the share of towns households naming some assistance, which the step 2 workbook withholds; it now reads nine in ten. Low items also corrected: the brief's "almost none in Amman" (now fewer than ten), its count of the places where the earlier page broke its own rule (now the seven of row M.8, among the ten flagged claims), the description of a withheld coefficient in the step 3 workbook, and the number of possible values stated for the map (five, not six). Two differences between figures of the earlier page and the review's (rows 0.2 and 1.4) come from coding the same households and describe no trait; they are left as they are, for the author's decision. The report stays in the record of the review and does not go to the repository.</t>
  </si>
  <si>
    <t xml:space="preserve">Check of coherence across the materials (23 October 2026)</t>
  </si>
  <si>
    <t xml:space="preserve">The materials of the review were read against one another after the third reading of the brief. (1) The map of the brief printed, for the households from Damascus and Rif Dimashq in the camp, a count that differed from the 23 of the step 2 workbook: the map rested on an aggregate computed on 5 October 2026 that coded some places of origin differently. The flows were computed again on the author's computer with the coding of origin of the step 2 profile (map/m1_flujos.py; its totals by group equal those of the profile): the map now prints 211 and 23 for the two largest flows to the camp, and its lines cover 351 of the 380 households with a recorded origin (row 0.2, now Revise). Every small line, and the households off the lines at each destination and from each origin, keep five possible values or more given everything printed. (2) The loan item still read "took a loan" in the step 1 and step 3 workbooks, in two charts of step 3 and in two sentences of the step 4 workbook; it now reads "asked for a loan" everywhere, as the questionnaire asked it. (3) Protection. Some records of earlier corrections printed what they protected: the count that the map's largest flow to the towns fixed (in the technical note, the step 4 workbook and this sheet, which also printed the count of that flow), and the means and sums behind the masked cells of the consumption cuts index (step 4 workbook); they now describe each leak without its figures. The step 1 workbook printed the counts of households naming Homs and Aleppo, which with the origin counts of the step 2 workbook and the households with a recorded origin fixed the households from the other governorates at a count below ten; it now names the two places without counts. The claim column of row 5.7 printed the page's share for the highest third of the rent burden, which the row itself flags; it is now masked, and row M.8 counts it among the places where the page breaks its own rule (seven). Fourth edition of the step 1 workbook, fifth of the step 3, tenth of the step 4 and seventh of this workbook; the note, the paper and the brief carry the corrections.</t>
  </si>
  <si>
    <t xml:space="preserve">Third blind reading of the brief, as an interactive page (22 October 2026)</t>
  </si>
  <si>
    <t xml:space="preserve">Five charts of the brief were rebuilt as scrolling sequences: the text advances in steps beside a graphic that keeps its place and changes state (the map in four states, the comparison of like with like in five, the budget in three, the responses to the fall in income in five and the scales in four); the prose was redistributed into the steps with nothing cut, and the states draw only figures the page or the technical note already print (the raw shares of all households, the common support, the tiers under the eight-trait specification, the thirds of the rent burden, the causes of the fall in income, the towns means with the camp's mix of respondents). A further instance then read the interactive page blind, state by state against its text, the data tables under each sequence and the note: 43 items (2 high, 17 medium, 24 low); the reader found no leak, and the check that followed its reading found one: the count the map printed for the largest flow to the towns, which with the Daraa-origin households of Irbid governorate (68 of 90, step 3 workbook, For whom sheet) and the Ramtha total (38) fixed the Ramtha households from other governorates at a count below ten; the map now prints counts for the two largest flows to the camp only, and the convention is restated in the page, the note, the paper and the ninth edition of the step 4 workbook. The two high items were a sentence of the responses sequence that paired the raw shares of eating less and cutting other spending with the wrong groups, and the WFP severity step among the households whose income fell, which the graphic drew as significant under OLS (0.36 of a step, p 0.015) while the text said only that the step did not differ among all comparable households; both corrected, the second also in the note and the paper, which now read that row and the other response that clears the 5% line under OLS given the shock (asking another member to bring income). Also corrected: the eight-trait check shown as an annotation on the declared design rather than a recolouring of its intervals; the households set aside for a missing pre-war trait named in the support state (209 camp households with every trait observed, printed in the note); masked cells drawn as the range of values the mask allows instead of a point; the first state of the comparison counted as nine of the twelve raw differences beyond the survey margin; the map text aligned with what each state draws; two rows of the data table that printed a missing value; the Spanish page with an English mask; and the phone layout (the methods box, the reading band under the graphic). Sixth edition of this workbook; the page, the note and the paper carry the corrections. The brief is delivered in its interactive form; the author uploads it to the repository.</t>
  </si>
  <si>
    <t xml:space="preserve">Second blind readings of the corrected paper and of the corrected brief (22 October 2026)</t>
  </si>
  <si>
    <t xml:space="preserve">Two further instances read the corrected working paper and the corrected brief, each first checking the items of the first report (paper: 31 resolved, 28 partly, 8 not; brief: 33 resolved, 20 partly, 2 not) and then reading anew (28 and 35 new items). What they found was corrected in the fifth edition of this workbook, the eighth of the step 4 workbook, the fourth of the step 2 workbook, the technical note, the paper and the brief: in the Decomposition sheet of the step 4 workbook, the towns mean given the shock of the consumption cuts index, which with the mean of eating less gave back the masked item (cutting other spending) exactly, since the index is the sum of its two items, now withheld with the conditional difference of the index and the index means of the towns households without the shock; in the step 2 workbook, the count of towns households naming some assistance, which with the count naming the voucher gave the households naming assistance without the voucher, fewer than ten, now withheld; the loan item named as the questionnaire asked it (asked for a loan); the route groups of the integration cut labelled as what they are (every camp the household passed through, 83 households, not Zaatari alone); the OLS ends of the ranges of the shocks family printed in Table 5.2 of the note; the phrase "robust under every test" for income from work, which the eight-trait specification moves to fragile; the superlatives on the two goods and on integration replaced by what the record shows; the first twelve chain rows read again for places as agents, for nulls read as equalities and for ranges without both ends; and in the brief, a Spanish find-and-replace that had damaged twelve table cells, the hover texts of two charts, the navigation at desktop width and several calques. The map of the brief now prints counts for three flows (the two largest to the camp and the largest to the towns), a rule stated on the page.</t>
  </si>
  <si>
    <t xml:space="preserve">Blind readings of the working paper and of the brief (21 October 2026)</t>
  </si>
  <si>
    <t xml:space="preserve">Two further instances read, blind, the working paper (67 items) and the brief that replaces the page (55 items), each against the technical note. What they found was corrected in the fourth edition of this workbook, the seventh of the step 4 workbook, the technical note, the paper and the brief: the means and two parts of the four indices in block A of the Decomposition sheet, which with the shares of the responses gave the no-shock cells; the thesis total next to the file total, which fixed the households the thesis dropped (fewer than ten); a map count of the brief (Daraa to Ramtha) which with the Ramtha base of the integration cut gave a place-by-origin group below ten, now unlabelled; the conventions on non-response, on empty or full cells and on the map rule of five, now stated; the wording "survive every test", now "clear every test of the tier rule", since the eight-trait specification moves income from work to fragile; the ranges whose ends are the AIPW and the OLS estimates, now said; Tobin et al. (2021) cited for isolation outside the camps, now Dajani et al. (2023); the reading of Corbett (1988) and van der Kam (2000) as an ordering by reversibility rather than as a sequence of fewer buffers and deeper cuts; "education" removed from the items behind rent and food in the towns (reported by fewer than ten households); places as the subject of three sentences; the dated account of the responses in the conclusion of the paper, now a description over the whole period since arrival.</t>
  </si>
  <si>
    <t xml:space="preserve">Decisions of the author, 21 October 2026</t>
  </si>
  <si>
    <t xml:space="preserve">The verdicts are accepted as the work to date, open to change in later iterations. Health as a factor is tested (the author's decision: no variable is left untested): done the same day as Part F of the step 4 workbook, fourth edition. The protection passes (below) were done the same day and are recorded. Fieldwork ran from June to August 2016 (row 0.3). Every programme figure on the page carries its source (row 5.8). The map keeps the rule of five households for its lines and its counts, stated on the page (row 0.2). A blank answer is a missing value, in every variable and every step: the rule is general and is not restated claim by claim.</t>
  </si>
  <si>
    <t xml:space="preserve">Health as a factor (Part F of the step 4 workbook, fourth edition)</t>
  </si>
  <si>
    <t xml:space="preserve">Run on 21 October 2026 after the author's decision, declared beforehand in review/brief_health.md and replicated blind (1,769 quantities, none to check). Among comparable households, those with a member with a medical condition used 1.3 more of the eleven responses and drew 0.54 more of the three financial buffers (both beyond the Romano-Wolf correction), with no difference in work income, spending per person or spending above income; sickness among the shocks shows no gradient of its own beyond the correction (income from work and a second job differ on their own), and three of its interactions with the place exceed their minimum detectable size (the number of responses, loans and the financial buffers index, the last beyond the correction: the camp-towns difference in the financial buffers is larger among households with sickness), a reading that rests on nearly all of the 24 towns households with sickness. The two items never enter the score, are never crossed with a town, a district or a route out of the camp, and are not used to explain the scales. For the page: health is a factor in how many responses a household had to use and how far it drew on its buffers, not in its income or spending.</t>
  </si>
  <si>
    <t xml:space="preserve">Step 5b: the claims marked "Not checked" that could be run under the rules</t>
  </si>
  <si>
    <t xml:space="preserve">Declared before running in review/brief_5b.md on 21 October 2026 and computed the same day on the author's computer (c7_presupuesto.py, aggregates out_c7.json), then replicated blind by a separate instance from the declaration alone (every value identical). Done: the composition of reported spending (5.2, 5.5), income after rent and the rent burden (5.4, 5.7), the responses by thirds of the rent burden (5.7) and the average day by group and sex of the respondent (5.16); the results are printed in the technical note (Tables 4.4 to 4.6 and 7.10) and the verdicts of this third edition rest on them. Not run, and still marked "Not checked": the average day by employment of the respondent, by district and against the scales (5.17 to 5.19), and the income conversions (2.2, 2.4, 2.5, M.5), which depend on exchange rates and on the handling of blanks and are described in the technical note, not reproduced.</t>
  </si>
  <si>
    <t xml:space="preserve">Second protection pass of the step 3 workbook</t>
  </si>
  <si>
    <t xml:space="preserve">Done on 21 October 2026 (third edition of encampment_theory_of_change.xlsx): cells are withheld, one at a time, until every masked count keeps at least three possible values given the row for all households, the other levels and the ranges behind the labels (100 cells of the Cuts sheet, 15 of them also on the For whom sheet; on 23 October 2026 further cells were withheld where a masked cell still kept too few possible counts); the type of income has two levels (with and without work income) and the indicator "assistance only" is no longer printed; the lower voucher tier of the towns also holds the households that name no voucher; the sentences that rested on a withheld cell were rewritten; the levels "no data" are the declared exception (40 cells). The step 4 workbook (fifth edition) withholds the same cells where it prints them (Shocks described, section C; Health as a factor, block B).</t>
  </si>
  <si>
    <t xml:space="preserve">Step 1 workbook, dollar variables, health spending and the fieldwork months</t>
  </si>
  <si>
    <t xml:space="preserve">Done on 21 October 2026 (third edition of encampment_variable_audit.xlsx): the counts by group of the six dollar variables and of the two questions on health spending read "not shown" and the two health questions left the audit chart; Findings No. 1 records that fieldwork ran from June to August 2016.</t>
  </si>
  <si>
    <t xml:space="preserve">Notes addressed to the author inside the workbooks</t>
  </si>
  <si>
    <t xml:space="preserve">Restated on 21 October 2026 as decision records with their dates (step 3 Theory of change I12; Checks sections 3 and 6 to 8; How it was done of steps 1 to 3).</t>
  </si>
  <si>
    <t xml:space="preserve">Step 4 workbook: the analysis sample by group</t>
  </si>
  <si>
    <t xml:space="preserve">Masked in the fourth edition (21 October 2026): the towns side of the analysis sample reads "all but fewer than ten" on every sheet, because with the group total it fixed the number of towns households left out for a blank pre-war trait, which is below ten. Sixth edition (21 October 2026), after two blind readings of the technical note: the towns households off the support are withheld too (Sample and overlap, Flexible estimation and Blind replication sheets, and the How it was done row on the support), because added to the towns households within the support they gave that masked count; on the Decomposition sheet, block A, the means given the shock of the eleven responses one by one are withheld, because with the all-households counts of the step 3 workbook they gave the cells of the households whose income did not fall, below ten; on the Health as a factor sheet the responses given the shock by item (block E) are no longer printed, for the same reason, and the headers of blocks C and D print the households with the item in a region only where those outside it are ten or more; on the Power sheet the standard deviations of the yes or no outcomes with a cell below ten within the support are withheld (with the unweighted MDD, and for income fell the weighted MDD and the raw difference within the support too), because a standard deviation with its base is a count; on the Balance sheet the whole-sample standardized difference of the pension in Syria is printed with one decimal; after a third reading, the weighted MDD of those Power rows is printed with three decimals and their raw difference within the support is withheld, the camp no-shock cells of the decomposition (block A) are withheld whatever their label, as is the camp mean of the severe responses index in block C, and the analysis-sample counts of the Health as a factor sheet and of the placebo read as labels. The technical note withholds the same cells.</t>
  </si>
  <si>
    <t xml:space="preserve">Protection pass of the step 1 to 3 workbooks</t>
  </si>
  <si>
    <t xml:space="preserve">Done on 21 October 2026, third editions of the three workbooks and their charts: the items above, the glosses at first use, and in step 2 the voucher tier (No. 47) kept on its base now that the lower tier of step 3 also holds the households that name no voucher. Each workbook records the pass on its How it was done sheet. A separate instance then read the new editions of the five workbooks as a reader receives them (21 October 2026); what it found, in the prose and in the protection of small counts, was corrected in the same editions (recorded here, since the How it was done sheets of steps 1 to 3 name only the reading of 9 October).</t>
  </si>
  <si>
    <t xml:space="preserve">The Spanish version of the page</t>
  </si>
  <si>
    <t xml:space="preserve">Every verdict applies to both versions; the Spanish text (index_espanol.html) carries the same figures and the same seven protection corrections.</t>
  </si>
  <si>
    <t xml:space="preserve">Thesis table</t>
  </si>
  <si>
    <t xml:space="preserve">The published matching table (one nearest neighbour, ATE, no support check) is reproduced within 0.0005; the page can cite it as the thesis estimate and show beside it the design 1 figures.</t>
  </si>
  <si>
    <t xml:space="preserve">Protection flags of the page, gathered from the Verdicts sheet</t>
  </si>
  <si>
    <t xml:space="preserve">Row</t>
  </si>
  <si>
    <t xml:space="preserve">What to correct</t>
  </si>
  <si>
    <t xml:space="preserve">0.2 (Map caption)</t>
  </si>
  <si>
    <t xml:space="preserve">hover counts by governorate of origin to be checked in the HTML. Proposed: The caption with 351 in place of the page's figure. One check remains in the HTML of the page: the hover shows counts by governorate of origin at each destination, and a pair of five to nine households would print a count below ten; the rule agreed for the map (five or more) covers the lines drawn, and the counts shown should follow the same rule, stated on the page, or the ten rule. The brief that replaces the page shows the width class in its hover and prints counts for the two largest flows to the camp only.</t>
  </si>
  <si>
    <t xml:space="preserve">1.4 (Chapter 1, unit chart (routes out of the camp))</t>
  </si>
  <si>
    <t xml:space="preserve">prints a count below ten; the four counts add to the group total. Proposed: Of the 134 households in the towns, 84 passed through a camp and 50 did not. Of those 84, 42 report leaving with a Jordanian sponsor, the legal route until 2015, and the other 42 left informally, by another route, or did not say how. Households that left with a sponsor weigh more in this sample than among all exits from Zaatari.</t>
  </si>
  <si>
    <t xml:space="preserve">1.6 (Chapter 1, unit chart (registration))</t>
  </si>
  <si>
    <t xml:space="preserve">camp count below ten by subtraction; the twelve cut into cells below ten; the chart marks them. Proposed: The survey never asked about Ministry of Interior cards. It did ask about UNHCR registration: twelve households in the towns, and fewer than ten in the camp, reported being asylum seekers still awaiting registration; none reported being unregistered. (The ring on the chart goes, and the cut of the twelve by arrival and camp history goes with it.)</t>
  </si>
  <si>
    <t xml:space="preserve">2.10 (Chapter 2, savings)</t>
  </si>
  <si>
    <t xml:space="preserve">a share built on counts below ten. Proposed: Half of the households later found in the towns had savings in Syria, against fewer than one in five of those in the camp; by 2016 fewer than ten households in each group reported any savings.</t>
  </si>
  <si>
    <t xml:space="preserve">5.7 (Chapter 5, rent burden)</t>
  </si>
  <si>
    <t xml:space="preserve">The page's share for the highest third (about forty households) fixes the households that did not eat less below ten; the recount prints "nearly all".. Proposed: Among towns households that rent, rent takes 44 percent of reported income at the median, and a quarter of them pay more than 63 percent. Food cuts rise with that burden: 63 percent of households in the lowest third of the rent share ate less, and nearly all in the middle and the highest thirds; nearly all households in the highest third carry debt. This describes towns households and does not compare the two groups.</t>
  </si>
  <si>
    <t xml:space="preserve">5.9 (Chapter 5, why income fell)</t>
  </si>
  <si>
    <t xml:space="preserve">a share whose complement is below ten. Proposed: 89 of the 103 households in the towns that gave a reason named a reduction of assistance, and nearly all of them had eaten less.</t>
  </si>
  <si>
    <t xml:space="preserve">5.14 (Chapter 5, registration)</t>
  </si>
  <si>
    <t xml:space="preserve">two shares built on counts below ten and one with a complement below ten; a cut of twelve households. Proposed: Drop the panel and the comparison. At most one sentence: twelve households in the towns reported being still registered as asylum seekers, and none of them reported the voucher or UNHCR cash; the rules that tied assistance to registration are described in NRC and IHRC (2016).</t>
  </si>
  <si>
    <t xml:space="preserve">5.18 (Chapter 5, empty days by district)</t>
  </si>
  <si>
    <t xml:space="preserve">district shares can reveal counts below ten. Proposed: Keep only for districts where both the respondents with an empty day and the others number ten or more; otherwise merge districts.</t>
  </si>
  <si>
    <t xml:space="preserve">M.6 (Methods, sample decisions)</t>
  </si>
  <si>
    <t xml:space="preserve">the thesis total fixes a count below ten. Proposed: All 391 households in the file (the thesis dropped fewer than ten, without recording the reason). A blank answer is treated as missing, never as zero. Spending in Syria is missing for 30 households in the towns and is reported for the camp only. The adjusted comparisons use the households with every pre-war trait observed; 48 camp households and fewer than ten in the towns are left out.</t>
  </si>
  <si>
    <t xml:space="preserve">M.8 (Methods, ethics and data protection)</t>
  </si>
  <si>
    <t xml:space="preserve">the page prints or lets a reader work out counts below ten in seven places. Proposed: Keep the paragraph; apply the seven corrections listed in this table before the page is republished, in English and in Spanish.</t>
  </si>
  <si>
    <t xml:space="preserve">How it was done</t>
  </si>
  <si>
    <t xml:space="preserve">What this workbook is</t>
  </si>
  <si>
    <t xml:space="preserve">Step 5 of the review of the 2016 survey (391 households: 257 in Zaatari camp, 134 in northern towns): the verdict table. It closes the five-step plan (step 1, what the survey measures well; step 2, whom the sample represents; step 3, the theory of change; step 4, candidate designs declared before running; step 5, the verdict table).</t>
  </si>
  <si>
    <t xml:space="preserve">What was done</t>
  </si>
  <si>
    <t xml:space="preserve">1. The text of the published page (index.html, English; the Spanish version carries the same figures) was extracted and split into claims that can be checked: a figure, a comparison, a reading or a method. Captions, chart headlines and the methods section were included; 68 claims in all. 2. The five verdict categories and the two flags were fixed before any claim was read against the review. 3. Each claim was read against the four earlier workbooks and the aggregates behind them, and the sheet that carries the evidence is named in every row. 4. For each claim a wording was proposed under the rules fixed for the review: no effect of a place, the names decided (northern towns; self-rated integration (1 to 10); basic living conditions), households as the subject of each sentence, the lexicon, and no count below ten printed or recoverable. 5. The column of the step 3 Theory of change sheet that said "settled in step 5" is settled on the By part of the chain sheet. 6. A separate instance of the AI assistant that had not written the table read every row against the cited sheets and the page before this edition (next row).</t>
  </si>
  <si>
    <t xml:space="preserve">Blind reading (21 October 2026)</t>
  </si>
  <si>
    <t xml:space="preserve">The instance checked the 67 rows of the first draft against the cited sheets, the page text, the chart, the Word document and the formulas, and found no figure of the page misquoted, no tile or count of the chart wrong and no formula wrong. What it found, all corrected in this edition: four places where this table itself let a count below ten be worked out (the route counts and the page total, the registration total, the owned-home share of the towns, the base of the savings question); figures cited to sheets that do not print them (they sit in the step 2 profile behind the sheets, now named); the WFP tiers of August 2015 stated as fact without a source read in the review (now read at the source and cited); a reading of the decomposition stated the wrong way round (the lower incidence of the shock in the towns works against the raw gap in eating less, not for it); six verdicts regraded under the definitions (1.3, 2.6, 4.5, 4.9, 4.11 and M.7 to Revise); the list of rows of part 0; two sentences wider than the sheets (the goods over the years; the replication "with none in conflict"); three claims of the page that had no row (the fieldwork months, the contacts behind the sponsor route, the hover counts of the map); and wording (places as the subject of a sentence, "nearly all" for shares the sheets print, the tier of cutting other spending, the Tamim et al. finding, Amman and Mafraq). The Word document now carries the three notes it left out.</t>
  </si>
  <si>
    <t xml:space="preserve">Nothing new was computed here</t>
  </si>
  <si>
    <t xml:space="preserve">No figure on these sheets is computed here: every number is taken from the four earlier workbooks, from the step 2 profile behind them or, in the third edition, from the step 5b aggregates (rows 5.2, 5.4, 5.5, 5.7 and 5.16), all built from aggregates copied from the author's computer and verified by checksum, with blind replications of steps 3, 4 and 5b (the only arithmetic done here is the page's own dollar rate applied to two means, in row 2.2). Claims the review did not test are marked "Not checked" with what it would take.</t>
  </si>
  <si>
    <t xml:space="preserve">Protection</t>
  </si>
  <si>
    <t xml:space="preserve">Aggregates only. The page itself prints, or lets a reader work out, counts below ten in seven places; those are masked in this table in square brackets and listed on the Open items sheet with the wording proposed. This table prints no count below ten and no pair of figures from which one could be worked out.</t>
  </si>
  <si>
    <t xml:space="preserve">Scripts</t>
  </si>
  <si>
    <t xml:space="preserve">claims_en.py (the inventory, the verdicts and the proposed wording), build_step5_table_en.py (this workbook), build_step5_chart_en.py (the chart); step 5b: c7_presupuesto.py on the author's computer (aggregates out_c7.json). The page text was extracted from the HTML with the tags removed; nothing was read from the household file to build these sheets.</t>
  </si>
  <si>
    <t xml:space="preserve">Second edition (21 October 2026)</t>
  </si>
  <si>
    <t xml:space="preserve">After the protection pass of the step 1 to 3 workbooks. Row 5.6 and the summary of part 1 no longer cite the share of camp households living on assistance alone (with the work-income count and the answering base it fixed a count below ten) and give instead the share without work income among the sources (64% in the camp and 33% in the towns); the Open items sheet records the pass as done, with what each workbook changed.</t>
  </si>
  <si>
    <t xml:space="preserve">Third edition (21 October 2026)</t>
  </si>
  <si>
    <t xml:space="preserve">After step 5b, declared in review/brief_5b.md before running and replicated blind (every value identical). Three claims leave "Not checked": the budget shares (5.2, now Holds with new wording: rent 35% and food 33% of reported spending in the towns, food 77% in the camp, blanks as missing), the rent burden and the food cuts by thirds of it (5.7, now Revise: a median of 44% of reported income, a quarter above 63%, and "nearly all" where the page printed a share for the highest third) and the average day (5.16, now Holds with new wording: 53% of the women and 32% of the men who answered in the towns take care of the house; "nothing" is the answer of 63% in the camp and of no one in the towns). Rows 5.4 and 5.5 carry the step 5b figures with their verdicts unchanged; the summaries of parts 2 and 7 and the Open items sheet record what was run and what stays unchecked (5.17 to 5.19 and the income conversions). The blind reading of the technical note (21 October 2026) also corrected, in this edition, the ranges of the loans and of the consumption cuts (AIPW to OLS throughout: loans 19 to 21 points, cutting other spending 14 to 17) and the reading of part 7 (the route levels of the third edition of step 3: 4.0 against 5.7).</t>
  </si>
  <si>
    <t xml:space="preserve">Seventh edition (23 October 2026)</t>
  </si>
  <si>
    <t xml:space="preserve">After a check of coherence across the materials of the review (Open items sheet, row of 23 October 2026). Row 0.2 moves from Holds to Revise: under the coding of origin of the step 2 profile the lines of the map cover 351 of the 380 households with a recorded origin. Row 5.7 masks the page's share for the highest third of the rent burden in its claim column, as the table does for the page's other counts below ten, and row M.8 counts it among the places where the page breaks its own rule (seven). The row on the third blind reading of the brief no longer prints the count of the map's largest flow to the towns or the count it fixed. After the blind reading of protection the same day (Open items sheet, first row), row 5.6 reads the share of towns households naming some assistance as nine in ten, since the step 2 workbook withholds it. Verdicts after this edition: Holds 6, Holds with new wording 22, Revise 26, Not supported 7, Not checked 7.</t>
  </si>
  <si>
    <t xml:space="preserve">Sixth edition (22 October 2026)</t>
  </si>
  <si>
    <t xml:space="preserve">After the third blind reading of the brief, as an interactive page (Open items sheet, row of 22 October 2026 on that reading): the sequences and what the reading found are recorded there; no verdict changes.</t>
  </si>
  <si>
    <t xml:space="preserve">Fifth edition (22 October 2026)</t>
  </si>
  <si>
    <t xml:space="preserve">After the second blind readings of the corrected paper and brief (Open items sheet, row on those readings): the summary of part 1 gives the work income range (24 to 30 points) and reads its robustness as the tier rule and the eight-trait specification give it; the summary of part 4 lists every fragile and null response of the shocks family; the summaries of parts 5 and 7 replace the superlatives on the goods and on integration by what the record shows; the notes cite the eighth edition of the step 4 workbook and the fourth of the step 2 workbook. No verdict changes.</t>
  </si>
  <si>
    <t xml:space="preserve">Fourth edition (22 October 2026)</t>
  </si>
  <si>
    <t xml:space="preserve">After the blind readings of the working paper and of the brief (Open items sheet, row on those readings of 21 October 2026): the summary of part 2 no longer lists education among the items behind rent and food in the towns (reported by fewer than ten households), the summary of part 4 reads Corbett (1988) and van der Kam (2000) as an ordering by reversibility, the summary of part 7 prints the optimism range as 1.1 to 1.7 points, and the notes cite the seventh edition of the step 4 workbook. No verdict changes.</t>
  </si>
  <si>
    <t xml:space="preserve">Edition</t>
  </si>
  <si>
    <t xml:space="preserve">23 October 2026, seventh edition (after a check of coherence across the materials of the review and a blind reading of the protection of households the same day: row 0.2 moves to Revise and row 5.6 reads nine in ten; sixth: after the third blind reading of the brief, as an interactive page; fifth: after the second blind readings of the corrected paper and brief; fourth: after the first blind readings of the paper and the brief; third: after the blind reading, the author's decisions of 21 October, the protection pass of the step 1 to 3 workbooks and step 5b)</t>
  </si>
</sst>
</file>

<file path=xl/styles.xml><?xml version="1.0" encoding="utf-8"?>
<styleSheet xmlns="http://schemas.openxmlformats.org/spreadsheetml/2006/main">
  <numFmts count="4">
    <numFmt numFmtId="164" formatCode="General"/>
    <numFmt numFmtId="165" formatCode="General"/>
    <numFmt numFmtId="166" formatCode="0%"/>
    <numFmt numFmtId="167" formatCode="0.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10"/>
      <name val="Arial"/>
      <family val="0"/>
      <charset val="1"/>
    </font>
    <font>
      <b val="true"/>
      <sz val="10"/>
      <color rgb="FFFFFFFF"/>
      <name val="Arial"/>
      <family val="0"/>
      <charset val="1"/>
    </font>
    <font>
      <b val="true"/>
      <sz val="10"/>
      <name val="Arial"/>
      <family val="0"/>
      <charset val="1"/>
    </font>
    <font>
      <sz val="10"/>
      <name val="Arial"/>
      <family val="0"/>
      <charset val="1"/>
    </font>
  </fonts>
  <fills count="9">
    <fill>
      <patternFill patternType="none"/>
    </fill>
    <fill>
      <patternFill patternType="gray125"/>
    </fill>
    <fill>
      <patternFill patternType="solid">
        <fgColor rgb="FF1F2937"/>
        <bgColor rgb="FF333300"/>
      </patternFill>
    </fill>
    <fill>
      <patternFill patternType="solid">
        <fgColor rgb="FFEEF2F7"/>
        <bgColor rgb="FFE7E7E7"/>
      </patternFill>
    </fill>
    <fill>
      <patternFill patternType="solid">
        <fgColor rgb="FFE6F0D8"/>
        <bgColor rgb="FFDCEFE3"/>
      </patternFill>
    </fill>
    <fill>
      <patternFill patternType="solid">
        <fgColor rgb="FFFDEBC8"/>
        <bgColor rgb="FFE6F0D8"/>
      </patternFill>
    </fill>
    <fill>
      <patternFill patternType="solid">
        <fgColor rgb="FFDCEFE3"/>
        <bgColor rgb="FFE6F0D8"/>
      </patternFill>
    </fill>
    <fill>
      <patternFill patternType="solid">
        <fgColor rgb="FFF6D5D5"/>
        <bgColor rgb="FFE7E7E7"/>
      </patternFill>
    </fill>
    <fill>
      <patternFill patternType="solid">
        <fgColor rgb="FFE7E7E7"/>
        <bgColor rgb="FFE6F0D8"/>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2937"/>
          <bgColor rgb="FF000000"/>
        </patternFill>
      </fill>
    </dxf>
    <dxf>
      <fill>
        <patternFill patternType="solid">
          <fgColor rgb="FFEEF2F7"/>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CEFE3"/>
          <bgColor rgb="FF000000"/>
        </patternFill>
      </fill>
    </dxf>
    <dxf>
      <fill>
        <patternFill patternType="solid">
          <fgColor rgb="FFE6F0D8"/>
          <bgColor rgb="FF000000"/>
        </patternFill>
      </fill>
    </dxf>
    <dxf>
      <fill>
        <patternFill patternType="solid">
          <fgColor rgb="FFE7E7E7"/>
          <bgColor rgb="FF000000"/>
        </patternFill>
      </fill>
    </dxf>
    <dxf>
      <fill>
        <patternFill patternType="solid">
          <fgColor rgb="FFF6D5D5"/>
          <bgColor rgb="FF000000"/>
        </patternFill>
      </fill>
    </dxf>
    <dxf>
      <fill>
        <patternFill patternType="solid">
          <fgColor rgb="FFFDEBC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EBC8"/>
      <rgbColor rgb="FFEEF2F7"/>
      <rgbColor rgb="FF660066"/>
      <rgbColor rgb="FFFF8080"/>
      <rgbColor rgb="FF0066CC"/>
      <rgbColor rgb="FFE7E7E7"/>
      <rgbColor rgb="FF000080"/>
      <rgbColor rgb="FFFF00FF"/>
      <rgbColor rgb="FFFFFF00"/>
      <rgbColor rgb="FF00FFFF"/>
      <rgbColor rgb="FF800080"/>
      <rgbColor rgb="FF800000"/>
      <rgbColor rgb="FF008080"/>
      <rgbColor rgb="FF0000FF"/>
      <rgbColor rgb="FF00CCFF"/>
      <rgbColor rgb="FFE6F0D8"/>
      <rgbColor rgb="FFDCEFE3"/>
      <rgbColor rgb="FFFFFF99"/>
      <rgbColor rgb="FF99CCFF"/>
      <rgbColor rgb="FFFF99CC"/>
      <rgbColor rgb="FFCC99FF"/>
      <rgbColor rgb="FFF6D5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8"/>
    <col collapsed="false" customWidth="true" hidden="false" outlineLevel="0" max="4" min="4" style="0" width="46"/>
    <col collapsed="false" customWidth="true" hidden="false" outlineLevel="0" max="5" min="5" style="0" width="58"/>
    <col collapsed="false" customWidth="true" hidden="false" outlineLevel="0" max="6" min="6" style="0" width="26"/>
    <col collapsed="false" customWidth="true" hidden="false" outlineLevel="0" max="7" min="7" style="0" width="14"/>
    <col collapsed="false" customWidth="true" hidden="false" outlineLevel="0" max="8" min="8" style="0" width="46"/>
    <col collapsed="false" customWidth="true" hidden="false" outlineLevel="0" max="9" min="9" style="0" width="20"/>
    <col collapsed="false" customWidth="true" hidden="false" outlineLevel="0" max="10" min="10" style="0" width="18"/>
    <col collapsed="false" customWidth="true" hidden="false" outlineLevel="0" max="11" min="11" style="0" width="7"/>
  </cols>
  <sheetData>
    <row r="1" customFormat="false" ht="15" hidden="false" customHeight="false" outlineLevel="0" collapsed="false">
      <c r="A1" s="1" t="s">
        <v>0</v>
      </c>
    </row>
    <row r="2" customFormat="false" ht="84" hidden="false" customHeight="true" outlineLevel="0" collapsed="false">
      <c r="A2" s="2" t="s">
        <v>1</v>
      </c>
      <c r="B2" s="2"/>
      <c r="C2" s="2"/>
      <c r="D2" s="2"/>
      <c r="E2" s="2"/>
      <c r="F2" s="2"/>
      <c r="G2" s="2"/>
      <c r="H2" s="2"/>
      <c r="I2" s="2"/>
      <c r="J2" s="2"/>
      <c r="K2" s="2"/>
    </row>
    <row r="3" customFormat="false" ht="57" hidden="false" customHeight="true" outlineLevel="0" collapsed="false">
      <c r="A3" s="2" t="s">
        <v>2</v>
      </c>
      <c r="B3" s="2"/>
      <c r="C3" s="2"/>
      <c r="D3" s="2"/>
      <c r="E3" s="2"/>
      <c r="F3" s="2"/>
      <c r="G3" s="2"/>
      <c r="H3" s="2"/>
      <c r="I3" s="2"/>
      <c r="J3" s="2"/>
      <c r="K3" s="2"/>
    </row>
    <row r="5" customFormat="false" ht="36" hidden="false" customHeight="true" outlineLevel="0" collapsed="false">
      <c r="A5" s="3" t="s">
        <v>3</v>
      </c>
      <c r="B5" s="3" t="s">
        <v>4</v>
      </c>
      <c r="C5" s="3" t="s">
        <v>5</v>
      </c>
      <c r="D5" s="3" t="s">
        <v>6</v>
      </c>
      <c r="E5" s="3" t="s">
        <v>7</v>
      </c>
      <c r="F5" s="3" t="s">
        <v>8</v>
      </c>
      <c r="G5" s="3" t="s">
        <v>9</v>
      </c>
      <c r="H5" s="3" t="s">
        <v>10</v>
      </c>
      <c r="I5" s="3" t="s">
        <v>11</v>
      </c>
      <c r="J5" s="3" t="s">
        <v>12</v>
      </c>
      <c r="K5" s="3" t="s">
        <v>13</v>
      </c>
    </row>
    <row r="6" customFormat="false" ht="17.25" hidden="false" customHeight="true" outlineLevel="0" collapsed="false">
      <c r="A6" s="4" t="s">
        <v>14</v>
      </c>
      <c r="B6" s="4"/>
      <c r="C6" s="4"/>
      <c r="D6" s="4"/>
      <c r="E6" s="4"/>
      <c r="F6" s="4"/>
      <c r="G6" s="4"/>
      <c r="H6" s="4"/>
      <c r="I6" s="4"/>
      <c r="J6" s="4"/>
      <c r="K6" s="4"/>
    </row>
    <row r="7" customFormat="false" ht="138.75" hidden="false" customHeight="true" outlineLevel="0" collapsed="false">
      <c r="A7" s="5" t="s">
        <v>15</v>
      </c>
      <c r="B7" s="5" t="s">
        <v>16</v>
      </c>
      <c r="C7" s="6" t="s">
        <v>17</v>
      </c>
      <c r="D7" s="6" t="s">
        <v>18</v>
      </c>
      <c r="E7" s="6" t="s">
        <v>19</v>
      </c>
      <c r="F7" s="6" t="s">
        <v>20</v>
      </c>
      <c r="G7" s="7" t="s">
        <v>21</v>
      </c>
      <c r="H7" s="6" t="s">
        <v>22</v>
      </c>
      <c r="I7" s="6"/>
      <c r="J7" s="6" t="s">
        <v>23</v>
      </c>
      <c r="K7" s="5" t="s">
        <v>16</v>
      </c>
    </row>
    <row r="8" customFormat="false" ht="179.25" hidden="false" customHeight="true" outlineLevel="0" collapsed="false">
      <c r="A8" s="5" t="s">
        <v>24</v>
      </c>
      <c r="B8" s="5" t="s">
        <v>16</v>
      </c>
      <c r="C8" s="6" t="s">
        <v>25</v>
      </c>
      <c r="D8" s="6" t="s">
        <v>26</v>
      </c>
      <c r="E8" s="6" t="s">
        <v>27</v>
      </c>
      <c r="F8" s="6" t="s">
        <v>28</v>
      </c>
      <c r="G8" s="8" t="s">
        <v>29</v>
      </c>
      <c r="H8" s="6" t="s">
        <v>30</v>
      </c>
      <c r="I8" s="6" t="s">
        <v>31</v>
      </c>
      <c r="J8" s="6"/>
      <c r="K8" s="5" t="s">
        <v>16</v>
      </c>
    </row>
    <row r="9" customFormat="false" ht="98.25" hidden="false" customHeight="true" outlineLevel="0" collapsed="false">
      <c r="A9" s="5" t="s">
        <v>32</v>
      </c>
      <c r="B9" s="5" t="s">
        <v>16</v>
      </c>
      <c r="C9" s="6" t="s">
        <v>33</v>
      </c>
      <c r="D9" s="6" t="s">
        <v>34</v>
      </c>
      <c r="E9" s="6" t="s">
        <v>35</v>
      </c>
      <c r="F9" s="6" t="s">
        <v>36</v>
      </c>
      <c r="G9" s="8" t="s">
        <v>29</v>
      </c>
      <c r="H9" s="6" t="s">
        <v>37</v>
      </c>
      <c r="I9" s="6"/>
      <c r="J9" s="6"/>
      <c r="K9" s="5" t="s">
        <v>16</v>
      </c>
    </row>
    <row r="10" customFormat="false" ht="17.25" hidden="false" customHeight="true" outlineLevel="0" collapsed="false">
      <c r="A10" s="4" t="s">
        <v>38</v>
      </c>
      <c r="B10" s="4"/>
      <c r="C10" s="4"/>
      <c r="D10" s="4"/>
      <c r="E10" s="4"/>
      <c r="F10" s="4"/>
      <c r="G10" s="4"/>
      <c r="H10" s="4"/>
      <c r="I10" s="4"/>
      <c r="J10" s="4"/>
      <c r="K10" s="4"/>
    </row>
    <row r="11" customFormat="false" ht="84.75" hidden="false" customHeight="true" outlineLevel="0" collapsed="false">
      <c r="A11" s="5" t="s">
        <v>39</v>
      </c>
      <c r="B11" s="5" t="s">
        <v>40</v>
      </c>
      <c r="C11" s="6" t="s">
        <v>41</v>
      </c>
      <c r="D11" s="6" t="s">
        <v>42</v>
      </c>
      <c r="E11" s="6" t="s">
        <v>43</v>
      </c>
      <c r="F11" s="6" t="s">
        <v>44</v>
      </c>
      <c r="G11" s="9" t="s">
        <v>45</v>
      </c>
      <c r="H11" s="6" t="s">
        <v>46</v>
      </c>
      <c r="I11" s="6"/>
      <c r="J11" s="6"/>
      <c r="K11" s="5" t="s">
        <v>16</v>
      </c>
    </row>
    <row r="12" customFormat="false" ht="98.25" hidden="false" customHeight="true" outlineLevel="0" collapsed="false">
      <c r="A12" s="5" t="s">
        <v>47</v>
      </c>
      <c r="B12" s="5" t="s">
        <v>40</v>
      </c>
      <c r="C12" s="6" t="s">
        <v>48</v>
      </c>
      <c r="D12" s="6" t="s">
        <v>49</v>
      </c>
      <c r="E12" s="6" t="s">
        <v>50</v>
      </c>
      <c r="F12" s="6" t="s">
        <v>51</v>
      </c>
      <c r="G12" s="8" t="s">
        <v>29</v>
      </c>
      <c r="H12" s="6" t="s">
        <v>52</v>
      </c>
      <c r="I12" s="6"/>
      <c r="J12" s="6"/>
      <c r="K12" s="5" t="s">
        <v>16</v>
      </c>
    </row>
    <row r="13" customFormat="false" ht="84.75" hidden="false" customHeight="true" outlineLevel="0" collapsed="false">
      <c r="A13" s="5" t="s">
        <v>53</v>
      </c>
      <c r="B13" s="5" t="s">
        <v>40</v>
      </c>
      <c r="C13" s="6" t="s">
        <v>48</v>
      </c>
      <c r="D13" s="6" t="s">
        <v>54</v>
      </c>
      <c r="E13" s="6" t="s">
        <v>55</v>
      </c>
      <c r="F13" s="6" t="s">
        <v>56</v>
      </c>
      <c r="G13" s="8" t="s">
        <v>29</v>
      </c>
      <c r="H13" s="6" t="s">
        <v>57</v>
      </c>
      <c r="I13" s="6"/>
      <c r="J13" s="6"/>
      <c r="K13" s="5" t="s">
        <v>40</v>
      </c>
    </row>
    <row r="14" customFormat="false" ht="165.75" hidden="false" customHeight="true" outlineLevel="0" collapsed="false">
      <c r="A14" s="5" t="s">
        <v>58</v>
      </c>
      <c r="B14" s="5" t="s">
        <v>40</v>
      </c>
      <c r="C14" s="6" t="s">
        <v>59</v>
      </c>
      <c r="D14" s="6" t="s">
        <v>60</v>
      </c>
      <c r="E14" s="6" t="s">
        <v>61</v>
      </c>
      <c r="F14" s="6" t="s">
        <v>62</v>
      </c>
      <c r="G14" s="7" t="s">
        <v>21</v>
      </c>
      <c r="H14" s="6" t="s">
        <v>63</v>
      </c>
      <c r="I14" s="6" t="s">
        <v>64</v>
      </c>
      <c r="J14" s="6"/>
      <c r="K14" s="5" t="s">
        <v>16</v>
      </c>
    </row>
    <row r="15" customFormat="false" ht="84.75" hidden="false" customHeight="true" outlineLevel="0" collapsed="false">
      <c r="A15" s="5" t="s">
        <v>65</v>
      </c>
      <c r="B15" s="5" t="s">
        <v>40</v>
      </c>
      <c r="C15" s="6" t="s">
        <v>48</v>
      </c>
      <c r="D15" s="6" t="s">
        <v>66</v>
      </c>
      <c r="E15" s="6" t="s">
        <v>67</v>
      </c>
      <c r="F15" s="6" t="s">
        <v>68</v>
      </c>
      <c r="G15" s="7" t="s">
        <v>21</v>
      </c>
      <c r="H15" s="6" t="s">
        <v>69</v>
      </c>
      <c r="I15" s="6"/>
      <c r="J15" s="6" t="s">
        <v>70</v>
      </c>
      <c r="K15" s="5" t="s">
        <v>16</v>
      </c>
    </row>
    <row r="16" customFormat="false" ht="125.25" hidden="false" customHeight="true" outlineLevel="0" collapsed="false">
      <c r="A16" s="5" t="s">
        <v>71</v>
      </c>
      <c r="B16" s="5" t="s">
        <v>40</v>
      </c>
      <c r="C16" s="6" t="s">
        <v>72</v>
      </c>
      <c r="D16" s="6" t="s">
        <v>73</v>
      </c>
      <c r="E16" s="6" t="s">
        <v>74</v>
      </c>
      <c r="F16" s="6" t="s">
        <v>75</v>
      </c>
      <c r="G16" s="7" t="s">
        <v>21</v>
      </c>
      <c r="H16" s="6" t="s">
        <v>76</v>
      </c>
      <c r="I16" s="6" t="s">
        <v>77</v>
      </c>
      <c r="J16" s="6"/>
      <c r="K16" s="5" t="s">
        <v>16</v>
      </c>
    </row>
    <row r="17" customFormat="false" ht="98.25" hidden="false" customHeight="true" outlineLevel="0" collapsed="false">
      <c r="A17" s="5" t="s">
        <v>78</v>
      </c>
      <c r="B17" s="5" t="s">
        <v>40</v>
      </c>
      <c r="C17" s="6" t="s">
        <v>79</v>
      </c>
      <c r="D17" s="6" t="s">
        <v>80</v>
      </c>
      <c r="E17" s="6" t="s">
        <v>81</v>
      </c>
      <c r="F17" s="6" t="s">
        <v>82</v>
      </c>
      <c r="G17" s="9" t="s">
        <v>45</v>
      </c>
      <c r="H17" s="6" t="s">
        <v>83</v>
      </c>
      <c r="I17" s="6"/>
      <c r="J17" s="6"/>
      <c r="K17" s="5" t="s">
        <v>16</v>
      </c>
    </row>
    <row r="18" customFormat="false" ht="138.75" hidden="false" customHeight="true" outlineLevel="0" collapsed="false">
      <c r="A18" s="5" t="s">
        <v>84</v>
      </c>
      <c r="B18" s="5" t="s">
        <v>40</v>
      </c>
      <c r="C18" s="6" t="s">
        <v>85</v>
      </c>
      <c r="D18" s="6" t="s">
        <v>86</v>
      </c>
      <c r="E18" s="6" t="s">
        <v>87</v>
      </c>
      <c r="F18" s="6" t="s">
        <v>88</v>
      </c>
      <c r="G18" s="7" t="s">
        <v>21</v>
      </c>
      <c r="H18" s="6" t="s">
        <v>89</v>
      </c>
      <c r="I18" s="6"/>
      <c r="J18" s="6"/>
      <c r="K18" s="5" t="s">
        <v>90</v>
      </c>
    </row>
    <row r="19" customFormat="false" ht="152.25" hidden="false" customHeight="true" outlineLevel="0" collapsed="false">
      <c r="A19" s="5" t="s">
        <v>91</v>
      </c>
      <c r="B19" s="5" t="s">
        <v>40</v>
      </c>
      <c r="C19" s="6" t="s">
        <v>92</v>
      </c>
      <c r="D19" s="6" t="s">
        <v>93</v>
      </c>
      <c r="E19" s="6" t="s">
        <v>94</v>
      </c>
      <c r="F19" s="6" t="s">
        <v>95</v>
      </c>
      <c r="G19" s="8" t="s">
        <v>29</v>
      </c>
      <c r="H19" s="6" t="s">
        <v>96</v>
      </c>
      <c r="I19" s="6"/>
      <c r="J19" s="6" t="s">
        <v>97</v>
      </c>
      <c r="K19" s="5" t="s">
        <v>90</v>
      </c>
    </row>
    <row r="20" customFormat="false" ht="17.25" hidden="false" customHeight="true" outlineLevel="0" collapsed="false">
      <c r="A20" s="4" t="s">
        <v>98</v>
      </c>
      <c r="B20" s="4"/>
      <c r="C20" s="4"/>
      <c r="D20" s="4"/>
      <c r="E20" s="4"/>
      <c r="F20" s="4"/>
      <c r="G20" s="4"/>
      <c r="H20" s="4"/>
      <c r="I20" s="4"/>
      <c r="J20" s="4"/>
      <c r="K20" s="4"/>
    </row>
    <row r="21" customFormat="false" ht="111.75" hidden="false" customHeight="true" outlineLevel="0" collapsed="false">
      <c r="A21" s="5" t="s">
        <v>99</v>
      </c>
      <c r="B21" s="5" t="s">
        <v>100</v>
      </c>
      <c r="C21" s="6" t="s">
        <v>101</v>
      </c>
      <c r="D21" s="6" t="s">
        <v>102</v>
      </c>
      <c r="E21" s="6" t="s">
        <v>103</v>
      </c>
      <c r="F21" s="6" t="s">
        <v>104</v>
      </c>
      <c r="G21" s="10" t="s">
        <v>105</v>
      </c>
      <c r="H21" s="6" t="s">
        <v>106</v>
      </c>
      <c r="I21" s="6"/>
      <c r="J21" s="6" t="s">
        <v>107</v>
      </c>
      <c r="K21" s="5" t="s">
        <v>108</v>
      </c>
    </row>
    <row r="22" customFormat="false" ht="152.25" hidden="false" customHeight="true" outlineLevel="0" collapsed="false">
      <c r="A22" s="5" t="s">
        <v>109</v>
      </c>
      <c r="B22" s="5" t="s">
        <v>100</v>
      </c>
      <c r="C22" s="6" t="s">
        <v>110</v>
      </c>
      <c r="D22" s="6" t="s">
        <v>111</v>
      </c>
      <c r="E22" s="6" t="s">
        <v>112</v>
      </c>
      <c r="F22" s="6" t="s">
        <v>113</v>
      </c>
      <c r="G22" s="11" t="s">
        <v>114</v>
      </c>
      <c r="H22" s="6" t="s">
        <v>115</v>
      </c>
      <c r="I22" s="6"/>
      <c r="J22" s="6"/>
      <c r="K22" s="5" t="s">
        <v>40</v>
      </c>
    </row>
    <row r="23" customFormat="false" ht="98.25" hidden="false" customHeight="true" outlineLevel="0" collapsed="false">
      <c r="A23" s="5" t="s">
        <v>116</v>
      </c>
      <c r="B23" s="5" t="s">
        <v>100</v>
      </c>
      <c r="C23" s="6" t="s">
        <v>110</v>
      </c>
      <c r="D23" s="6" t="s">
        <v>117</v>
      </c>
      <c r="E23" s="6" t="s">
        <v>118</v>
      </c>
      <c r="F23" s="6" t="s">
        <v>119</v>
      </c>
      <c r="G23" s="8" t="s">
        <v>29</v>
      </c>
      <c r="H23" s="6" t="s">
        <v>120</v>
      </c>
      <c r="I23" s="6"/>
      <c r="J23" s="6"/>
      <c r="K23" s="5" t="s">
        <v>90</v>
      </c>
    </row>
    <row r="24" customFormat="false" ht="98.25" hidden="false" customHeight="true" outlineLevel="0" collapsed="false">
      <c r="A24" s="5" t="s">
        <v>121</v>
      </c>
      <c r="B24" s="5" t="s">
        <v>100</v>
      </c>
      <c r="C24" s="6" t="s">
        <v>110</v>
      </c>
      <c r="D24" s="6" t="s">
        <v>122</v>
      </c>
      <c r="E24" s="6" t="s">
        <v>123</v>
      </c>
      <c r="F24" s="6" t="s">
        <v>124</v>
      </c>
      <c r="G24" s="11" t="s">
        <v>114</v>
      </c>
      <c r="H24" s="6" t="s">
        <v>125</v>
      </c>
      <c r="I24" s="6"/>
      <c r="J24" s="6"/>
      <c r="K24" s="5" t="s">
        <v>40</v>
      </c>
    </row>
    <row r="25" customFormat="false" ht="71.25" hidden="false" customHeight="true" outlineLevel="0" collapsed="false">
      <c r="A25" s="5" t="s">
        <v>126</v>
      </c>
      <c r="B25" s="5" t="s">
        <v>100</v>
      </c>
      <c r="C25" s="6" t="s">
        <v>110</v>
      </c>
      <c r="D25" s="6" t="s">
        <v>127</v>
      </c>
      <c r="E25" s="6" t="s">
        <v>128</v>
      </c>
      <c r="F25" s="6" t="s">
        <v>129</v>
      </c>
      <c r="G25" s="11" t="s">
        <v>114</v>
      </c>
      <c r="H25" s="6" t="s">
        <v>130</v>
      </c>
      <c r="I25" s="6"/>
      <c r="J25" s="6"/>
      <c r="K25" s="5" t="s">
        <v>40</v>
      </c>
    </row>
    <row r="26" customFormat="false" ht="98.25" hidden="false" customHeight="true" outlineLevel="0" collapsed="false">
      <c r="A26" s="5" t="s">
        <v>131</v>
      </c>
      <c r="B26" s="5" t="s">
        <v>100</v>
      </c>
      <c r="C26" s="6" t="s">
        <v>110</v>
      </c>
      <c r="D26" s="6" t="s">
        <v>132</v>
      </c>
      <c r="E26" s="6" t="s">
        <v>133</v>
      </c>
      <c r="F26" s="6" t="s">
        <v>134</v>
      </c>
      <c r="G26" s="8" t="s">
        <v>29</v>
      </c>
      <c r="H26" s="6" t="s">
        <v>135</v>
      </c>
      <c r="I26" s="6"/>
      <c r="J26" s="6"/>
      <c r="K26" s="5" t="s">
        <v>40</v>
      </c>
    </row>
    <row r="27" customFormat="false" ht="152.25" hidden="false" customHeight="true" outlineLevel="0" collapsed="false">
      <c r="A27" s="5" t="s">
        <v>136</v>
      </c>
      <c r="B27" s="5" t="s">
        <v>100</v>
      </c>
      <c r="C27" s="6" t="s">
        <v>137</v>
      </c>
      <c r="D27" s="6" t="s">
        <v>138</v>
      </c>
      <c r="E27" s="6" t="s">
        <v>139</v>
      </c>
      <c r="F27" s="6" t="s">
        <v>140</v>
      </c>
      <c r="G27" s="7" t="s">
        <v>21</v>
      </c>
      <c r="H27" s="6" t="s">
        <v>141</v>
      </c>
      <c r="I27" s="6"/>
      <c r="J27" s="6" t="s">
        <v>142</v>
      </c>
      <c r="K27" s="5" t="s">
        <v>143</v>
      </c>
    </row>
    <row r="28" customFormat="false" ht="111.75" hidden="false" customHeight="true" outlineLevel="0" collapsed="false">
      <c r="A28" s="5" t="s">
        <v>144</v>
      </c>
      <c r="B28" s="5" t="s">
        <v>100</v>
      </c>
      <c r="C28" s="6" t="s">
        <v>145</v>
      </c>
      <c r="D28" s="6" t="s">
        <v>146</v>
      </c>
      <c r="E28" s="6" t="s">
        <v>147</v>
      </c>
      <c r="F28" s="6" t="s">
        <v>148</v>
      </c>
      <c r="G28" s="8" t="s">
        <v>29</v>
      </c>
      <c r="H28" s="6" t="s">
        <v>149</v>
      </c>
      <c r="I28" s="6"/>
      <c r="J28" s="6"/>
      <c r="K28" s="5" t="s">
        <v>143</v>
      </c>
    </row>
    <row r="29" customFormat="false" ht="111.75" hidden="false" customHeight="true" outlineLevel="0" collapsed="false">
      <c r="A29" s="5" t="s">
        <v>150</v>
      </c>
      <c r="B29" s="5" t="s">
        <v>100</v>
      </c>
      <c r="C29" s="6" t="s">
        <v>145</v>
      </c>
      <c r="D29" s="6" t="s">
        <v>151</v>
      </c>
      <c r="E29" s="6" t="s">
        <v>152</v>
      </c>
      <c r="F29" s="6" t="s">
        <v>153</v>
      </c>
      <c r="G29" s="10" t="s">
        <v>105</v>
      </c>
      <c r="H29" s="6" t="s">
        <v>154</v>
      </c>
      <c r="I29" s="6"/>
      <c r="J29" s="6"/>
      <c r="K29" s="5" t="s">
        <v>143</v>
      </c>
    </row>
    <row r="30" customFormat="false" ht="71.25" hidden="false" customHeight="true" outlineLevel="0" collapsed="false">
      <c r="A30" s="5" t="s">
        <v>155</v>
      </c>
      <c r="B30" s="5" t="s">
        <v>100</v>
      </c>
      <c r="C30" s="6" t="s">
        <v>156</v>
      </c>
      <c r="D30" s="6" t="s">
        <v>157</v>
      </c>
      <c r="E30" s="6" t="s">
        <v>158</v>
      </c>
      <c r="F30" s="6" t="s">
        <v>159</v>
      </c>
      <c r="G30" s="7" t="s">
        <v>21</v>
      </c>
      <c r="H30" s="6" t="s">
        <v>160</v>
      </c>
      <c r="I30" s="6" t="s">
        <v>161</v>
      </c>
      <c r="J30" s="6"/>
      <c r="K30" s="5" t="s">
        <v>90</v>
      </c>
    </row>
    <row r="31" customFormat="false" ht="111.75" hidden="false" customHeight="true" outlineLevel="0" collapsed="false">
      <c r="A31" s="5" t="s">
        <v>162</v>
      </c>
      <c r="B31" s="5" t="s">
        <v>100</v>
      </c>
      <c r="C31" s="6" t="s">
        <v>163</v>
      </c>
      <c r="D31" s="6" t="s">
        <v>164</v>
      </c>
      <c r="E31" s="6" t="s">
        <v>165</v>
      </c>
      <c r="F31" s="6" t="s">
        <v>166</v>
      </c>
      <c r="G31" s="7" t="s">
        <v>21</v>
      </c>
      <c r="H31" s="6" t="s">
        <v>167</v>
      </c>
      <c r="I31" s="6"/>
      <c r="J31" s="6" t="s">
        <v>168</v>
      </c>
      <c r="K31" s="5" t="s">
        <v>90</v>
      </c>
    </row>
    <row r="32" customFormat="false" ht="125.25" hidden="false" customHeight="true" outlineLevel="0" collapsed="false">
      <c r="A32" s="5" t="s">
        <v>169</v>
      </c>
      <c r="B32" s="5" t="s">
        <v>100</v>
      </c>
      <c r="C32" s="6" t="s">
        <v>170</v>
      </c>
      <c r="D32" s="6" t="s">
        <v>171</v>
      </c>
      <c r="E32" s="6" t="s">
        <v>172</v>
      </c>
      <c r="F32" s="6" t="s">
        <v>173</v>
      </c>
      <c r="G32" s="7" t="s">
        <v>21</v>
      </c>
      <c r="H32" s="6" t="s">
        <v>174</v>
      </c>
      <c r="I32" s="6"/>
      <c r="J32" s="6"/>
      <c r="K32" s="5" t="s">
        <v>40</v>
      </c>
    </row>
    <row r="33" customFormat="false" ht="17.25" hidden="false" customHeight="true" outlineLevel="0" collapsed="false">
      <c r="A33" s="4" t="s">
        <v>175</v>
      </c>
      <c r="B33" s="4"/>
      <c r="C33" s="4"/>
      <c r="D33" s="4"/>
      <c r="E33" s="4"/>
      <c r="F33" s="4"/>
      <c r="G33" s="4"/>
      <c r="H33" s="4"/>
      <c r="I33" s="4"/>
      <c r="J33" s="4"/>
      <c r="K33" s="4"/>
    </row>
    <row r="34" customFormat="false" ht="125.25" hidden="false" customHeight="true" outlineLevel="0" collapsed="false">
      <c r="A34" s="5" t="s">
        <v>176</v>
      </c>
      <c r="B34" s="5" t="s">
        <v>177</v>
      </c>
      <c r="C34" s="6" t="s">
        <v>178</v>
      </c>
      <c r="D34" s="6" t="s">
        <v>179</v>
      </c>
      <c r="E34" s="6" t="s">
        <v>180</v>
      </c>
      <c r="F34" s="6" t="s">
        <v>181</v>
      </c>
      <c r="G34" s="7" t="s">
        <v>21</v>
      </c>
      <c r="H34" s="6" t="s">
        <v>182</v>
      </c>
      <c r="I34" s="6"/>
      <c r="J34" s="6"/>
      <c r="K34" s="5" t="s">
        <v>16</v>
      </c>
    </row>
    <row r="35" customFormat="false" ht="152.25" hidden="false" customHeight="true" outlineLevel="0" collapsed="false">
      <c r="A35" s="5" t="s">
        <v>183</v>
      </c>
      <c r="B35" s="5" t="s">
        <v>177</v>
      </c>
      <c r="C35" s="6" t="s">
        <v>184</v>
      </c>
      <c r="D35" s="6" t="s">
        <v>185</v>
      </c>
      <c r="E35" s="6" t="s">
        <v>186</v>
      </c>
      <c r="F35" s="6" t="s">
        <v>187</v>
      </c>
      <c r="G35" s="7" t="s">
        <v>21</v>
      </c>
      <c r="H35" s="6" t="s">
        <v>188</v>
      </c>
      <c r="I35" s="6"/>
      <c r="J35" s="6"/>
      <c r="K35" s="5" t="s">
        <v>16</v>
      </c>
    </row>
    <row r="36" customFormat="false" ht="152.25" hidden="false" customHeight="true" outlineLevel="0" collapsed="false">
      <c r="A36" s="5" t="s">
        <v>189</v>
      </c>
      <c r="B36" s="5" t="s">
        <v>177</v>
      </c>
      <c r="C36" s="6" t="s">
        <v>184</v>
      </c>
      <c r="D36" s="6" t="s">
        <v>190</v>
      </c>
      <c r="E36" s="6" t="s">
        <v>191</v>
      </c>
      <c r="F36" s="6" t="s">
        <v>192</v>
      </c>
      <c r="G36" s="7" t="s">
        <v>21</v>
      </c>
      <c r="H36" s="6" t="s">
        <v>193</v>
      </c>
      <c r="I36" s="6"/>
      <c r="J36" s="6"/>
      <c r="K36" s="5" t="s">
        <v>16</v>
      </c>
    </row>
    <row r="37" customFormat="false" ht="30.75" hidden="false" customHeight="true" outlineLevel="0" collapsed="false">
      <c r="A37" s="5" t="s">
        <v>194</v>
      </c>
      <c r="B37" s="5" t="s">
        <v>177</v>
      </c>
      <c r="C37" s="6" t="s">
        <v>195</v>
      </c>
      <c r="D37" s="6" t="s">
        <v>196</v>
      </c>
      <c r="E37" s="6" t="s">
        <v>197</v>
      </c>
      <c r="F37" s="6" t="s">
        <v>198</v>
      </c>
      <c r="G37" s="9" t="s">
        <v>45</v>
      </c>
      <c r="H37" s="6" t="s">
        <v>83</v>
      </c>
      <c r="I37" s="6"/>
      <c r="J37" s="6"/>
      <c r="K37" s="5" t="s">
        <v>16</v>
      </c>
    </row>
    <row r="38" customFormat="false" ht="17.25" hidden="false" customHeight="true" outlineLevel="0" collapsed="false">
      <c r="A38" s="4" t="s">
        <v>199</v>
      </c>
      <c r="B38" s="4"/>
      <c r="C38" s="4"/>
      <c r="D38" s="4"/>
      <c r="E38" s="4"/>
      <c r="F38" s="4"/>
      <c r="G38" s="4"/>
      <c r="H38" s="4"/>
      <c r="I38" s="4"/>
      <c r="J38" s="4"/>
      <c r="K38" s="4"/>
    </row>
    <row r="39" customFormat="false" ht="165.75" hidden="false" customHeight="true" outlineLevel="0" collapsed="false">
      <c r="A39" s="5" t="s">
        <v>200</v>
      </c>
      <c r="B39" s="5" t="s">
        <v>90</v>
      </c>
      <c r="C39" s="6" t="s">
        <v>201</v>
      </c>
      <c r="D39" s="6" t="s">
        <v>202</v>
      </c>
      <c r="E39" s="6" t="s">
        <v>203</v>
      </c>
      <c r="F39" s="6" t="s">
        <v>204</v>
      </c>
      <c r="G39" s="8" t="s">
        <v>29</v>
      </c>
      <c r="H39" s="6" t="s">
        <v>205</v>
      </c>
      <c r="I39" s="6"/>
      <c r="J39" s="6"/>
      <c r="K39" s="5" t="s">
        <v>16</v>
      </c>
    </row>
    <row r="40" customFormat="false" ht="84.75" hidden="false" customHeight="true" outlineLevel="0" collapsed="false">
      <c r="A40" s="5" t="s">
        <v>206</v>
      </c>
      <c r="B40" s="5" t="s">
        <v>90</v>
      </c>
      <c r="C40" s="6" t="s">
        <v>207</v>
      </c>
      <c r="D40" s="6" t="s">
        <v>208</v>
      </c>
      <c r="E40" s="6" t="s">
        <v>209</v>
      </c>
      <c r="F40" s="6" t="s">
        <v>210</v>
      </c>
      <c r="G40" s="10" t="s">
        <v>105</v>
      </c>
      <c r="H40" s="6" t="s">
        <v>211</v>
      </c>
      <c r="I40" s="6"/>
      <c r="J40" s="6" t="s">
        <v>212</v>
      </c>
      <c r="K40" s="5" t="s">
        <v>16</v>
      </c>
    </row>
    <row r="41" customFormat="false" ht="138.75" hidden="false" customHeight="true" outlineLevel="0" collapsed="false">
      <c r="A41" s="5" t="s">
        <v>213</v>
      </c>
      <c r="B41" s="5" t="s">
        <v>90</v>
      </c>
      <c r="C41" s="6" t="s">
        <v>214</v>
      </c>
      <c r="D41" s="6" t="s">
        <v>215</v>
      </c>
      <c r="E41" s="6" t="s">
        <v>216</v>
      </c>
      <c r="F41" s="6" t="s">
        <v>217</v>
      </c>
      <c r="G41" s="8" t="s">
        <v>29</v>
      </c>
      <c r="H41" s="6" t="s">
        <v>218</v>
      </c>
      <c r="I41" s="6"/>
      <c r="J41" s="6"/>
      <c r="K41" s="5" t="s">
        <v>219</v>
      </c>
    </row>
    <row r="42" customFormat="false" ht="111.75" hidden="false" customHeight="true" outlineLevel="0" collapsed="false">
      <c r="A42" s="5" t="s">
        <v>220</v>
      </c>
      <c r="B42" s="5" t="s">
        <v>90</v>
      </c>
      <c r="C42" s="6" t="s">
        <v>221</v>
      </c>
      <c r="D42" s="6" t="s">
        <v>222</v>
      </c>
      <c r="E42" s="6" t="s">
        <v>223</v>
      </c>
      <c r="F42" s="6" t="s">
        <v>224</v>
      </c>
      <c r="G42" s="8" t="s">
        <v>29</v>
      </c>
      <c r="H42" s="6" t="s">
        <v>225</v>
      </c>
      <c r="I42" s="6"/>
      <c r="J42" s="6"/>
      <c r="K42" s="5" t="s">
        <v>40</v>
      </c>
    </row>
    <row r="43" customFormat="false" ht="98.25" hidden="false" customHeight="true" outlineLevel="0" collapsed="false">
      <c r="A43" s="5" t="s">
        <v>226</v>
      </c>
      <c r="B43" s="5" t="s">
        <v>90</v>
      </c>
      <c r="C43" s="6" t="s">
        <v>227</v>
      </c>
      <c r="D43" s="6" t="s">
        <v>228</v>
      </c>
      <c r="E43" s="6" t="s">
        <v>229</v>
      </c>
      <c r="F43" s="6" t="s">
        <v>230</v>
      </c>
      <c r="G43" s="8" t="s">
        <v>29</v>
      </c>
      <c r="H43" s="6" t="s">
        <v>231</v>
      </c>
      <c r="I43" s="6"/>
      <c r="J43" s="6"/>
      <c r="K43" s="5" t="s">
        <v>143</v>
      </c>
    </row>
    <row r="44" customFormat="false" ht="138.75" hidden="false" customHeight="true" outlineLevel="0" collapsed="false">
      <c r="A44" s="5" t="s">
        <v>232</v>
      </c>
      <c r="B44" s="5" t="s">
        <v>90</v>
      </c>
      <c r="C44" s="6" t="s">
        <v>227</v>
      </c>
      <c r="D44" s="6" t="s">
        <v>233</v>
      </c>
      <c r="E44" s="6" t="s">
        <v>234</v>
      </c>
      <c r="F44" s="6" t="s">
        <v>235</v>
      </c>
      <c r="G44" s="8" t="s">
        <v>29</v>
      </c>
      <c r="H44" s="6" t="s">
        <v>236</v>
      </c>
      <c r="I44" s="6"/>
      <c r="J44" s="6"/>
      <c r="K44" s="5" t="s">
        <v>237</v>
      </c>
    </row>
    <row r="45" customFormat="false" ht="138.75" hidden="false" customHeight="true" outlineLevel="0" collapsed="false">
      <c r="A45" s="5" t="s">
        <v>238</v>
      </c>
      <c r="B45" s="5" t="s">
        <v>90</v>
      </c>
      <c r="C45" s="6" t="s">
        <v>227</v>
      </c>
      <c r="D45" s="6" t="s">
        <v>239</v>
      </c>
      <c r="E45" s="6" t="s">
        <v>240</v>
      </c>
      <c r="F45" s="6" t="s">
        <v>241</v>
      </c>
      <c r="G45" s="10" t="s">
        <v>105</v>
      </c>
      <c r="H45" s="6" t="s">
        <v>242</v>
      </c>
      <c r="I45" s="6"/>
      <c r="J45" s="6"/>
      <c r="K45" s="5" t="s">
        <v>219</v>
      </c>
    </row>
    <row r="46" customFormat="false" ht="44.25" hidden="false" customHeight="true" outlineLevel="0" collapsed="false">
      <c r="A46" s="5" t="s">
        <v>243</v>
      </c>
      <c r="B46" s="5" t="s">
        <v>90</v>
      </c>
      <c r="C46" s="6" t="s">
        <v>227</v>
      </c>
      <c r="D46" s="6" t="s">
        <v>244</v>
      </c>
      <c r="E46" s="6" t="s">
        <v>245</v>
      </c>
      <c r="F46" s="6" t="s">
        <v>246</v>
      </c>
      <c r="G46" s="7" t="s">
        <v>21</v>
      </c>
      <c r="H46" s="6" t="s">
        <v>247</v>
      </c>
      <c r="I46" s="6"/>
      <c r="J46" s="6"/>
      <c r="K46" s="5" t="s">
        <v>177</v>
      </c>
    </row>
    <row r="47" customFormat="false" ht="98.25" hidden="false" customHeight="true" outlineLevel="0" collapsed="false">
      <c r="A47" s="5" t="s">
        <v>248</v>
      </c>
      <c r="B47" s="5" t="s">
        <v>90</v>
      </c>
      <c r="C47" s="6" t="s">
        <v>249</v>
      </c>
      <c r="D47" s="6" t="s">
        <v>250</v>
      </c>
      <c r="E47" s="6" t="s">
        <v>251</v>
      </c>
      <c r="F47" s="6" t="s">
        <v>252</v>
      </c>
      <c r="G47" s="8" t="s">
        <v>29</v>
      </c>
      <c r="H47" s="6" t="s">
        <v>253</v>
      </c>
      <c r="I47" s="6"/>
      <c r="J47" s="6"/>
      <c r="K47" s="5" t="s">
        <v>16</v>
      </c>
    </row>
    <row r="48" customFormat="false" ht="111.75" hidden="false" customHeight="true" outlineLevel="0" collapsed="false">
      <c r="A48" s="5" t="s">
        <v>254</v>
      </c>
      <c r="B48" s="5" t="s">
        <v>90</v>
      </c>
      <c r="C48" s="6" t="s">
        <v>255</v>
      </c>
      <c r="D48" s="6" t="s">
        <v>256</v>
      </c>
      <c r="E48" s="6" t="s">
        <v>257</v>
      </c>
      <c r="F48" s="6" t="s">
        <v>258</v>
      </c>
      <c r="G48" s="8" t="s">
        <v>29</v>
      </c>
      <c r="H48" s="6" t="s">
        <v>259</v>
      </c>
      <c r="I48" s="6"/>
      <c r="J48" s="6"/>
      <c r="K48" s="5" t="s">
        <v>90</v>
      </c>
    </row>
    <row r="49" customFormat="false" ht="111.75" hidden="false" customHeight="true" outlineLevel="0" collapsed="false">
      <c r="A49" s="5" t="s">
        <v>260</v>
      </c>
      <c r="B49" s="5" t="s">
        <v>90</v>
      </c>
      <c r="C49" s="6" t="s">
        <v>261</v>
      </c>
      <c r="D49" s="6" t="s">
        <v>262</v>
      </c>
      <c r="E49" s="6" t="s">
        <v>263</v>
      </c>
      <c r="F49" s="6" t="s">
        <v>264</v>
      </c>
      <c r="G49" s="8" t="s">
        <v>29</v>
      </c>
      <c r="H49" s="6" t="s">
        <v>265</v>
      </c>
      <c r="I49" s="6"/>
      <c r="J49" s="6"/>
      <c r="K49" s="5" t="s">
        <v>16</v>
      </c>
    </row>
    <row r="50" customFormat="false" ht="125.25" hidden="false" customHeight="true" outlineLevel="0" collapsed="false">
      <c r="A50" s="5" t="s">
        <v>266</v>
      </c>
      <c r="B50" s="5" t="s">
        <v>90</v>
      </c>
      <c r="C50" s="6" t="s">
        <v>267</v>
      </c>
      <c r="D50" s="6" t="s">
        <v>268</v>
      </c>
      <c r="E50" s="6" t="s">
        <v>269</v>
      </c>
      <c r="F50" s="6" t="s">
        <v>270</v>
      </c>
      <c r="G50" s="8" t="s">
        <v>29</v>
      </c>
      <c r="H50" s="6" t="s">
        <v>271</v>
      </c>
      <c r="I50" s="6"/>
      <c r="J50" s="6"/>
      <c r="K50" s="5" t="s">
        <v>16</v>
      </c>
    </row>
    <row r="51" customFormat="false" ht="17.25" hidden="false" customHeight="true" outlineLevel="0" collapsed="false">
      <c r="A51" s="4" t="s">
        <v>272</v>
      </c>
      <c r="B51" s="4"/>
      <c r="C51" s="4"/>
      <c r="D51" s="4"/>
      <c r="E51" s="4"/>
      <c r="F51" s="4"/>
      <c r="G51" s="4"/>
      <c r="H51" s="4"/>
      <c r="I51" s="4"/>
      <c r="J51" s="4"/>
      <c r="K51" s="4"/>
    </row>
    <row r="52" customFormat="false" ht="125.25" hidden="false" customHeight="true" outlineLevel="0" collapsed="false">
      <c r="A52" s="5" t="s">
        <v>273</v>
      </c>
      <c r="B52" s="5" t="s">
        <v>143</v>
      </c>
      <c r="C52" s="6" t="s">
        <v>274</v>
      </c>
      <c r="D52" s="6" t="s">
        <v>275</v>
      </c>
      <c r="E52" s="6" t="s">
        <v>276</v>
      </c>
      <c r="F52" s="6" t="s">
        <v>277</v>
      </c>
      <c r="G52" s="8" t="s">
        <v>29</v>
      </c>
      <c r="H52" s="6" t="s">
        <v>278</v>
      </c>
      <c r="I52" s="6"/>
      <c r="J52" s="6" t="s">
        <v>279</v>
      </c>
      <c r="K52" s="5" t="s">
        <v>90</v>
      </c>
    </row>
    <row r="53" customFormat="false" ht="260.25" hidden="false" customHeight="true" outlineLevel="0" collapsed="false">
      <c r="A53" s="5" t="s">
        <v>280</v>
      </c>
      <c r="B53" s="5" t="s">
        <v>143</v>
      </c>
      <c r="C53" s="6" t="s">
        <v>281</v>
      </c>
      <c r="D53" s="6" t="s">
        <v>282</v>
      </c>
      <c r="E53" s="6" t="s">
        <v>283</v>
      </c>
      <c r="F53" s="6" t="s">
        <v>284</v>
      </c>
      <c r="G53" s="7" t="s">
        <v>21</v>
      </c>
      <c r="H53" s="6" t="s">
        <v>285</v>
      </c>
      <c r="I53" s="6"/>
      <c r="J53" s="6"/>
      <c r="K53" s="5" t="s">
        <v>100</v>
      </c>
    </row>
    <row r="54" customFormat="false" ht="71.25" hidden="false" customHeight="true" outlineLevel="0" collapsed="false">
      <c r="A54" s="5" t="s">
        <v>286</v>
      </c>
      <c r="B54" s="5" t="s">
        <v>143</v>
      </c>
      <c r="C54" s="6" t="s">
        <v>287</v>
      </c>
      <c r="D54" s="6" t="s">
        <v>288</v>
      </c>
      <c r="E54" s="6" t="s">
        <v>289</v>
      </c>
      <c r="F54" s="6" t="s">
        <v>290</v>
      </c>
      <c r="G54" s="9" t="s">
        <v>45</v>
      </c>
      <c r="H54" s="6" t="s">
        <v>291</v>
      </c>
      <c r="I54" s="6"/>
      <c r="J54" s="6"/>
      <c r="K54" s="5" t="s">
        <v>40</v>
      </c>
    </row>
    <row r="55" customFormat="false" ht="192.75" hidden="false" customHeight="true" outlineLevel="0" collapsed="false">
      <c r="A55" s="5" t="s">
        <v>292</v>
      </c>
      <c r="B55" s="5" t="s">
        <v>143</v>
      </c>
      <c r="C55" s="6" t="s">
        <v>287</v>
      </c>
      <c r="D55" s="6" t="s">
        <v>293</v>
      </c>
      <c r="E55" s="6" t="s">
        <v>294</v>
      </c>
      <c r="F55" s="6" t="s">
        <v>295</v>
      </c>
      <c r="G55" s="7" t="s">
        <v>21</v>
      </c>
      <c r="H55" s="6" t="s">
        <v>296</v>
      </c>
      <c r="I55" s="6"/>
      <c r="J55" s="6"/>
      <c r="K55" s="5" t="s">
        <v>100</v>
      </c>
    </row>
    <row r="56" customFormat="false" ht="98.25" hidden="false" customHeight="true" outlineLevel="0" collapsed="false">
      <c r="A56" s="5" t="s">
        <v>297</v>
      </c>
      <c r="B56" s="5" t="s">
        <v>143</v>
      </c>
      <c r="C56" s="6" t="s">
        <v>287</v>
      </c>
      <c r="D56" s="6" t="s">
        <v>298</v>
      </c>
      <c r="E56" s="6" t="s">
        <v>299</v>
      </c>
      <c r="F56" s="6" t="s">
        <v>300</v>
      </c>
      <c r="G56" s="7" t="s">
        <v>21</v>
      </c>
      <c r="H56" s="6" t="s">
        <v>301</v>
      </c>
      <c r="I56" s="6"/>
      <c r="J56" s="6"/>
      <c r="K56" s="5" t="s">
        <v>100</v>
      </c>
    </row>
    <row r="57" customFormat="false" ht="246.75" hidden="false" customHeight="true" outlineLevel="0" collapsed="false">
      <c r="A57" s="5" t="s">
        <v>302</v>
      </c>
      <c r="B57" s="5" t="s">
        <v>143</v>
      </c>
      <c r="C57" s="6" t="s">
        <v>303</v>
      </c>
      <c r="D57" s="6" t="s">
        <v>304</v>
      </c>
      <c r="E57" s="6" t="s">
        <v>305</v>
      </c>
      <c r="F57" s="6" t="s">
        <v>306</v>
      </c>
      <c r="G57" s="8" t="s">
        <v>29</v>
      </c>
      <c r="H57" s="6" t="s">
        <v>307</v>
      </c>
      <c r="I57" s="6"/>
      <c r="J57" s="6"/>
      <c r="K57" s="5" t="s">
        <v>40</v>
      </c>
    </row>
    <row r="58" customFormat="false" ht="260.25" hidden="false" customHeight="true" outlineLevel="0" collapsed="false">
      <c r="A58" s="5" t="s">
        <v>308</v>
      </c>
      <c r="B58" s="5" t="s">
        <v>143</v>
      </c>
      <c r="C58" s="6" t="s">
        <v>309</v>
      </c>
      <c r="D58" s="6" t="s">
        <v>310</v>
      </c>
      <c r="E58" s="6" t="s">
        <v>311</v>
      </c>
      <c r="F58" s="6" t="s">
        <v>312</v>
      </c>
      <c r="G58" s="8" t="s">
        <v>29</v>
      </c>
      <c r="H58" s="6" t="s">
        <v>313</v>
      </c>
      <c r="I58" s="6" t="s">
        <v>314</v>
      </c>
      <c r="J58" s="6"/>
      <c r="K58" s="5" t="s">
        <v>100</v>
      </c>
    </row>
    <row r="59" customFormat="false" ht="219.75" hidden="false" customHeight="true" outlineLevel="0" collapsed="false">
      <c r="A59" s="5" t="s">
        <v>315</v>
      </c>
      <c r="B59" s="5" t="s">
        <v>143</v>
      </c>
      <c r="C59" s="6" t="s">
        <v>316</v>
      </c>
      <c r="D59" s="6" t="s">
        <v>317</v>
      </c>
      <c r="E59" s="6" t="s">
        <v>318</v>
      </c>
      <c r="F59" s="6" t="s">
        <v>319</v>
      </c>
      <c r="G59" s="7" t="s">
        <v>21</v>
      </c>
      <c r="H59" s="6" t="s">
        <v>320</v>
      </c>
      <c r="I59" s="6"/>
      <c r="J59" s="6" t="s">
        <v>321</v>
      </c>
      <c r="K59" s="5" t="s">
        <v>90</v>
      </c>
    </row>
    <row r="60" customFormat="false" ht="71.25" hidden="false" customHeight="true" outlineLevel="0" collapsed="false">
      <c r="A60" s="5" t="s">
        <v>322</v>
      </c>
      <c r="B60" s="5" t="s">
        <v>143</v>
      </c>
      <c r="C60" s="6" t="s">
        <v>316</v>
      </c>
      <c r="D60" s="6" t="s">
        <v>323</v>
      </c>
      <c r="E60" s="6" t="s">
        <v>324</v>
      </c>
      <c r="F60" s="6" t="s">
        <v>325</v>
      </c>
      <c r="G60" s="7" t="s">
        <v>21</v>
      </c>
      <c r="H60" s="6" t="s">
        <v>326</v>
      </c>
      <c r="I60" s="6" t="s">
        <v>327</v>
      </c>
      <c r="J60" s="6"/>
      <c r="K60" s="5" t="s">
        <v>90</v>
      </c>
    </row>
    <row r="61" customFormat="false" ht="152.25" hidden="false" customHeight="true" outlineLevel="0" collapsed="false">
      <c r="A61" s="5" t="s">
        <v>328</v>
      </c>
      <c r="B61" s="5" t="s">
        <v>143</v>
      </c>
      <c r="C61" s="6" t="s">
        <v>329</v>
      </c>
      <c r="D61" s="6" t="s">
        <v>330</v>
      </c>
      <c r="E61" s="6" t="s">
        <v>331</v>
      </c>
      <c r="F61" s="6" t="s">
        <v>332</v>
      </c>
      <c r="G61" s="8" t="s">
        <v>29</v>
      </c>
      <c r="H61" s="6" t="s">
        <v>333</v>
      </c>
      <c r="I61" s="6"/>
      <c r="J61" s="6"/>
      <c r="K61" s="5" t="s">
        <v>90</v>
      </c>
    </row>
    <row r="62" customFormat="false" ht="44.25" hidden="false" customHeight="true" outlineLevel="0" collapsed="false">
      <c r="A62" s="5" t="s">
        <v>334</v>
      </c>
      <c r="B62" s="5" t="s">
        <v>143</v>
      </c>
      <c r="C62" s="6" t="s">
        <v>329</v>
      </c>
      <c r="D62" s="6" t="s">
        <v>335</v>
      </c>
      <c r="E62" s="6" t="s">
        <v>336</v>
      </c>
      <c r="F62" s="6" t="s">
        <v>337</v>
      </c>
      <c r="G62" s="9" t="s">
        <v>45</v>
      </c>
      <c r="H62" s="6" t="s">
        <v>83</v>
      </c>
      <c r="I62" s="6"/>
      <c r="J62" s="6"/>
      <c r="K62" s="5" t="s">
        <v>90</v>
      </c>
    </row>
    <row r="63" customFormat="false" ht="138.75" hidden="false" customHeight="true" outlineLevel="0" collapsed="false">
      <c r="A63" s="5" t="s">
        <v>338</v>
      </c>
      <c r="B63" s="5" t="s">
        <v>143</v>
      </c>
      <c r="C63" s="6" t="s">
        <v>329</v>
      </c>
      <c r="D63" s="6" t="s">
        <v>339</v>
      </c>
      <c r="E63" s="6" t="s">
        <v>340</v>
      </c>
      <c r="F63" s="6" t="s">
        <v>341</v>
      </c>
      <c r="G63" s="8" t="s">
        <v>29</v>
      </c>
      <c r="H63" s="6" t="s">
        <v>342</v>
      </c>
      <c r="I63" s="6"/>
      <c r="J63" s="6" t="s">
        <v>343</v>
      </c>
      <c r="K63" s="5" t="s">
        <v>90</v>
      </c>
    </row>
    <row r="64" customFormat="false" ht="111.75" hidden="false" customHeight="true" outlineLevel="0" collapsed="false">
      <c r="A64" s="5" t="s">
        <v>344</v>
      </c>
      <c r="B64" s="5" t="s">
        <v>143</v>
      </c>
      <c r="C64" s="6" t="s">
        <v>345</v>
      </c>
      <c r="D64" s="6" t="s">
        <v>346</v>
      </c>
      <c r="E64" s="6" t="s">
        <v>347</v>
      </c>
      <c r="F64" s="6" t="s">
        <v>348</v>
      </c>
      <c r="G64" s="10" t="s">
        <v>105</v>
      </c>
      <c r="H64" s="6" t="s">
        <v>349</v>
      </c>
      <c r="I64" s="6"/>
      <c r="J64" s="6" t="s">
        <v>350</v>
      </c>
      <c r="K64" s="5" t="s">
        <v>90</v>
      </c>
    </row>
    <row r="65" customFormat="false" ht="152.25" hidden="false" customHeight="true" outlineLevel="0" collapsed="false">
      <c r="A65" s="5" t="s">
        <v>351</v>
      </c>
      <c r="B65" s="5" t="s">
        <v>143</v>
      </c>
      <c r="C65" s="6" t="s">
        <v>352</v>
      </c>
      <c r="D65" s="6" t="s">
        <v>353</v>
      </c>
      <c r="E65" s="6" t="s">
        <v>354</v>
      </c>
      <c r="F65" s="6" t="s">
        <v>355</v>
      </c>
      <c r="G65" s="10" t="s">
        <v>105</v>
      </c>
      <c r="H65" s="6" t="s">
        <v>356</v>
      </c>
      <c r="I65" s="6" t="s">
        <v>357</v>
      </c>
      <c r="J65" s="6"/>
      <c r="K65" s="5" t="s">
        <v>40</v>
      </c>
    </row>
    <row r="66" customFormat="false" ht="138.75" hidden="false" customHeight="true" outlineLevel="0" collapsed="false">
      <c r="A66" s="5" t="s">
        <v>358</v>
      </c>
      <c r="B66" s="5" t="s">
        <v>143</v>
      </c>
      <c r="C66" s="6" t="s">
        <v>352</v>
      </c>
      <c r="D66" s="6" t="s">
        <v>359</v>
      </c>
      <c r="E66" s="6" t="s">
        <v>360</v>
      </c>
      <c r="F66" s="6" t="s">
        <v>361</v>
      </c>
      <c r="G66" s="8" t="s">
        <v>29</v>
      </c>
      <c r="H66" s="6" t="s">
        <v>362</v>
      </c>
      <c r="I66" s="6"/>
      <c r="J66" s="6" t="s">
        <v>363</v>
      </c>
      <c r="K66" s="5" t="s">
        <v>237</v>
      </c>
    </row>
    <row r="67" customFormat="false" ht="260.25" hidden="false" customHeight="true" outlineLevel="0" collapsed="false">
      <c r="A67" s="5" t="s">
        <v>364</v>
      </c>
      <c r="B67" s="5" t="s">
        <v>143</v>
      </c>
      <c r="C67" s="6" t="s">
        <v>365</v>
      </c>
      <c r="D67" s="6" t="s">
        <v>366</v>
      </c>
      <c r="E67" s="6" t="s">
        <v>367</v>
      </c>
      <c r="F67" s="6" t="s">
        <v>368</v>
      </c>
      <c r="G67" s="7" t="s">
        <v>21</v>
      </c>
      <c r="H67" s="6" t="s">
        <v>369</v>
      </c>
      <c r="I67" s="6"/>
      <c r="J67" s="6" t="s">
        <v>370</v>
      </c>
      <c r="K67" s="5" t="s">
        <v>237</v>
      </c>
    </row>
    <row r="68" customFormat="false" ht="84.75" hidden="false" customHeight="true" outlineLevel="0" collapsed="false">
      <c r="A68" s="5" t="s">
        <v>371</v>
      </c>
      <c r="B68" s="5" t="s">
        <v>143</v>
      </c>
      <c r="C68" s="6" t="s">
        <v>365</v>
      </c>
      <c r="D68" s="6" t="s">
        <v>372</v>
      </c>
      <c r="E68" s="6" t="s">
        <v>373</v>
      </c>
      <c r="F68" s="6" t="s">
        <v>374</v>
      </c>
      <c r="G68" s="11" t="s">
        <v>114</v>
      </c>
      <c r="H68" s="6" t="s">
        <v>375</v>
      </c>
      <c r="I68" s="6"/>
      <c r="J68" s="6" t="s">
        <v>376</v>
      </c>
      <c r="K68" s="5" t="s">
        <v>237</v>
      </c>
    </row>
    <row r="69" customFormat="false" ht="98.25" hidden="false" customHeight="true" outlineLevel="0" collapsed="false">
      <c r="A69" s="5" t="s">
        <v>377</v>
      </c>
      <c r="B69" s="5" t="s">
        <v>143</v>
      </c>
      <c r="C69" s="6" t="s">
        <v>378</v>
      </c>
      <c r="D69" s="6" t="s">
        <v>379</v>
      </c>
      <c r="E69" s="6" t="s">
        <v>380</v>
      </c>
      <c r="F69" s="6" t="s">
        <v>381</v>
      </c>
      <c r="G69" s="11" t="s">
        <v>114</v>
      </c>
      <c r="H69" s="6" t="s">
        <v>382</v>
      </c>
      <c r="I69" s="6" t="s">
        <v>383</v>
      </c>
      <c r="J69" s="6"/>
      <c r="K69" s="5" t="s">
        <v>237</v>
      </c>
    </row>
    <row r="70" customFormat="false" ht="111.75" hidden="false" customHeight="true" outlineLevel="0" collapsed="false">
      <c r="A70" s="5" t="s">
        <v>384</v>
      </c>
      <c r="B70" s="5" t="s">
        <v>143</v>
      </c>
      <c r="C70" s="6" t="s">
        <v>385</v>
      </c>
      <c r="D70" s="6" t="s">
        <v>386</v>
      </c>
      <c r="E70" s="6" t="s">
        <v>387</v>
      </c>
      <c r="F70" s="6" t="s">
        <v>388</v>
      </c>
      <c r="G70" s="11" t="s">
        <v>114</v>
      </c>
      <c r="H70" s="6" t="s">
        <v>389</v>
      </c>
      <c r="I70" s="6"/>
      <c r="J70" s="6" t="s">
        <v>390</v>
      </c>
      <c r="K70" s="5" t="s">
        <v>237</v>
      </c>
    </row>
    <row r="71" customFormat="false" ht="17.25" hidden="false" customHeight="true" outlineLevel="0" collapsed="false">
      <c r="A71" s="4" t="s">
        <v>391</v>
      </c>
      <c r="B71" s="4"/>
      <c r="C71" s="4"/>
      <c r="D71" s="4"/>
      <c r="E71" s="4"/>
      <c r="F71" s="4"/>
      <c r="G71" s="4"/>
      <c r="H71" s="4"/>
      <c r="I71" s="4"/>
      <c r="J71" s="4"/>
      <c r="K71" s="4"/>
    </row>
    <row r="72" customFormat="false" ht="111.75" hidden="false" customHeight="true" outlineLevel="0" collapsed="false">
      <c r="A72" s="5" t="s">
        <v>392</v>
      </c>
      <c r="B72" s="5" t="s">
        <v>393</v>
      </c>
      <c r="C72" s="6" t="s">
        <v>394</v>
      </c>
      <c r="D72" s="6" t="s">
        <v>395</v>
      </c>
      <c r="E72" s="6" t="s">
        <v>396</v>
      </c>
      <c r="F72" s="6" t="s">
        <v>397</v>
      </c>
      <c r="G72" s="8" t="s">
        <v>29</v>
      </c>
      <c r="H72" s="6" t="s">
        <v>398</v>
      </c>
      <c r="I72" s="6"/>
      <c r="J72" s="6"/>
      <c r="K72" s="5" t="s">
        <v>16</v>
      </c>
    </row>
    <row r="73" customFormat="false" ht="71.25" hidden="false" customHeight="true" outlineLevel="0" collapsed="false">
      <c r="A73" s="5" t="s">
        <v>399</v>
      </c>
      <c r="B73" s="5" t="s">
        <v>393</v>
      </c>
      <c r="C73" s="6" t="s">
        <v>400</v>
      </c>
      <c r="D73" s="6" t="s">
        <v>401</v>
      </c>
      <c r="E73" s="6" t="s">
        <v>402</v>
      </c>
      <c r="F73" s="6" t="s">
        <v>403</v>
      </c>
      <c r="G73" s="10" t="s">
        <v>105</v>
      </c>
      <c r="H73" s="6" t="s">
        <v>404</v>
      </c>
      <c r="I73" s="6"/>
      <c r="J73" s="6" t="s">
        <v>107</v>
      </c>
      <c r="K73" s="5" t="s">
        <v>108</v>
      </c>
    </row>
    <row r="74" customFormat="false" ht="84.75" hidden="false" customHeight="true" outlineLevel="0" collapsed="false">
      <c r="A74" s="5" t="s">
        <v>405</v>
      </c>
      <c r="B74" s="5" t="s">
        <v>393</v>
      </c>
      <c r="C74" s="6" t="s">
        <v>406</v>
      </c>
      <c r="D74" s="6" t="s">
        <v>407</v>
      </c>
      <c r="E74" s="6" t="s">
        <v>408</v>
      </c>
      <c r="F74" s="6" t="s">
        <v>409</v>
      </c>
      <c r="G74" s="7" t="s">
        <v>21</v>
      </c>
      <c r="H74" s="6" t="s">
        <v>410</v>
      </c>
      <c r="I74" s="6"/>
      <c r="J74" s="6" t="s">
        <v>411</v>
      </c>
      <c r="K74" s="5" t="s">
        <v>16</v>
      </c>
    </row>
    <row r="75" customFormat="false" ht="233.25" hidden="false" customHeight="true" outlineLevel="0" collapsed="false">
      <c r="A75" s="5" t="s">
        <v>412</v>
      </c>
      <c r="B75" s="5" t="s">
        <v>393</v>
      </c>
      <c r="C75" s="6" t="s">
        <v>413</v>
      </c>
      <c r="D75" s="6" t="s">
        <v>414</v>
      </c>
      <c r="E75" s="6" t="s">
        <v>415</v>
      </c>
      <c r="F75" s="6" t="s">
        <v>416</v>
      </c>
      <c r="G75" s="8" t="s">
        <v>29</v>
      </c>
      <c r="H75" s="6" t="s">
        <v>417</v>
      </c>
      <c r="I75" s="6"/>
      <c r="J75" s="6"/>
      <c r="K75" s="5" t="s">
        <v>16</v>
      </c>
    </row>
    <row r="76" customFormat="false" ht="71.25" hidden="false" customHeight="true" outlineLevel="0" collapsed="false">
      <c r="A76" s="5" t="s">
        <v>418</v>
      </c>
      <c r="B76" s="5" t="s">
        <v>393</v>
      </c>
      <c r="C76" s="6" t="s">
        <v>419</v>
      </c>
      <c r="D76" s="6" t="s">
        <v>420</v>
      </c>
      <c r="E76" s="6" t="s">
        <v>421</v>
      </c>
      <c r="F76" s="6" t="s">
        <v>422</v>
      </c>
      <c r="G76" s="11" t="s">
        <v>114</v>
      </c>
      <c r="H76" s="6" t="s">
        <v>423</v>
      </c>
      <c r="I76" s="6"/>
      <c r="J76" s="6"/>
      <c r="K76" s="5" t="s">
        <v>40</v>
      </c>
    </row>
    <row r="77" customFormat="false" ht="192.75" hidden="false" customHeight="true" outlineLevel="0" collapsed="false">
      <c r="A77" s="5" t="s">
        <v>424</v>
      </c>
      <c r="B77" s="5" t="s">
        <v>393</v>
      </c>
      <c r="C77" s="6" t="s">
        <v>425</v>
      </c>
      <c r="D77" s="6" t="s">
        <v>426</v>
      </c>
      <c r="E77" s="6" t="s">
        <v>427</v>
      </c>
      <c r="F77" s="6" t="s">
        <v>428</v>
      </c>
      <c r="G77" s="7" t="s">
        <v>21</v>
      </c>
      <c r="H77" s="6" t="s">
        <v>429</v>
      </c>
      <c r="I77" s="6" t="s">
        <v>430</v>
      </c>
      <c r="J77" s="6"/>
      <c r="K77" s="5" t="s">
        <v>16</v>
      </c>
    </row>
    <row r="78" customFormat="false" ht="138.75" hidden="false" customHeight="true" outlineLevel="0" collapsed="false">
      <c r="A78" s="5" t="s">
        <v>431</v>
      </c>
      <c r="B78" s="5" t="s">
        <v>393</v>
      </c>
      <c r="C78" s="6" t="s">
        <v>432</v>
      </c>
      <c r="D78" s="6" t="s">
        <v>433</v>
      </c>
      <c r="E78" s="6" t="s">
        <v>434</v>
      </c>
      <c r="F78" s="6" t="s">
        <v>435</v>
      </c>
      <c r="G78" s="8" t="s">
        <v>29</v>
      </c>
      <c r="H78" s="6" t="s">
        <v>436</v>
      </c>
      <c r="I78" s="6"/>
      <c r="J78" s="6"/>
      <c r="K78" s="5" t="s">
        <v>16</v>
      </c>
    </row>
    <row r="79" customFormat="false" ht="98.25" hidden="false" customHeight="true" outlineLevel="0" collapsed="false">
      <c r="A79" s="5" t="s">
        <v>437</v>
      </c>
      <c r="B79" s="5" t="s">
        <v>393</v>
      </c>
      <c r="C79" s="6" t="s">
        <v>438</v>
      </c>
      <c r="D79" s="6" t="s">
        <v>439</v>
      </c>
      <c r="E79" s="6" t="s">
        <v>440</v>
      </c>
      <c r="F79" s="6" t="s">
        <v>441</v>
      </c>
      <c r="G79" s="7" t="s">
        <v>21</v>
      </c>
      <c r="H79" s="6" t="s">
        <v>442</v>
      </c>
      <c r="I79" s="6" t="s">
        <v>443</v>
      </c>
      <c r="J79" s="6"/>
      <c r="K79" s="5" t="s">
        <v>16</v>
      </c>
    </row>
    <row r="80" customFormat="false" ht="98.25" hidden="false" customHeight="true" outlineLevel="0" collapsed="false">
      <c r="A80" s="5" t="s">
        <v>444</v>
      </c>
      <c r="B80" s="5" t="s">
        <v>393</v>
      </c>
      <c r="C80" s="6" t="s">
        <v>445</v>
      </c>
      <c r="D80" s="6" t="s">
        <v>446</v>
      </c>
      <c r="E80" s="6" t="s">
        <v>447</v>
      </c>
      <c r="F80" s="6" t="s">
        <v>448</v>
      </c>
      <c r="G80" s="9" t="s">
        <v>45</v>
      </c>
      <c r="H80" s="6" t="s">
        <v>449</v>
      </c>
      <c r="I80" s="6"/>
      <c r="J80" s="6"/>
      <c r="K80" s="5" t="s">
        <v>16</v>
      </c>
    </row>
    <row r="82" customFormat="false" ht="30" hidden="false" customHeight="true" outlineLevel="0" collapsed="false">
      <c r="A82" s="2" t="s">
        <v>450</v>
      </c>
      <c r="B82" s="2"/>
      <c r="C82" s="2"/>
      <c r="D82" s="2"/>
      <c r="E82" s="2"/>
      <c r="F82" s="2"/>
      <c r="G82" s="2"/>
      <c r="H82" s="2"/>
      <c r="I82" s="2"/>
      <c r="J82" s="2"/>
      <c r="K82" s="2"/>
    </row>
  </sheetData>
  <autoFilter ref="A5:K80"/>
  <mergeCells count="10">
    <mergeCell ref="A2:K2"/>
    <mergeCell ref="A3:K3"/>
    <mergeCell ref="A6:K6"/>
    <mergeCell ref="A10:K10"/>
    <mergeCell ref="A20:K20"/>
    <mergeCell ref="A33:K33"/>
    <mergeCell ref="A38:K38"/>
    <mergeCell ref="A51:K51"/>
    <mergeCell ref="A71:K71"/>
    <mergeCell ref="A82:K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80"/>
    <col collapsed="false" customWidth="true" hidden="false" outlineLevel="0" max="4" min="4" style="0" width="44"/>
    <col collapsed="false" customWidth="true" hidden="false" outlineLevel="0" max="5" min="5" style="0" width="26"/>
    <col collapsed="false" customWidth="true" hidden="false" outlineLevel="0" max="6" min="6" style="0" width="10"/>
  </cols>
  <sheetData>
    <row r="1" customFormat="false" ht="15" hidden="false" customHeight="false" outlineLevel="0" collapsed="false">
      <c r="A1" s="1" t="s">
        <v>451</v>
      </c>
    </row>
    <row r="2" customFormat="false" ht="70.5" hidden="false" customHeight="true" outlineLevel="0" collapsed="false">
      <c r="A2" s="2" t="s">
        <v>452</v>
      </c>
      <c r="B2" s="2"/>
      <c r="C2" s="2"/>
      <c r="D2" s="2"/>
      <c r="E2" s="2"/>
      <c r="F2" s="2"/>
    </row>
    <row r="4" customFormat="false" ht="36" hidden="false" customHeight="true" outlineLevel="0" collapsed="false">
      <c r="A4" s="3" t="s">
        <v>3</v>
      </c>
      <c r="B4" s="3" t="s">
        <v>13</v>
      </c>
      <c r="C4" s="3" t="s">
        <v>453</v>
      </c>
      <c r="D4" s="3" t="s">
        <v>454</v>
      </c>
      <c r="E4" s="3" t="s">
        <v>455</v>
      </c>
      <c r="F4" s="3" t="s">
        <v>456</v>
      </c>
    </row>
    <row r="5" customFormat="false" ht="138.75" hidden="false" customHeight="true" outlineLevel="0" collapsed="false">
      <c r="A5" s="5" t="s">
        <v>16</v>
      </c>
      <c r="B5" s="6" t="s">
        <v>457</v>
      </c>
      <c r="C5" s="6" t="s">
        <v>458</v>
      </c>
      <c r="D5" s="6" t="s">
        <v>459</v>
      </c>
      <c r="E5" s="6" t="s">
        <v>460</v>
      </c>
      <c r="F5" s="5" t="n">
        <f aca="false">COUNTIF(Verdicts!$K$6:$K$80,A5&amp;"")</f>
        <v>25</v>
      </c>
    </row>
    <row r="6" customFormat="false" ht="125.25" hidden="false" customHeight="true" outlineLevel="0" collapsed="false">
      <c r="A6" s="5" t="s">
        <v>40</v>
      </c>
      <c r="B6" s="6" t="s">
        <v>461</v>
      </c>
      <c r="C6" s="6" t="s">
        <v>462</v>
      </c>
      <c r="D6" s="6" t="s">
        <v>463</v>
      </c>
      <c r="E6" s="6" t="s">
        <v>464</v>
      </c>
      <c r="F6" s="5" t="n">
        <f aca="false">COUNTIF(Verdicts!$K$6:$K$80,A6&amp;"")</f>
        <v>11</v>
      </c>
    </row>
    <row r="7" customFormat="false" ht="192.75" hidden="false" customHeight="true" outlineLevel="0" collapsed="false">
      <c r="A7" s="5" t="s">
        <v>100</v>
      </c>
      <c r="B7" s="6" t="s">
        <v>465</v>
      </c>
      <c r="C7" s="6" t="s">
        <v>466</v>
      </c>
      <c r="D7" s="6" t="s">
        <v>467</v>
      </c>
      <c r="E7" s="6" t="s">
        <v>468</v>
      </c>
      <c r="F7" s="5" t="n">
        <f aca="false">COUNTIF(Verdicts!$K$6:$K$80,A7&amp;"")</f>
        <v>4</v>
      </c>
    </row>
    <row r="8" customFormat="false" ht="71.25" hidden="false" customHeight="true" outlineLevel="0" collapsed="false">
      <c r="A8" s="5" t="s">
        <v>177</v>
      </c>
      <c r="B8" s="6" t="s">
        <v>469</v>
      </c>
      <c r="C8" s="6" t="s">
        <v>470</v>
      </c>
      <c r="D8" s="6" t="s">
        <v>471</v>
      </c>
      <c r="E8" s="6" t="s">
        <v>243</v>
      </c>
      <c r="F8" s="5" t="n">
        <f aca="false">COUNTIF(Verdicts!$K$6:$K$80,A8&amp;"")</f>
        <v>1</v>
      </c>
    </row>
    <row r="9" customFormat="false" ht="233.25" hidden="false" customHeight="true" outlineLevel="0" collapsed="false">
      <c r="A9" s="5" t="s">
        <v>90</v>
      </c>
      <c r="B9" s="6" t="s">
        <v>472</v>
      </c>
      <c r="C9" s="6" t="s">
        <v>473</v>
      </c>
      <c r="D9" s="6" t="s">
        <v>474</v>
      </c>
      <c r="E9" s="6" t="s">
        <v>475</v>
      </c>
      <c r="F9" s="5" t="n">
        <f aca="false">COUNTIF(Verdicts!$K$6:$K$80,A9&amp;"")</f>
        <v>13</v>
      </c>
    </row>
    <row r="10" customFormat="false" ht="98.25" hidden="false" customHeight="true" outlineLevel="0" collapsed="false">
      <c r="A10" s="5" t="s">
        <v>143</v>
      </c>
      <c r="B10" s="6" t="s">
        <v>476</v>
      </c>
      <c r="C10" s="6" t="s">
        <v>477</v>
      </c>
      <c r="D10" s="6" t="s">
        <v>478</v>
      </c>
      <c r="E10" s="6" t="s">
        <v>479</v>
      </c>
      <c r="F10" s="5" t="n">
        <f aca="false">COUNTIF(Verdicts!$K$6:$K$80,A10&amp;"")</f>
        <v>4</v>
      </c>
    </row>
    <row r="11" customFormat="false" ht="98.25" hidden="false" customHeight="true" outlineLevel="0" collapsed="false">
      <c r="A11" s="5" t="s">
        <v>219</v>
      </c>
      <c r="B11" s="6" t="s">
        <v>480</v>
      </c>
      <c r="C11" s="6" t="s">
        <v>481</v>
      </c>
      <c r="D11" s="6" t="s">
        <v>482</v>
      </c>
      <c r="E11" s="6" t="s">
        <v>483</v>
      </c>
      <c r="F11" s="5" t="n">
        <f aca="false">COUNTIF(Verdicts!$K$6:$K$80,A11&amp;"")</f>
        <v>2</v>
      </c>
    </row>
    <row r="12" customFormat="false" ht="165.75" hidden="false" customHeight="true" outlineLevel="0" collapsed="false">
      <c r="A12" s="5" t="s">
        <v>237</v>
      </c>
      <c r="B12" s="6" t="s">
        <v>484</v>
      </c>
      <c r="C12" s="6" t="s">
        <v>485</v>
      </c>
      <c r="D12" s="6" t="s">
        <v>486</v>
      </c>
      <c r="E12" s="6" t="s">
        <v>487</v>
      </c>
      <c r="F12" s="5" t="n">
        <f aca="false">COUNTIF(Verdicts!$K$6:$K$80,A12&amp;"")</f>
        <v>6</v>
      </c>
    </row>
    <row r="13" customFormat="false" ht="71.25" hidden="false" customHeight="true" outlineLevel="0" collapsed="false">
      <c r="A13" s="5" t="s">
        <v>108</v>
      </c>
      <c r="B13" s="6" t="s">
        <v>488</v>
      </c>
      <c r="C13" s="6" t="s">
        <v>489</v>
      </c>
      <c r="D13" s="6" t="s">
        <v>490</v>
      </c>
      <c r="E13" s="6" t="s">
        <v>491</v>
      </c>
      <c r="F13" s="5" t="n">
        <f aca="false">COUNTIF(Verdicts!$K$6:$K$80,A13&amp;"")</f>
        <v>2</v>
      </c>
    </row>
    <row r="14" customFormat="false" ht="15" hidden="false" customHeight="false" outlineLevel="0" collapsed="false">
      <c r="E14" s="12" t="s">
        <v>492</v>
      </c>
      <c r="F14" s="12" t="n">
        <f aca="false">SUM(F5:F13)</f>
        <v>68</v>
      </c>
    </row>
    <row r="16" customFormat="false" ht="43.5" hidden="false" customHeight="true" outlineLevel="0" collapsed="false">
      <c r="A16" s="2" t="s">
        <v>493</v>
      </c>
      <c r="B16" s="2"/>
      <c r="C16" s="2"/>
      <c r="D16" s="2"/>
      <c r="E16" s="2"/>
      <c r="F16" s="2"/>
    </row>
  </sheetData>
  <mergeCells count="2">
    <mergeCell ref="A2:F2"/>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6"/>
    <col collapsed="false" customWidth="true" hidden="false" outlineLevel="0" max="4" min="4" style="0" width="11"/>
    <col collapsed="false" customWidth="true" hidden="false" outlineLevel="0" max="5" min="5" style="0" width="14"/>
    <col collapsed="false" customWidth="true" hidden="false" outlineLevel="0" max="6" min="6" style="0" width="13"/>
    <col collapsed="false" customWidth="true" hidden="false" outlineLevel="0" max="7" min="7" style="0" width="11"/>
    <col collapsed="false" customWidth="true" hidden="false" outlineLevel="0" max="9" min="8" style="0" width="13"/>
  </cols>
  <sheetData>
    <row r="1" customFormat="false" ht="15" hidden="false" customHeight="false" outlineLevel="0" collapsed="false">
      <c r="A1" s="1" t="s">
        <v>494</v>
      </c>
    </row>
    <row r="2" customFormat="false" ht="30" hidden="false" customHeight="true" outlineLevel="0" collapsed="false">
      <c r="A2" s="2" t="s">
        <v>495</v>
      </c>
      <c r="B2" s="2"/>
      <c r="C2" s="2"/>
      <c r="D2" s="2"/>
      <c r="E2" s="2"/>
      <c r="F2" s="2"/>
      <c r="G2" s="2"/>
      <c r="H2" s="2"/>
    </row>
    <row r="4" customFormat="false" ht="36" hidden="false" customHeight="true" outlineLevel="0" collapsed="false">
      <c r="A4" s="3" t="s">
        <v>4</v>
      </c>
      <c r="B4" s="3" t="s">
        <v>45</v>
      </c>
      <c r="C4" s="3" t="s">
        <v>21</v>
      </c>
      <c r="D4" s="3" t="s">
        <v>29</v>
      </c>
      <c r="E4" s="3" t="s">
        <v>105</v>
      </c>
      <c r="F4" s="3" t="s">
        <v>114</v>
      </c>
      <c r="G4" s="3" t="s">
        <v>496</v>
      </c>
      <c r="H4" s="3" t="s">
        <v>497</v>
      </c>
      <c r="I4" s="3" t="s">
        <v>498</v>
      </c>
    </row>
    <row r="5" customFormat="false" ht="15" hidden="false" customHeight="false" outlineLevel="0" collapsed="false">
      <c r="A5" s="6" t="s">
        <v>14</v>
      </c>
      <c r="B5" s="5" t="n">
        <f aca="false">COUNTIFS(Verdicts!$B$6:$B$80,"0",Verdicts!$G$6:$G$80,"Holds")</f>
        <v>0</v>
      </c>
      <c r="C5" s="5" t="n">
        <f aca="false">COUNTIFS(Verdicts!$B$6:$B$80,"0",Verdicts!$G$6:$G$80,"Holds with new wording")</f>
        <v>1</v>
      </c>
      <c r="D5" s="5" t="n">
        <f aca="false">COUNTIFS(Verdicts!$B$6:$B$80,"0",Verdicts!$G$6:$G$80,"Revise")</f>
        <v>2</v>
      </c>
      <c r="E5" s="5" t="n">
        <f aca="false">COUNTIFS(Verdicts!$B$6:$B$80,"0",Verdicts!$G$6:$G$80,"Not supported")</f>
        <v>0</v>
      </c>
      <c r="F5" s="5" t="n">
        <f aca="false">COUNTIFS(Verdicts!$B$6:$B$80,"0",Verdicts!$G$6:$G$80,"Not checked")</f>
        <v>0</v>
      </c>
      <c r="G5" s="5" t="n">
        <f aca="false">COUNTIF(Verdicts!$B$6:$B$80,"0")</f>
        <v>3</v>
      </c>
      <c r="H5" s="5" t="n">
        <f aca="false">COUNTIFS(Verdicts!$B$6:$B$80,"0",Verdicts!$I$6:$I$80,"&lt;&gt;")</f>
        <v>1</v>
      </c>
      <c r="I5" s="5" t="n">
        <f aca="false">COUNTIFS(Verdicts!$B$6:$B$80,"0",Verdicts!$J$6:$J$80,"&lt;&gt;")</f>
        <v>1</v>
      </c>
    </row>
    <row r="6" customFormat="false" ht="15" hidden="false" customHeight="false" outlineLevel="0" collapsed="false">
      <c r="A6" s="6" t="s">
        <v>38</v>
      </c>
      <c r="B6" s="5" t="n">
        <f aca="false">COUNTIFS(Verdicts!$B$6:$B$80,"1",Verdicts!$G$6:$G$80,"Holds")</f>
        <v>2</v>
      </c>
      <c r="C6" s="5" t="n">
        <f aca="false">COUNTIFS(Verdicts!$B$6:$B$80,"1",Verdicts!$G$6:$G$80,"Holds with new wording")</f>
        <v>4</v>
      </c>
      <c r="D6" s="5" t="n">
        <f aca="false">COUNTIFS(Verdicts!$B$6:$B$80,"1",Verdicts!$G$6:$G$80,"Revise")</f>
        <v>3</v>
      </c>
      <c r="E6" s="5" t="n">
        <f aca="false">COUNTIFS(Verdicts!$B$6:$B$80,"1",Verdicts!$G$6:$G$80,"Not supported")</f>
        <v>0</v>
      </c>
      <c r="F6" s="5" t="n">
        <f aca="false">COUNTIFS(Verdicts!$B$6:$B$80,"1",Verdicts!$G$6:$G$80,"Not checked")</f>
        <v>0</v>
      </c>
      <c r="G6" s="5" t="n">
        <f aca="false">COUNTIF(Verdicts!$B$6:$B$80,"1")</f>
        <v>9</v>
      </c>
      <c r="H6" s="5" t="n">
        <f aca="false">COUNTIFS(Verdicts!$B$6:$B$80,"1",Verdicts!$I$6:$I$80,"&lt;&gt;")</f>
        <v>2</v>
      </c>
      <c r="I6" s="5" t="n">
        <f aca="false">COUNTIFS(Verdicts!$B$6:$B$80,"1",Verdicts!$J$6:$J$80,"&lt;&gt;")</f>
        <v>2</v>
      </c>
    </row>
    <row r="7" customFormat="false" ht="15" hidden="false" customHeight="false" outlineLevel="0" collapsed="false">
      <c r="A7" s="6" t="s">
        <v>98</v>
      </c>
      <c r="B7" s="5" t="n">
        <f aca="false">COUNTIFS(Verdicts!$B$6:$B$80,"2",Verdicts!$G$6:$G$80,"Holds")</f>
        <v>0</v>
      </c>
      <c r="C7" s="5" t="n">
        <f aca="false">COUNTIFS(Verdicts!$B$6:$B$80,"2",Verdicts!$G$6:$G$80,"Holds with new wording")</f>
        <v>4</v>
      </c>
      <c r="D7" s="5" t="n">
        <f aca="false">COUNTIFS(Verdicts!$B$6:$B$80,"2",Verdicts!$G$6:$G$80,"Revise")</f>
        <v>3</v>
      </c>
      <c r="E7" s="5" t="n">
        <f aca="false">COUNTIFS(Verdicts!$B$6:$B$80,"2",Verdicts!$G$6:$G$80,"Not supported")</f>
        <v>2</v>
      </c>
      <c r="F7" s="5" t="n">
        <f aca="false">COUNTIFS(Verdicts!$B$6:$B$80,"2",Verdicts!$G$6:$G$80,"Not checked")</f>
        <v>3</v>
      </c>
      <c r="G7" s="5" t="n">
        <f aca="false">COUNTIF(Verdicts!$B$6:$B$80,"2")</f>
        <v>12</v>
      </c>
      <c r="H7" s="5" t="n">
        <f aca="false">COUNTIFS(Verdicts!$B$6:$B$80,"2",Verdicts!$I$6:$I$80,"&lt;&gt;")</f>
        <v>1</v>
      </c>
      <c r="I7" s="5" t="n">
        <f aca="false">COUNTIFS(Verdicts!$B$6:$B$80,"2",Verdicts!$J$6:$J$80,"&lt;&gt;")</f>
        <v>3</v>
      </c>
    </row>
    <row r="8" customFormat="false" ht="15" hidden="false" customHeight="false" outlineLevel="0" collapsed="false">
      <c r="A8" s="6" t="s">
        <v>175</v>
      </c>
      <c r="B8" s="5" t="n">
        <f aca="false">COUNTIFS(Verdicts!$B$6:$B$80,"3",Verdicts!$G$6:$G$80,"Holds")</f>
        <v>1</v>
      </c>
      <c r="C8" s="5" t="n">
        <f aca="false">COUNTIFS(Verdicts!$B$6:$B$80,"3",Verdicts!$G$6:$G$80,"Holds with new wording")</f>
        <v>3</v>
      </c>
      <c r="D8" s="5" t="n">
        <f aca="false">COUNTIFS(Verdicts!$B$6:$B$80,"3",Verdicts!$G$6:$G$80,"Revise")</f>
        <v>0</v>
      </c>
      <c r="E8" s="5" t="n">
        <f aca="false">COUNTIFS(Verdicts!$B$6:$B$80,"3",Verdicts!$G$6:$G$80,"Not supported")</f>
        <v>0</v>
      </c>
      <c r="F8" s="5" t="n">
        <f aca="false">COUNTIFS(Verdicts!$B$6:$B$80,"3",Verdicts!$G$6:$G$80,"Not checked")</f>
        <v>0</v>
      </c>
      <c r="G8" s="5" t="n">
        <f aca="false">COUNTIF(Verdicts!$B$6:$B$80,"3")</f>
        <v>4</v>
      </c>
      <c r="H8" s="5" t="n">
        <f aca="false">COUNTIFS(Verdicts!$B$6:$B$80,"3",Verdicts!$I$6:$I$80,"&lt;&gt;")</f>
        <v>0</v>
      </c>
      <c r="I8" s="5" t="n">
        <f aca="false">COUNTIFS(Verdicts!$B$6:$B$80,"3",Verdicts!$J$6:$J$80,"&lt;&gt;")</f>
        <v>0</v>
      </c>
    </row>
    <row r="9" customFormat="false" ht="15" hidden="false" customHeight="false" outlineLevel="0" collapsed="false">
      <c r="A9" s="6" t="s">
        <v>199</v>
      </c>
      <c r="B9" s="5" t="n">
        <f aca="false">COUNTIFS(Verdicts!$B$6:$B$80,"4",Verdicts!$G$6:$G$80,"Holds")</f>
        <v>0</v>
      </c>
      <c r="C9" s="5" t="n">
        <f aca="false">COUNTIFS(Verdicts!$B$6:$B$80,"4",Verdicts!$G$6:$G$80,"Holds with new wording")</f>
        <v>1</v>
      </c>
      <c r="D9" s="5" t="n">
        <f aca="false">COUNTIFS(Verdicts!$B$6:$B$80,"4",Verdicts!$G$6:$G$80,"Revise")</f>
        <v>9</v>
      </c>
      <c r="E9" s="5" t="n">
        <f aca="false">COUNTIFS(Verdicts!$B$6:$B$80,"4",Verdicts!$G$6:$G$80,"Not supported")</f>
        <v>2</v>
      </c>
      <c r="F9" s="5" t="n">
        <f aca="false">COUNTIFS(Verdicts!$B$6:$B$80,"4",Verdicts!$G$6:$G$80,"Not checked")</f>
        <v>0</v>
      </c>
      <c r="G9" s="5" t="n">
        <f aca="false">COUNTIF(Verdicts!$B$6:$B$80,"4")</f>
        <v>12</v>
      </c>
      <c r="H9" s="5" t="n">
        <f aca="false">COUNTIFS(Verdicts!$B$6:$B$80,"4",Verdicts!$I$6:$I$80,"&lt;&gt;")</f>
        <v>0</v>
      </c>
      <c r="I9" s="5" t="n">
        <f aca="false">COUNTIFS(Verdicts!$B$6:$B$80,"4",Verdicts!$J$6:$J$80,"&lt;&gt;")</f>
        <v>1</v>
      </c>
    </row>
    <row r="10" customFormat="false" ht="15" hidden="false" customHeight="false" outlineLevel="0" collapsed="false">
      <c r="A10" s="6" t="s">
        <v>272</v>
      </c>
      <c r="B10" s="5" t="n">
        <f aca="false">COUNTIFS(Verdicts!$B$6:$B$80,"5",Verdicts!$G$6:$G$80,"Holds")</f>
        <v>2</v>
      </c>
      <c r="C10" s="5" t="n">
        <f aca="false">COUNTIFS(Verdicts!$B$6:$B$80,"5",Verdicts!$G$6:$G$80,"Holds with new wording")</f>
        <v>6</v>
      </c>
      <c r="D10" s="5" t="n">
        <f aca="false">COUNTIFS(Verdicts!$B$6:$B$80,"5",Verdicts!$G$6:$G$80,"Revise")</f>
        <v>6</v>
      </c>
      <c r="E10" s="5" t="n">
        <f aca="false">COUNTIFS(Verdicts!$B$6:$B$80,"5",Verdicts!$G$6:$G$80,"Not supported")</f>
        <v>2</v>
      </c>
      <c r="F10" s="5" t="n">
        <f aca="false">COUNTIFS(Verdicts!$B$6:$B$80,"5",Verdicts!$G$6:$G$80,"Not checked")</f>
        <v>3</v>
      </c>
      <c r="G10" s="5" t="n">
        <f aca="false">COUNTIF(Verdicts!$B$6:$B$80,"5")</f>
        <v>19</v>
      </c>
      <c r="H10" s="5" t="n">
        <f aca="false">COUNTIFS(Verdicts!$B$6:$B$80,"5",Verdicts!$I$6:$I$80,"&lt;&gt;")</f>
        <v>4</v>
      </c>
      <c r="I10" s="5" t="n">
        <f aca="false">COUNTIFS(Verdicts!$B$6:$B$80,"5",Verdicts!$J$6:$J$80,"&lt;&gt;")</f>
        <v>8</v>
      </c>
    </row>
    <row r="11" customFormat="false" ht="15" hidden="false" customHeight="false" outlineLevel="0" collapsed="false">
      <c r="A11" s="6" t="s">
        <v>391</v>
      </c>
      <c r="B11" s="5" t="n">
        <f aca="false">COUNTIFS(Verdicts!$B$6:$B$80,"M",Verdicts!$G$6:$G$80,"Holds")</f>
        <v>1</v>
      </c>
      <c r="C11" s="5" t="n">
        <f aca="false">COUNTIFS(Verdicts!$B$6:$B$80,"M",Verdicts!$G$6:$G$80,"Holds with new wording")</f>
        <v>3</v>
      </c>
      <c r="D11" s="5" t="n">
        <f aca="false">COUNTIFS(Verdicts!$B$6:$B$80,"M",Verdicts!$G$6:$G$80,"Revise")</f>
        <v>3</v>
      </c>
      <c r="E11" s="5" t="n">
        <f aca="false">COUNTIFS(Verdicts!$B$6:$B$80,"M",Verdicts!$G$6:$G$80,"Not supported")</f>
        <v>1</v>
      </c>
      <c r="F11" s="5" t="n">
        <f aca="false">COUNTIFS(Verdicts!$B$6:$B$80,"M",Verdicts!$G$6:$G$80,"Not checked")</f>
        <v>1</v>
      </c>
      <c r="G11" s="5" t="n">
        <f aca="false">COUNTIF(Verdicts!$B$6:$B$80,"M")</f>
        <v>9</v>
      </c>
      <c r="H11" s="5" t="n">
        <f aca="false">COUNTIFS(Verdicts!$B$6:$B$80,"M",Verdicts!$I$6:$I$80,"&lt;&gt;")</f>
        <v>2</v>
      </c>
      <c r="I11" s="5" t="n">
        <f aca="false">COUNTIFS(Verdicts!$B$6:$B$80,"M",Verdicts!$J$6:$J$80,"&lt;&gt;")</f>
        <v>2</v>
      </c>
    </row>
    <row r="12" customFormat="false" ht="15" hidden="false" customHeight="false" outlineLevel="0" collapsed="false">
      <c r="A12" s="13" t="s">
        <v>499</v>
      </c>
      <c r="B12" s="14" t="n">
        <f aca="false">SUM(B5:B11)</f>
        <v>6</v>
      </c>
      <c r="C12" s="14" t="n">
        <f aca="false">SUM(C5:C11)</f>
        <v>22</v>
      </c>
      <c r="D12" s="14" t="n">
        <f aca="false">SUM(D5:D11)</f>
        <v>26</v>
      </c>
      <c r="E12" s="14" t="n">
        <f aca="false">SUM(E5:E11)</f>
        <v>7</v>
      </c>
      <c r="F12" s="14" t="n">
        <f aca="false">SUM(F5:F11)</f>
        <v>7</v>
      </c>
      <c r="G12" s="14" t="n">
        <f aca="false">SUM(G5:G11)</f>
        <v>68</v>
      </c>
      <c r="H12" s="14" t="n">
        <f aca="false">SUM(H5:H11)</f>
        <v>10</v>
      </c>
      <c r="I12" s="14" t="n">
        <f aca="false">SUM(I5:I11)</f>
        <v>17</v>
      </c>
    </row>
    <row r="14" customFormat="false" ht="15" hidden="false" customHeight="false" outlineLevel="0" collapsed="false">
      <c r="A14" s="12" t="s">
        <v>500</v>
      </c>
    </row>
    <row r="15" customFormat="false" ht="15" hidden="false" customHeight="false" outlineLevel="0" collapsed="false">
      <c r="A15" s="15" t="s">
        <v>45</v>
      </c>
      <c r="B15" s="16" t="n">
        <f aca="false">B12/$G$12</f>
        <v>0.0882352941176471</v>
      </c>
    </row>
    <row r="16" customFormat="false" ht="15" hidden="false" customHeight="false" outlineLevel="0" collapsed="false">
      <c r="A16" s="15" t="s">
        <v>21</v>
      </c>
      <c r="B16" s="16" t="n">
        <f aca="false">C12/$G$12</f>
        <v>0.323529411764706</v>
      </c>
    </row>
    <row r="17" customFormat="false" ht="15" hidden="false" customHeight="false" outlineLevel="0" collapsed="false">
      <c r="A17" s="15" t="s">
        <v>29</v>
      </c>
      <c r="B17" s="16" t="n">
        <f aca="false">D12/$G$12</f>
        <v>0.382352941176471</v>
      </c>
    </row>
    <row r="18" customFormat="false" ht="15" hidden="false" customHeight="false" outlineLevel="0" collapsed="false">
      <c r="A18" s="15" t="s">
        <v>105</v>
      </c>
      <c r="B18" s="16" t="n">
        <f aca="false">E12/$G$12</f>
        <v>0.102941176470588</v>
      </c>
    </row>
    <row r="19" customFormat="false" ht="15" hidden="false" customHeight="false" outlineLevel="0" collapsed="false">
      <c r="A19" s="15" t="s">
        <v>114</v>
      </c>
      <c r="B19" s="16" t="n">
        <f aca="false">F12/$G$12</f>
        <v>0.102941176470588</v>
      </c>
    </row>
    <row r="21" customFormat="false" ht="15" hidden="false" customHeight="false" outlineLevel="0" collapsed="false">
      <c r="A21" s="12" t="s">
        <v>501</v>
      </c>
      <c r="B21" s="15" t="n">
        <v>68</v>
      </c>
      <c r="C21" s="15" t="str">
        <f aca="false">IF(B21=G12,"equal","check")</f>
        <v>equal</v>
      </c>
    </row>
    <row r="23" customFormat="false" ht="15" hidden="false" customHeight="false" outlineLevel="0" collapsed="false">
      <c r="A23" s="12" t="s">
        <v>502</v>
      </c>
    </row>
    <row r="24" customFormat="false" ht="30" hidden="false" customHeight="true" outlineLevel="0" collapsed="false">
      <c r="A24" s="3" t="s">
        <v>503</v>
      </c>
      <c r="B24" s="3" t="s">
        <v>504</v>
      </c>
      <c r="C24" s="3" t="s">
        <v>505</v>
      </c>
      <c r="D24" s="3" t="s">
        <v>506</v>
      </c>
      <c r="E24" s="3" t="s">
        <v>507</v>
      </c>
      <c r="F24" s="3" t="s">
        <v>508</v>
      </c>
    </row>
    <row r="25" customFormat="false" ht="68.65" hidden="false" customHeight="false" outlineLevel="0" collapsed="false">
      <c r="A25" s="6" t="s">
        <v>509</v>
      </c>
      <c r="B25" s="17" t="n">
        <v>0.239</v>
      </c>
      <c r="C25" s="17" t="n">
        <v>0.297</v>
      </c>
      <c r="D25" s="17" t="n">
        <v>0.008</v>
      </c>
      <c r="E25" s="17" t="n">
        <v>0.117</v>
      </c>
      <c r="F25" s="6" t="s">
        <v>510</v>
      </c>
    </row>
    <row r="26" customFormat="false" ht="46.25" hidden="false" customHeight="false" outlineLevel="0" collapsed="false">
      <c r="A26" s="6" t="s">
        <v>511</v>
      </c>
      <c r="B26" s="17" t="n">
        <v>0.627</v>
      </c>
      <c r="C26" s="17" t="n">
        <v>0.711</v>
      </c>
      <c r="D26" s="17" t="n">
        <v>0</v>
      </c>
      <c r="E26" s="17" t="n">
        <v>0.228</v>
      </c>
      <c r="F26" s="6" t="s">
        <v>512</v>
      </c>
    </row>
    <row r="27" customFormat="false" ht="35.05" hidden="false" customHeight="false" outlineLevel="0" collapsed="false">
      <c r="A27" s="6" t="s">
        <v>513</v>
      </c>
      <c r="B27" s="17" t="n">
        <v>0.298</v>
      </c>
      <c r="C27" s="17" t="n">
        <v>0.396</v>
      </c>
      <c r="D27" s="17" t="n">
        <v>0</v>
      </c>
      <c r="E27" s="17" t="n">
        <v>0.256</v>
      </c>
      <c r="F27" s="6" t="s">
        <v>514</v>
      </c>
    </row>
    <row r="28" customFormat="false" ht="35.05" hidden="false" customHeight="false" outlineLevel="0" collapsed="false">
      <c r="A28" s="6" t="s">
        <v>515</v>
      </c>
      <c r="B28" s="17" t="n">
        <v>0.437</v>
      </c>
      <c r="C28" s="17" t="n">
        <v>0.472</v>
      </c>
      <c r="D28" s="17" t="n">
        <v>0</v>
      </c>
      <c r="E28" s="17" t="n">
        <v>0.279</v>
      </c>
      <c r="F28" s="6" t="s">
        <v>516</v>
      </c>
    </row>
    <row r="29" customFormat="false" ht="57.45" hidden="false" customHeight="false" outlineLevel="0" collapsed="false">
      <c r="A29" s="6" t="s">
        <v>517</v>
      </c>
      <c r="B29" s="17" t="n">
        <v>-3.189</v>
      </c>
      <c r="C29" s="17" t="n">
        <v>-3.139</v>
      </c>
      <c r="D29" s="17" t="n">
        <v>0</v>
      </c>
      <c r="E29" s="17" t="n">
        <v>0.287</v>
      </c>
      <c r="F29" s="6" t="s">
        <v>518</v>
      </c>
    </row>
    <row r="30" customFormat="false" ht="46.25" hidden="false" customHeight="false" outlineLevel="0" collapsed="false">
      <c r="A30" s="6" t="s">
        <v>519</v>
      </c>
      <c r="B30" s="17" t="n">
        <v>-0.211</v>
      </c>
      <c r="C30" s="17" t="n">
        <v>-0.253</v>
      </c>
      <c r="D30" s="17" t="n">
        <v>0.001</v>
      </c>
      <c r="E30" s="17" t="n">
        <v>0.161</v>
      </c>
      <c r="F30" s="6" t="s">
        <v>520</v>
      </c>
    </row>
    <row r="31" customFormat="false" ht="57.45" hidden="false" customHeight="false" outlineLevel="0" collapsed="false">
      <c r="A31" s="6" t="s">
        <v>521</v>
      </c>
      <c r="B31" s="17" t="n">
        <v>-0.218</v>
      </c>
      <c r="C31" s="17" t="n">
        <v>-0.261</v>
      </c>
      <c r="D31" s="17" t="n">
        <v>0.012</v>
      </c>
      <c r="E31" s="17" t="n">
        <v>0.102</v>
      </c>
      <c r="F31" s="6" t="s">
        <v>522</v>
      </c>
    </row>
    <row r="32" customFormat="false" ht="30" hidden="false" customHeight="true" outlineLevel="0" collapsed="false">
      <c r="A32" s="2" t="s">
        <v>523</v>
      </c>
      <c r="B32" s="2"/>
      <c r="C32" s="2"/>
      <c r="D32" s="2"/>
      <c r="E32" s="2"/>
      <c r="F32" s="2"/>
      <c r="G32" s="2"/>
      <c r="H32" s="2"/>
    </row>
  </sheetData>
  <mergeCells count="2">
    <mergeCell ref="A2:H2"/>
    <mergeCell ref="A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10"/>
  </cols>
  <sheetData>
    <row r="1" customFormat="false" ht="15" hidden="false" customHeight="false" outlineLevel="0" collapsed="false">
      <c r="A1" s="1" t="s">
        <v>524</v>
      </c>
    </row>
    <row r="3" customFormat="false" ht="30" hidden="false" customHeight="true" outlineLevel="0" collapsed="false">
      <c r="A3" s="3" t="s">
        <v>525</v>
      </c>
      <c r="B3" s="3" t="s">
        <v>526</v>
      </c>
    </row>
    <row r="4" customFormat="false" ht="165.75" hidden="false" customHeight="true" outlineLevel="0" collapsed="false">
      <c r="A4" s="6" t="s">
        <v>527</v>
      </c>
      <c r="B4" s="6" t="s">
        <v>528</v>
      </c>
    </row>
    <row r="5" customFormat="false" ht="314.25" hidden="false" customHeight="true" outlineLevel="0" collapsed="false">
      <c r="A5" s="6" t="s">
        <v>529</v>
      </c>
      <c r="B5" s="6" t="s">
        <v>530</v>
      </c>
    </row>
    <row r="6" customFormat="false" ht="273.75" hidden="false" customHeight="true" outlineLevel="0" collapsed="false">
      <c r="A6" s="6" t="s">
        <v>531</v>
      </c>
      <c r="B6" s="6" t="s">
        <v>532</v>
      </c>
    </row>
    <row r="7" customFormat="false" ht="354.75" hidden="false" customHeight="true" outlineLevel="0" collapsed="false">
      <c r="A7" s="6" t="s">
        <v>533</v>
      </c>
      <c r="B7" s="6" t="s">
        <v>534</v>
      </c>
    </row>
    <row r="8" customFormat="false" ht="246.75" hidden="false" customHeight="true" outlineLevel="0" collapsed="false">
      <c r="A8" s="6" t="s">
        <v>535</v>
      </c>
      <c r="B8" s="6" t="s">
        <v>536</v>
      </c>
    </row>
    <row r="9" customFormat="false" ht="192.75" hidden="false" customHeight="true" outlineLevel="0" collapsed="false">
      <c r="A9" s="6" t="s">
        <v>537</v>
      </c>
      <c r="B9" s="6" t="s">
        <v>538</v>
      </c>
    </row>
    <row r="10" customFormat="false" ht="84.75" hidden="false" customHeight="true" outlineLevel="0" collapsed="false">
      <c r="A10" s="6" t="s">
        <v>539</v>
      </c>
      <c r="B10" s="6" t="s">
        <v>540</v>
      </c>
    </row>
    <row r="11" customFormat="false" ht="165.75" hidden="false" customHeight="true" outlineLevel="0" collapsed="false">
      <c r="A11" s="6" t="s">
        <v>541</v>
      </c>
      <c r="B11" s="6" t="s">
        <v>542</v>
      </c>
    </row>
    <row r="12" customFormat="false" ht="125.25" hidden="false" customHeight="true" outlineLevel="0" collapsed="false">
      <c r="A12" s="6" t="s">
        <v>543</v>
      </c>
      <c r="B12" s="6" t="s">
        <v>544</v>
      </c>
    </row>
    <row r="13" customFormat="false" ht="125.25" hidden="false" customHeight="true" outlineLevel="0" collapsed="false">
      <c r="A13" s="6" t="s">
        <v>545</v>
      </c>
      <c r="B13" s="6" t="s">
        <v>546</v>
      </c>
    </row>
    <row r="14" customFormat="false" ht="44.25" hidden="false" customHeight="true" outlineLevel="0" collapsed="false">
      <c r="A14" s="6" t="s">
        <v>547</v>
      </c>
      <c r="B14" s="6" t="s">
        <v>548</v>
      </c>
    </row>
    <row r="15" customFormat="false" ht="30.75" hidden="false" customHeight="true" outlineLevel="0" collapsed="false">
      <c r="A15" s="6" t="s">
        <v>549</v>
      </c>
      <c r="B15" s="6" t="s">
        <v>550</v>
      </c>
    </row>
    <row r="16" customFormat="false" ht="246.75" hidden="false" customHeight="true" outlineLevel="0" collapsed="false">
      <c r="A16" s="6" t="s">
        <v>551</v>
      </c>
      <c r="B16" s="6" t="s">
        <v>552</v>
      </c>
    </row>
    <row r="17" customFormat="false" ht="84.75" hidden="false" customHeight="true" outlineLevel="0" collapsed="false">
      <c r="A17" s="6" t="s">
        <v>553</v>
      </c>
      <c r="B17" s="6" t="s">
        <v>554</v>
      </c>
    </row>
    <row r="18" customFormat="false" ht="30.75" hidden="false" customHeight="true" outlineLevel="0" collapsed="false">
      <c r="A18" s="6" t="s">
        <v>555</v>
      </c>
      <c r="B18" s="6" t="s">
        <v>556</v>
      </c>
    </row>
    <row r="19" customFormat="false" ht="30.75" hidden="false" customHeight="true" outlineLevel="0" collapsed="false">
      <c r="A19" s="6" t="s">
        <v>557</v>
      </c>
      <c r="B19" s="6" t="s">
        <v>558</v>
      </c>
    </row>
    <row r="20" customFormat="false" ht="17.25" hidden="false" customHeight="true" outlineLevel="0" collapsed="false"/>
    <row r="21" customFormat="false" ht="17.25" hidden="false" customHeight="true" outlineLevel="0" collapsed="false">
      <c r="A21" s="12" t="s">
        <v>559</v>
      </c>
    </row>
    <row r="22" customFormat="false" ht="17.25" hidden="false" customHeight="true" outlineLevel="0" collapsed="false">
      <c r="A22" s="3" t="s">
        <v>560</v>
      </c>
      <c r="B22" s="3" t="s">
        <v>561</v>
      </c>
    </row>
    <row r="23" customFormat="false" ht="84.75" hidden="false" customHeight="true" outlineLevel="0" collapsed="false">
      <c r="A23" s="6" t="s">
        <v>562</v>
      </c>
      <c r="B23" s="6" t="s">
        <v>563</v>
      </c>
    </row>
    <row r="24" customFormat="false" ht="57.75" hidden="false" customHeight="true" outlineLevel="0" collapsed="false">
      <c r="A24" s="6" t="s">
        <v>564</v>
      </c>
      <c r="B24" s="6" t="s">
        <v>565</v>
      </c>
    </row>
    <row r="25" customFormat="false" ht="71.25" hidden="false" customHeight="true" outlineLevel="0" collapsed="false">
      <c r="A25" s="6" t="s">
        <v>566</v>
      </c>
      <c r="B25" s="6" t="s">
        <v>567</v>
      </c>
    </row>
    <row r="26" customFormat="false" ht="44.25" hidden="false" customHeight="true" outlineLevel="0" collapsed="false">
      <c r="A26" s="6" t="s">
        <v>568</v>
      </c>
      <c r="B26" s="6" t="s">
        <v>569</v>
      </c>
    </row>
    <row r="27" customFormat="false" ht="84.75" hidden="false" customHeight="true" outlineLevel="0" collapsed="false">
      <c r="A27" s="6" t="s">
        <v>570</v>
      </c>
      <c r="B27" s="6" t="s">
        <v>571</v>
      </c>
    </row>
    <row r="28" customFormat="false" ht="30.75" hidden="false" customHeight="true" outlineLevel="0" collapsed="false">
      <c r="A28" s="6" t="s">
        <v>572</v>
      </c>
      <c r="B28" s="6" t="s">
        <v>573</v>
      </c>
    </row>
    <row r="29" customFormat="false" ht="57.75" hidden="false" customHeight="true" outlineLevel="0" collapsed="false">
      <c r="A29" s="6" t="s">
        <v>574</v>
      </c>
      <c r="B29" s="6" t="s">
        <v>575</v>
      </c>
    </row>
    <row r="30" customFormat="false" ht="30.75" hidden="false" customHeight="true" outlineLevel="0" collapsed="false">
      <c r="A30" s="6" t="s">
        <v>576</v>
      </c>
      <c r="B30" s="6" t="s">
        <v>577</v>
      </c>
    </row>
    <row r="31" customFormat="false" ht="71.25" hidden="false" customHeight="true" outlineLevel="0" collapsed="false">
      <c r="A31" s="6" t="s">
        <v>578</v>
      </c>
      <c r="B31" s="6" t="s">
        <v>579</v>
      </c>
    </row>
    <row r="32" customFormat="false" ht="30.75" hidden="false" customHeight="true" outlineLevel="0" collapsed="false">
      <c r="A32" s="6" t="s">
        <v>580</v>
      </c>
      <c r="B32" s="6"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5" hidden="false" customHeight="false" outlineLevel="0" collapsed="false">
      <c r="A1" s="1" t="s">
        <v>582</v>
      </c>
    </row>
    <row r="3" customFormat="false" ht="44.25" hidden="false" customHeight="true" outlineLevel="0" collapsed="false">
      <c r="A3" s="6" t="s">
        <v>583</v>
      </c>
      <c r="B3" s="6" t="s">
        <v>584</v>
      </c>
    </row>
    <row r="4" customFormat="false" ht="138.75" hidden="false" customHeight="true" outlineLevel="0" collapsed="false">
      <c r="A4" s="6" t="s">
        <v>585</v>
      </c>
      <c r="B4" s="6" t="s">
        <v>586</v>
      </c>
    </row>
    <row r="5" customFormat="false" ht="179.25" hidden="false" customHeight="true" outlineLevel="0" collapsed="false">
      <c r="A5" s="6" t="s">
        <v>587</v>
      </c>
      <c r="B5" s="6" t="s">
        <v>588</v>
      </c>
    </row>
    <row r="6" customFormat="false" ht="71.25" hidden="false" customHeight="true" outlineLevel="0" collapsed="false">
      <c r="A6" s="6" t="s">
        <v>589</v>
      </c>
      <c r="B6" s="6" t="s">
        <v>590</v>
      </c>
    </row>
    <row r="7" customFormat="false" ht="44.25" hidden="false" customHeight="true" outlineLevel="0" collapsed="false">
      <c r="A7" s="6" t="s">
        <v>591</v>
      </c>
      <c r="B7" s="6" t="s">
        <v>592</v>
      </c>
    </row>
    <row r="8" customFormat="false" ht="44.25" hidden="false" customHeight="true" outlineLevel="0" collapsed="false">
      <c r="A8" s="6" t="s">
        <v>593</v>
      </c>
      <c r="B8" s="6" t="s">
        <v>594</v>
      </c>
    </row>
    <row r="9" customFormat="false" ht="57.75" hidden="false" customHeight="true" outlineLevel="0" collapsed="false">
      <c r="A9" s="6" t="s">
        <v>595</v>
      </c>
      <c r="B9" s="6" t="s">
        <v>596</v>
      </c>
    </row>
    <row r="10" customFormat="false" ht="152.25" hidden="false" customHeight="true" outlineLevel="0" collapsed="false">
      <c r="A10" s="6" t="s">
        <v>597</v>
      </c>
      <c r="B10" s="6" t="s">
        <v>598</v>
      </c>
    </row>
    <row r="11" customFormat="false" ht="111.75" hidden="false" customHeight="true" outlineLevel="0" collapsed="false">
      <c r="A11" s="6" t="s">
        <v>599</v>
      </c>
      <c r="B11" s="6" t="s">
        <v>600</v>
      </c>
    </row>
    <row r="12" customFormat="false" ht="30.75" hidden="false" customHeight="true" outlineLevel="0" collapsed="false">
      <c r="A12" s="6" t="s">
        <v>601</v>
      </c>
      <c r="B12" s="6" t="s">
        <v>602</v>
      </c>
    </row>
    <row r="13" customFormat="false" ht="71.25" hidden="false" customHeight="true" outlineLevel="0" collapsed="false">
      <c r="A13" s="6" t="s">
        <v>603</v>
      </c>
      <c r="B13" s="6" t="s">
        <v>604</v>
      </c>
    </row>
    <row r="14" customFormat="false" ht="71.25" hidden="false" customHeight="true" outlineLevel="0" collapsed="false">
      <c r="A14" s="6" t="s">
        <v>605</v>
      </c>
      <c r="B14" s="6" t="s">
        <v>606</v>
      </c>
    </row>
    <row r="15" customFormat="false" ht="71.25" hidden="false" customHeight="true" outlineLevel="0" collapsed="false">
      <c r="A15" s="6" t="s">
        <v>607</v>
      </c>
      <c r="B15" s="6" t="s">
        <v>608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2026-10-24T06:19:38Z</dcterms:created>
  <dc:creator>openpyxl</dc:creator>
  <dc:description/>
  <dc:language>en-US</dc:language>
  <cp:lastModifiedBy/>
  <dcterms:modified xsi:type="dcterms:W3CDTF">2026-10-24T06:19:38Z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